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tyuni-my.sharepoint.com/personal/pietro_rota_bayes_city_ac_uk/Documents/Documents/a2025-2026 BAYES/Implied_Probability_Density_Functions/"/>
    </mc:Choice>
  </mc:AlternateContent>
  <xr:revisionPtr revIDLastSave="0" documentId="8_{D13B203A-ADD1-457C-9CB5-55C2155787DC}" xr6:coauthVersionLast="47" xr6:coauthVersionMax="47" xr10:uidLastSave="{00000000-0000-0000-0000-000000000000}"/>
  <bookViews>
    <workbookView xWindow="-98" yWindow="-98" windowWidth="21795" windowHeight="12975" xr2:uid="{57765F62-80A0-4BA7-A1B4-8AE61D2F91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0" i="1" l="1"/>
  <c r="L63" i="1"/>
  <c r="L64" i="1"/>
  <c r="L65" i="1"/>
  <c r="L66" i="1"/>
  <c r="L114" i="1"/>
  <c r="L127" i="1"/>
  <c r="L128" i="1"/>
  <c r="L129" i="1"/>
  <c r="L130" i="1"/>
  <c r="L178" i="1"/>
  <c r="L191" i="1"/>
  <c r="L192" i="1"/>
  <c r="L193" i="1"/>
  <c r="L194" i="1"/>
  <c r="L252" i="1"/>
  <c r="L253" i="1"/>
  <c r="L257" i="1"/>
  <c r="L316" i="1"/>
  <c r="L317" i="1"/>
  <c r="L321" i="1"/>
  <c r="L380" i="1"/>
  <c r="L381" i="1"/>
  <c r="L383" i="1"/>
  <c r="L384" i="1"/>
  <c r="L385" i="1"/>
  <c r="L386" i="1"/>
  <c r="L444" i="1"/>
  <c r="L445" i="1"/>
  <c r="L447" i="1"/>
  <c r="L448" i="1"/>
  <c r="L449" i="1"/>
  <c r="L450" i="1"/>
  <c r="L502" i="1"/>
  <c r="L508" i="1"/>
  <c r="L509" i="1"/>
  <c r="L510" i="1"/>
  <c r="L511" i="1"/>
  <c r="L558" i="1"/>
  <c r="L561" i="1"/>
  <c r="L562" i="1"/>
  <c r="L566" i="1"/>
  <c r="L571" i="1"/>
  <c r="L609" i="1"/>
  <c r="L614" i="1"/>
  <c r="L619" i="1"/>
  <c r="L622" i="1"/>
  <c r="L624" i="1"/>
  <c r="L672" i="1"/>
  <c r="L674" i="1"/>
  <c r="L678" i="1"/>
  <c r="L683" i="1"/>
  <c r="L684" i="1"/>
  <c r="L720" i="1"/>
  <c r="L722" i="1"/>
  <c r="L726" i="1"/>
  <c r="L731" i="1"/>
  <c r="L732" i="1"/>
  <c r="L733" i="1"/>
  <c r="L734" i="1"/>
  <c r="L770" i="1"/>
  <c r="L778" i="1"/>
  <c r="L779" i="1"/>
  <c r="L782" i="1"/>
  <c r="L784" i="1"/>
  <c r="L826" i="1"/>
  <c r="L828" i="1"/>
  <c r="L832" i="1"/>
  <c r="L833" i="1"/>
  <c r="L834" i="1"/>
  <c r="L876" i="1"/>
  <c r="L878" i="1"/>
  <c r="L881" i="1"/>
  <c r="L882" i="1"/>
  <c r="L886" i="1"/>
  <c r="L890" i="1"/>
  <c r="L928" i="1"/>
  <c r="L929" i="1"/>
  <c r="L938" i="1"/>
  <c r="L939" i="1"/>
  <c r="L940" i="1"/>
  <c r="L976" i="1"/>
  <c r="L978" i="1"/>
  <c r="L982" i="1"/>
  <c r="L986" i="1"/>
  <c r="L987" i="1"/>
  <c r="L988" i="1"/>
  <c r="L989" i="1"/>
  <c r="L1025" i="1"/>
  <c r="L1026" i="1"/>
  <c r="L1033" i="1"/>
  <c r="L1034" i="1"/>
  <c r="L1035" i="1"/>
  <c r="L1036" i="1"/>
  <c r="L1072" i="1"/>
  <c r="L1073" i="1"/>
  <c r="L1081" i="1"/>
  <c r="L1082" i="1"/>
  <c r="L1083" i="1"/>
  <c r="L1120" i="1"/>
  <c r="L1122" i="1"/>
  <c r="L1126" i="1"/>
  <c r="L1129" i="1"/>
  <c r="L1130" i="1"/>
  <c r="L1164" i="1"/>
  <c r="L1166" i="1"/>
  <c r="L1168" i="1"/>
  <c r="L1169" i="1"/>
  <c r="L1170" i="1"/>
  <c r="L1174" i="1"/>
  <c r="L1198" i="1"/>
  <c r="L1202" i="1"/>
  <c r="L1214" i="1"/>
  <c r="L1216" i="1"/>
  <c r="L1242" i="1"/>
  <c r="L1243" i="1"/>
  <c r="L1244" i="1"/>
  <c r="L1249" i="1"/>
  <c r="L1258" i="1"/>
  <c r="L1260" i="1"/>
  <c r="L1261" i="1"/>
  <c r="L1282" i="1"/>
  <c r="L1286" i="1"/>
  <c r="L1289" i="1"/>
  <c r="L1291" i="1"/>
  <c r="L1292" i="1"/>
  <c r="L1296" i="1"/>
  <c r="L1305" i="1"/>
  <c r="L1328" i="1"/>
  <c r="L1329" i="1"/>
  <c r="L1337" i="1"/>
  <c r="L1338" i="1"/>
  <c r="L1339" i="1"/>
  <c r="L1360" i="1"/>
  <c r="L1364" i="1"/>
  <c r="L1368" i="1"/>
  <c r="L1371" i="1"/>
  <c r="L1372" i="1"/>
  <c r="L1373" i="1"/>
  <c r="L1374" i="1"/>
  <c r="L1392" i="1"/>
  <c r="L1400" i="1"/>
  <c r="L1402" i="1"/>
  <c r="L1403" i="1"/>
  <c r="L1404" i="1"/>
  <c r="L1422" i="1"/>
  <c r="L1424" i="1"/>
  <c r="L1428" i="1"/>
  <c r="L1432" i="1"/>
  <c r="L1434" i="1"/>
  <c r="L1450" i="1"/>
  <c r="L1451" i="1"/>
  <c r="L1452" i="1"/>
  <c r="L1456" i="1"/>
  <c r="L1460" i="1"/>
  <c r="L1480" i="1"/>
  <c r="L1482" i="1"/>
  <c r="L1485" i="1"/>
  <c r="L1486" i="1"/>
  <c r="L1504" i="1"/>
  <c r="L1508" i="1"/>
  <c r="L1514" i="1"/>
  <c r="L1515" i="1"/>
  <c r="L1516" i="1"/>
  <c r="L1517" i="1"/>
  <c r="L1544" i="1"/>
  <c r="L1546" i="1"/>
  <c r="L1547" i="1"/>
  <c r="L1563" i="1"/>
  <c r="L1564" i="1"/>
  <c r="L1568" i="1"/>
  <c r="L1572" i="1"/>
  <c r="L1576" i="1"/>
  <c r="L1592" i="1"/>
  <c r="L1594" i="1"/>
  <c r="L1595" i="1"/>
  <c r="L1598" i="1"/>
  <c r="L1600" i="1"/>
  <c r="L1616" i="1"/>
  <c r="L1620" i="1"/>
  <c r="L1624" i="1"/>
  <c r="L1627" i="1"/>
  <c r="L1628" i="1"/>
  <c r="L1629" i="1"/>
  <c r="L1630" i="1"/>
  <c r="L1648" i="1"/>
  <c r="L1656" i="1"/>
  <c r="L1658" i="1"/>
  <c r="L1659" i="1"/>
  <c r="L1660" i="1"/>
  <c r="L1678" i="1"/>
  <c r="L1680" i="1"/>
  <c r="L1684" i="1"/>
  <c r="L1688" i="1"/>
  <c r="L1690" i="1"/>
  <c r="L1706" i="1"/>
  <c r="L1707" i="1"/>
  <c r="L1708" i="1"/>
  <c r="L1712" i="1"/>
  <c r="L1716" i="1"/>
  <c r="L1736" i="1"/>
  <c r="L1738" i="1"/>
  <c r="L1741" i="1"/>
  <c r="L1742" i="1"/>
  <c r="L1760" i="1"/>
  <c r="L1764" i="1"/>
  <c r="L1770" i="1"/>
  <c r="L1771" i="1"/>
  <c r="L1772" i="1"/>
  <c r="L1773" i="1"/>
  <c r="L1798" i="1"/>
  <c r="L1800" i="1"/>
  <c r="L1802" i="1"/>
  <c r="L1816" i="1"/>
  <c r="L1818" i="1"/>
  <c r="L1819" i="1"/>
  <c r="L1822" i="1"/>
  <c r="L1824" i="1"/>
  <c r="L1840" i="1"/>
  <c r="L1844" i="1"/>
  <c r="L1848" i="1"/>
  <c r="L1850" i="1"/>
  <c r="L1851" i="1"/>
  <c r="L1852" i="1"/>
  <c r="L1867" i="1"/>
  <c r="L1868" i="1"/>
  <c r="L2" i="1"/>
  <c r="O1810" i="1"/>
  <c r="O1797" i="1"/>
  <c r="O1653" i="1"/>
  <c r="O1650" i="1"/>
  <c r="O1619" i="1"/>
  <c r="O1587" i="1"/>
  <c r="O1554" i="1"/>
  <c r="O1429" i="1"/>
  <c r="O1397" i="1"/>
  <c r="O1395" i="1"/>
  <c r="O1333" i="1"/>
  <c r="O1298" i="1"/>
  <c r="O1221" i="1"/>
  <c r="O1186" i="1"/>
  <c r="O1173" i="1"/>
  <c r="O1141" i="1"/>
  <c r="O1139" i="1"/>
  <c r="O1138" i="1"/>
  <c r="O995" i="1"/>
  <c r="O994" i="1"/>
  <c r="O965" i="1"/>
  <c r="O961" i="1"/>
  <c r="O931" i="1"/>
  <c r="O930" i="1"/>
  <c r="O819" i="1"/>
  <c r="O818" i="1"/>
  <c r="O755" i="1"/>
  <c r="O754" i="1"/>
  <c r="O691" i="1"/>
  <c r="O664" i="1"/>
  <c r="O645" i="1"/>
  <c r="O643" i="1"/>
  <c r="O642" i="1"/>
  <c r="O621" i="1"/>
  <c r="O565" i="1"/>
  <c r="O563" i="1"/>
  <c r="O562" i="1"/>
  <c r="O546" i="1"/>
  <c r="O541" i="1"/>
  <c r="O536" i="1"/>
  <c r="O535" i="1"/>
  <c r="O534" i="1"/>
  <c r="O470" i="1"/>
  <c r="O465" i="1"/>
  <c r="O454" i="1"/>
  <c r="O438" i="1"/>
  <c r="O433" i="1"/>
  <c r="O385" i="1"/>
  <c r="O374" i="1"/>
  <c r="O368" i="1"/>
  <c r="O358" i="1"/>
  <c r="O357" i="1"/>
  <c r="O304" i="1"/>
  <c r="O294" i="1"/>
  <c r="O288" i="1"/>
  <c r="O278" i="1"/>
  <c r="O277" i="1"/>
  <c r="O229" i="1"/>
  <c r="O227" i="1"/>
  <c r="O226" i="1"/>
  <c r="O210" i="1"/>
  <c r="O198" i="1"/>
  <c r="O178" i="1"/>
  <c r="O177" i="1"/>
  <c r="O165" i="1"/>
  <c r="O163" i="1"/>
  <c r="O162" i="1"/>
  <c r="O161" i="1"/>
  <c r="O133" i="1"/>
  <c r="O131" i="1"/>
  <c r="O130" i="1"/>
  <c r="O118" i="1"/>
  <c r="O117" i="1"/>
  <c r="O115" i="1"/>
  <c r="O20" i="1"/>
  <c r="O6" i="1"/>
  <c r="M509" i="1"/>
  <c r="N509" i="1"/>
  <c r="O509" i="1" s="1"/>
  <c r="M510" i="1"/>
  <c r="N510" i="1"/>
  <c r="O510" i="1" s="1"/>
  <c r="M511" i="1"/>
  <c r="N511" i="1"/>
  <c r="O511" i="1" s="1"/>
  <c r="M512" i="1"/>
  <c r="L512" i="1" s="1"/>
  <c r="N512" i="1"/>
  <c r="O512" i="1" s="1"/>
  <c r="M513" i="1"/>
  <c r="L513" i="1" s="1"/>
  <c r="N513" i="1"/>
  <c r="O513" i="1" s="1"/>
  <c r="M514" i="1"/>
  <c r="L514" i="1" s="1"/>
  <c r="N514" i="1"/>
  <c r="O514" i="1" s="1"/>
  <c r="M515" i="1"/>
  <c r="L515" i="1" s="1"/>
  <c r="N515" i="1"/>
  <c r="O515" i="1" s="1"/>
  <c r="M516" i="1"/>
  <c r="L516" i="1" s="1"/>
  <c r="N516" i="1"/>
  <c r="O516" i="1" s="1"/>
  <c r="M517" i="1"/>
  <c r="L517" i="1" s="1"/>
  <c r="N517" i="1"/>
  <c r="O517" i="1" s="1"/>
  <c r="M518" i="1"/>
  <c r="L518" i="1" s="1"/>
  <c r="N518" i="1"/>
  <c r="O518" i="1" s="1"/>
  <c r="M519" i="1"/>
  <c r="L519" i="1" s="1"/>
  <c r="N519" i="1"/>
  <c r="O519" i="1" s="1"/>
  <c r="M520" i="1"/>
  <c r="L520" i="1" s="1"/>
  <c r="N520" i="1"/>
  <c r="O520" i="1" s="1"/>
  <c r="M521" i="1"/>
  <c r="L521" i="1" s="1"/>
  <c r="N521" i="1"/>
  <c r="O521" i="1" s="1"/>
  <c r="M522" i="1"/>
  <c r="L522" i="1" s="1"/>
  <c r="N522" i="1"/>
  <c r="O522" i="1" s="1"/>
  <c r="M523" i="1"/>
  <c r="L523" i="1" s="1"/>
  <c r="N523" i="1"/>
  <c r="O523" i="1" s="1"/>
  <c r="M524" i="1"/>
  <c r="L524" i="1" s="1"/>
  <c r="N524" i="1"/>
  <c r="O524" i="1" s="1"/>
  <c r="M525" i="1"/>
  <c r="L525" i="1" s="1"/>
  <c r="N525" i="1"/>
  <c r="O525" i="1" s="1"/>
  <c r="M526" i="1"/>
  <c r="L526" i="1" s="1"/>
  <c r="N526" i="1"/>
  <c r="O526" i="1" s="1"/>
  <c r="M527" i="1"/>
  <c r="L527" i="1" s="1"/>
  <c r="N527" i="1"/>
  <c r="O527" i="1" s="1"/>
  <c r="M528" i="1"/>
  <c r="L528" i="1" s="1"/>
  <c r="N528" i="1"/>
  <c r="O528" i="1" s="1"/>
  <c r="M529" i="1"/>
  <c r="L529" i="1" s="1"/>
  <c r="N529" i="1"/>
  <c r="O529" i="1" s="1"/>
  <c r="M530" i="1"/>
  <c r="L530" i="1" s="1"/>
  <c r="N530" i="1"/>
  <c r="O530" i="1" s="1"/>
  <c r="M531" i="1"/>
  <c r="L531" i="1" s="1"/>
  <c r="N531" i="1"/>
  <c r="O531" i="1" s="1"/>
  <c r="M532" i="1"/>
  <c r="L532" i="1" s="1"/>
  <c r="N532" i="1"/>
  <c r="O532" i="1" s="1"/>
  <c r="M533" i="1"/>
  <c r="L533" i="1" s="1"/>
  <c r="N533" i="1"/>
  <c r="O533" i="1" s="1"/>
  <c r="M534" i="1"/>
  <c r="L534" i="1" s="1"/>
  <c r="N534" i="1"/>
  <c r="M535" i="1"/>
  <c r="L535" i="1" s="1"/>
  <c r="N535" i="1"/>
  <c r="M536" i="1"/>
  <c r="L536" i="1" s="1"/>
  <c r="N536" i="1"/>
  <c r="M537" i="1"/>
  <c r="L537" i="1" s="1"/>
  <c r="N537" i="1"/>
  <c r="O537" i="1" s="1"/>
  <c r="M538" i="1"/>
  <c r="L538" i="1" s="1"/>
  <c r="N538" i="1"/>
  <c r="O538" i="1" s="1"/>
  <c r="M539" i="1"/>
  <c r="L539" i="1" s="1"/>
  <c r="N539" i="1"/>
  <c r="O539" i="1" s="1"/>
  <c r="M540" i="1"/>
  <c r="L540" i="1" s="1"/>
  <c r="N540" i="1"/>
  <c r="O540" i="1" s="1"/>
  <c r="M541" i="1"/>
  <c r="L541" i="1" s="1"/>
  <c r="N541" i="1"/>
  <c r="M542" i="1"/>
  <c r="L542" i="1" s="1"/>
  <c r="N542" i="1"/>
  <c r="O542" i="1" s="1"/>
  <c r="M543" i="1"/>
  <c r="L543" i="1" s="1"/>
  <c r="N543" i="1"/>
  <c r="O543" i="1" s="1"/>
  <c r="M544" i="1"/>
  <c r="L544" i="1" s="1"/>
  <c r="N544" i="1"/>
  <c r="O544" i="1" s="1"/>
  <c r="M545" i="1"/>
  <c r="L545" i="1" s="1"/>
  <c r="N545" i="1"/>
  <c r="O545" i="1" s="1"/>
  <c r="M546" i="1"/>
  <c r="L546" i="1" s="1"/>
  <c r="N546" i="1"/>
  <c r="M547" i="1"/>
  <c r="L547" i="1" s="1"/>
  <c r="N547" i="1"/>
  <c r="O547" i="1" s="1"/>
  <c r="M548" i="1"/>
  <c r="L548" i="1" s="1"/>
  <c r="N548" i="1"/>
  <c r="O548" i="1" s="1"/>
  <c r="M549" i="1"/>
  <c r="L549" i="1" s="1"/>
  <c r="N549" i="1"/>
  <c r="O549" i="1" s="1"/>
  <c r="M550" i="1"/>
  <c r="L550" i="1" s="1"/>
  <c r="N550" i="1"/>
  <c r="O550" i="1" s="1"/>
  <c r="M551" i="1"/>
  <c r="L551" i="1" s="1"/>
  <c r="N551" i="1"/>
  <c r="O551" i="1" s="1"/>
  <c r="M552" i="1"/>
  <c r="L552" i="1" s="1"/>
  <c r="N552" i="1"/>
  <c r="O552" i="1" s="1"/>
  <c r="M553" i="1"/>
  <c r="L553" i="1" s="1"/>
  <c r="N553" i="1"/>
  <c r="O553" i="1" s="1"/>
  <c r="M554" i="1"/>
  <c r="L554" i="1" s="1"/>
  <c r="N554" i="1"/>
  <c r="O554" i="1" s="1"/>
  <c r="M555" i="1"/>
  <c r="L555" i="1" s="1"/>
  <c r="N555" i="1"/>
  <c r="O555" i="1" s="1"/>
  <c r="M556" i="1"/>
  <c r="L556" i="1" s="1"/>
  <c r="N556" i="1"/>
  <c r="O556" i="1" s="1"/>
  <c r="M557" i="1"/>
  <c r="L557" i="1" s="1"/>
  <c r="N557" i="1"/>
  <c r="O557" i="1" s="1"/>
  <c r="M558" i="1"/>
  <c r="N558" i="1"/>
  <c r="O558" i="1" s="1"/>
  <c r="M559" i="1"/>
  <c r="L559" i="1" s="1"/>
  <c r="N559" i="1"/>
  <c r="O559" i="1" s="1"/>
  <c r="M560" i="1"/>
  <c r="L560" i="1" s="1"/>
  <c r="N560" i="1"/>
  <c r="O560" i="1" s="1"/>
  <c r="M561" i="1"/>
  <c r="N561" i="1"/>
  <c r="O561" i="1" s="1"/>
  <c r="M562" i="1"/>
  <c r="N562" i="1"/>
  <c r="M563" i="1"/>
  <c r="L563" i="1" s="1"/>
  <c r="N563" i="1"/>
  <c r="M564" i="1"/>
  <c r="L564" i="1" s="1"/>
  <c r="N564" i="1"/>
  <c r="O564" i="1" s="1"/>
  <c r="M565" i="1"/>
  <c r="L565" i="1" s="1"/>
  <c r="N565" i="1"/>
  <c r="M566" i="1"/>
  <c r="N566" i="1"/>
  <c r="O566" i="1" s="1"/>
  <c r="M567" i="1"/>
  <c r="L567" i="1" s="1"/>
  <c r="N567" i="1"/>
  <c r="O567" i="1" s="1"/>
  <c r="M568" i="1"/>
  <c r="L568" i="1" s="1"/>
  <c r="N568" i="1"/>
  <c r="O568" i="1" s="1"/>
  <c r="M569" i="1"/>
  <c r="L569" i="1" s="1"/>
  <c r="N569" i="1"/>
  <c r="O569" i="1" s="1"/>
  <c r="M570" i="1"/>
  <c r="L570" i="1" s="1"/>
  <c r="N570" i="1"/>
  <c r="O570" i="1" s="1"/>
  <c r="M571" i="1"/>
  <c r="N571" i="1"/>
  <c r="O571" i="1" s="1"/>
  <c r="M572" i="1"/>
  <c r="L572" i="1" s="1"/>
  <c r="N572" i="1"/>
  <c r="O572" i="1" s="1"/>
  <c r="M573" i="1"/>
  <c r="L573" i="1" s="1"/>
  <c r="N573" i="1"/>
  <c r="O573" i="1" s="1"/>
  <c r="M574" i="1"/>
  <c r="L574" i="1" s="1"/>
  <c r="N574" i="1"/>
  <c r="O574" i="1" s="1"/>
  <c r="M575" i="1"/>
  <c r="L575" i="1" s="1"/>
  <c r="N575" i="1"/>
  <c r="O575" i="1" s="1"/>
  <c r="M576" i="1"/>
  <c r="L576" i="1" s="1"/>
  <c r="N576" i="1"/>
  <c r="O576" i="1" s="1"/>
  <c r="M577" i="1"/>
  <c r="L577" i="1" s="1"/>
  <c r="N577" i="1"/>
  <c r="O577" i="1" s="1"/>
  <c r="M578" i="1"/>
  <c r="L578" i="1" s="1"/>
  <c r="N578" i="1"/>
  <c r="O578" i="1" s="1"/>
  <c r="M579" i="1"/>
  <c r="L579" i="1" s="1"/>
  <c r="N579" i="1"/>
  <c r="O579" i="1" s="1"/>
  <c r="M580" i="1"/>
  <c r="L580" i="1" s="1"/>
  <c r="N580" i="1"/>
  <c r="O580" i="1" s="1"/>
  <c r="M581" i="1"/>
  <c r="L581" i="1" s="1"/>
  <c r="N581" i="1"/>
  <c r="O581" i="1" s="1"/>
  <c r="M582" i="1"/>
  <c r="L582" i="1" s="1"/>
  <c r="N582" i="1"/>
  <c r="O582" i="1" s="1"/>
  <c r="M583" i="1"/>
  <c r="L583" i="1" s="1"/>
  <c r="N583" i="1"/>
  <c r="O583" i="1" s="1"/>
  <c r="M584" i="1"/>
  <c r="L584" i="1" s="1"/>
  <c r="N584" i="1"/>
  <c r="O584" i="1" s="1"/>
  <c r="M585" i="1"/>
  <c r="L585" i="1" s="1"/>
  <c r="N585" i="1"/>
  <c r="O585" i="1" s="1"/>
  <c r="M586" i="1"/>
  <c r="L586" i="1" s="1"/>
  <c r="N586" i="1"/>
  <c r="O586" i="1" s="1"/>
  <c r="M587" i="1"/>
  <c r="L587" i="1" s="1"/>
  <c r="N587" i="1"/>
  <c r="O587" i="1" s="1"/>
  <c r="M588" i="1"/>
  <c r="L588" i="1" s="1"/>
  <c r="N588" i="1"/>
  <c r="O588" i="1" s="1"/>
  <c r="M589" i="1"/>
  <c r="L589" i="1" s="1"/>
  <c r="N589" i="1"/>
  <c r="O589" i="1" s="1"/>
  <c r="M590" i="1"/>
  <c r="L590" i="1" s="1"/>
  <c r="N590" i="1"/>
  <c r="O590" i="1" s="1"/>
  <c r="M591" i="1"/>
  <c r="L591" i="1" s="1"/>
  <c r="N591" i="1"/>
  <c r="O591" i="1" s="1"/>
  <c r="M592" i="1"/>
  <c r="L592" i="1" s="1"/>
  <c r="N592" i="1"/>
  <c r="O592" i="1" s="1"/>
  <c r="M593" i="1"/>
  <c r="L593" i="1" s="1"/>
  <c r="N593" i="1"/>
  <c r="O593" i="1" s="1"/>
  <c r="M594" i="1"/>
  <c r="L594" i="1" s="1"/>
  <c r="N594" i="1"/>
  <c r="O594" i="1" s="1"/>
  <c r="M595" i="1"/>
  <c r="L595" i="1" s="1"/>
  <c r="N595" i="1"/>
  <c r="O595" i="1" s="1"/>
  <c r="M596" i="1"/>
  <c r="L596" i="1" s="1"/>
  <c r="N596" i="1"/>
  <c r="O596" i="1" s="1"/>
  <c r="M597" i="1"/>
  <c r="L597" i="1" s="1"/>
  <c r="N597" i="1"/>
  <c r="O597" i="1" s="1"/>
  <c r="M598" i="1"/>
  <c r="L598" i="1" s="1"/>
  <c r="N598" i="1"/>
  <c r="O598" i="1" s="1"/>
  <c r="M599" i="1"/>
  <c r="L599" i="1" s="1"/>
  <c r="N599" i="1"/>
  <c r="O599" i="1" s="1"/>
  <c r="M600" i="1"/>
  <c r="L600" i="1" s="1"/>
  <c r="N600" i="1"/>
  <c r="O600" i="1" s="1"/>
  <c r="M601" i="1"/>
  <c r="L601" i="1" s="1"/>
  <c r="N601" i="1"/>
  <c r="O601" i="1" s="1"/>
  <c r="M602" i="1"/>
  <c r="L602" i="1" s="1"/>
  <c r="N602" i="1"/>
  <c r="O602" i="1" s="1"/>
  <c r="M603" i="1"/>
  <c r="L603" i="1" s="1"/>
  <c r="N603" i="1"/>
  <c r="O603" i="1" s="1"/>
  <c r="M604" i="1"/>
  <c r="L604" i="1" s="1"/>
  <c r="N604" i="1"/>
  <c r="O604" i="1" s="1"/>
  <c r="M605" i="1"/>
  <c r="L605" i="1" s="1"/>
  <c r="N605" i="1"/>
  <c r="O605" i="1" s="1"/>
  <c r="M606" i="1"/>
  <c r="L606" i="1" s="1"/>
  <c r="N606" i="1"/>
  <c r="O606" i="1" s="1"/>
  <c r="M607" i="1"/>
  <c r="L607" i="1" s="1"/>
  <c r="N607" i="1"/>
  <c r="O607" i="1" s="1"/>
  <c r="M608" i="1"/>
  <c r="L608" i="1" s="1"/>
  <c r="N608" i="1"/>
  <c r="O608" i="1" s="1"/>
  <c r="M609" i="1"/>
  <c r="N609" i="1"/>
  <c r="O609" i="1" s="1"/>
  <c r="M610" i="1"/>
  <c r="L610" i="1" s="1"/>
  <c r="N610" i="1"/>
  <c r="O610" i="1" s="1"/>
  <c r="M611" i="1"/>
  <c r="L611" i="1" s="1"/>
  <c r="N611" i="1"/>
  <c r="O611" i="1" s="1"/>
  <c r="M612" i="1"/>
  <c r="L612" i="1" s="1"/>
  <c r="N612" i="1"/>
  <c r="O612" i="1" s="1"/>
  <c r="M613" i="1"/>
  <c r="L613" i="1" s="1"/>
  <c r="N613" i="1"/>
  <c r="O613" i="1" s="1"/>
  <c r="M614" i="1"/>
  <c r="N614" i="1"/>
  <c r="O614" i="1" s="1"/>
  <c r="M615" i="1"/>
  <c r="L615" i="1" s="1"/>
  <c r="N615" i="1"/>
  <c r="O615" i="1" s="1"/>
  <c r="M616" i="1"/>
  <c r="L616" i="1" s="1"/>
  <c r="N616" i="1"/>
  <c r="O616" i="1" s="1"/>
  <c r="M617" i="1"/>
  <c r="L617" i="1" s="1"/>
  <c r="N617" i="1"/>
  <c r="O617" i="1" s="1"/>
  <c r="M618" i="1"/>
  <c r="L618" i="1" s="1"/>
  <c r="N618" i="1"/>
  <c r="O618" i="1" s="1"/>
  <c r="M619" i="1"/>
  <c r="N619" i="1"/>
  <c r="O619" i="1" s="1"/>
  <c r="M620" i="1"/>
  <c r="L620" i="1" s="1"/>
  <c r="N620" i="1"/>
  <c r="O620" i="1" s="1"/>
  <c r="M621" i="1"/>
  <c r="L621" i="1" s="1"/>
  <c r="N621" i="1"/>
  <c r="M622" i="1"/>
  <c r="N622" i="1"/>
  <c r="O622" i="1" s="1"/>
  <c r="M623" i="1"/>
  <c r="L623" i="1" s="1"/>
  <c r="N623" i="1"/>
  <c r="O623" i="1" s="1"/>
  <c r="M624" i="1"/>
  <c r="N624" i="1"/>
  <c r="O624" i="1" s="1"/>
  <c r="M625" i="1"/>
  <c r="L625" i="1" s="1"/>
  <c r="N625" i="1"/>
  <c r="O625" i="1" s="1"/>
  <c r="M626" i="1"/>
  <c r="L626" i="1" s="1"/>
  <c r="N626" i="1"/>
  <c r="O626" i="1" s="1"/>
  <c r="M627" i="1"/>
  <c r="L627" i="1" s="1"/>
  <c r="N627" i="1"/>
  <c r="O627" i="1" s="1"/>
  <c r="M628" i="1"/>
  <c r="L628" i="1" s="1"/>
  <c r="N628" i="1"/>
  <c r="O628" i="1" s="1"/>
  <c r="M629" i="1"/>
  <c r="L629" i="1" s="1"/>
  <c r="N629" i="1"/>
  <c r="O629" i="1" s="1"/>
  <c r="M630" i="1"/>
  <c r="L630" i="1" s="1"/>
  <c r="N630" i="1"/>
  <c r="O630" i="1" s="1"/>
  <c r="M631" i="1"/>
  <c r="L631" i="1" s="1"/>
  <c r="N631" i="1"/>
  <c r="O631" i="1" s="1"/>
  <c r="M632" i="1"/>
  <c r="L632" i="1" s="1"/>
  <c r="N632" i="1"/>
  <c r="O632" i="1" s="1"/>
  <c r="M633" i="1"/>
  <c r="L633" i="1" s="1"/>
  <c r="N633" i="1"/>
  <c r="O633" i="1" s="1"/>
  <c r="M634" i="1"/>
  <c r="L634" i="1" s="1"/>
  <c r="N634" i="1"/>
  <c r="O634" i="1" s="1"/>
  <c r="M635" i="1"/>
  <c r="L635" i="1" s="1"/>
  <c r="N635" i="1"/>
  <c r="O635" i="1" s="1"/>
  <c r="M636" i="1"/>
  <c r="L636" i="1" s="1"/>
  <c r="N636" i="1"/>
  <c r="O636" i="1" s="1"/>
  <c r="M637" i="1"/>
  <c r="L637" i="1" s="1"/>
  <c r="N637" i="1"/>
  <c r="O637" i="1" s="1"/>
  <c r="M638" i="1"/>
  <c r="L638" i="1" s="1"/>
  <c r="N638" i="1"/>
  <c r="O638" i="1" s="1"/>
  <c r="M639" i="1"/>
  <c r="L639" i="1" s="1"/>
  <c r="N639" i="1"/>
  <c r="O639" i="1" s="1"/>
  <c r="M640" i="1"/>
  <c r="L640" i="1" s="1"/>
  <c r="N640" i="1"/>
  <c r="O640" i="1" s="1"/>
  <c r="M641" i="1"/>
  <c r="L641" i="1" s="1"/>
  <c r="N641" i="1"/>
  <c r="O641" i="1" s="1"/>
  <c r="M642" i="1"/>
  <c r="L642" i="1" s="1"/>
  <c r="N642" i="1"/>
  <c r="M643" i="1"/>
  <c r="L643" i="1" s="1"/>
  <c r="N643" i="1"/>
  <c r="M644" i="1"/>
  <c r="L644" i="1" s="1"/>
  <c r="N644" i="1"/>
  <c r="O644" i="1" s="1"/>
  <c r="M645" i="1"/>
  <c r="L645" i="1" s="1"/>
  <c r="N645" i="1"/>
  <c r="M646" i="1"/>
  <c r="L646" i="1" s="1"/>
  <c r="N646" i="1"/>
  <c r="O646" i="1" s="1"/>
  <c r="M647" i="1"/>
  <c r="L647" i="1" s="1"/>
  <c r="N647" i="1"/>
  <c r="O647" i="1" s="1"/>
  <c r="M648" i="1"/>
  <c r="L648" i="1" s="1"/>
  <c r="N648" i="1"/>
  <c r="O648" i="1" s="1"/>
  <c r="M649" i="1"/>
  <c r="L649" i="1" s="1"/>
  <c r="N649" i="1"/>
  <c r="O649" i="1" s="1"/>
  <c r="M650" i="1"/>
  <c r="L650" i="1" s="1"/>
  <c r="N650" i="1"/>
  <c r="O650" i="1" s="1"/>
  <c r="M651" i="1"/>
  <c r="L651" i="1" s="1"/>
  <c r="N651" i="1"/>
  <c r="O651" i="1" s="1"/>
  <c r="M652" i="1"/>
  <c r="L652" i="1" s="1"/>
  <c r="N652" i="1"/>
  <c r="O652" i="1" s="1"/>
  <c r="M653" i="1"/>
  <c r="L653" i="1" s="1"/>
  <c r="N653" i="1"/>
  <c r="O653" i="1" s="1"/>
  <c r="M654" i="1"/>
  <c r="L654" i="1" s="1"/>
  <c r="N654" i="1"/>
  <c r="O654" i="1" s="1"/>
  <c r="M655" i="1"/>
  <c r="L655" i="1" s="1"/>
  <c r="N655" i="1"/>
  <c r="O655" i="1" s="1"/>
  <c r="M656" i="1"/>
  <c r="L656" i="1" s="1"/>
  <c r="N656" i="1"/>
  <c r="O656" i="1" s="1"/>
  <c r="M657" i="1"/>
  <c r="L657" i="1" s="1"/>
  <c r="N657" i="1"/>
  <c r="O657" i="1" s="1"/>
  <c r="M658" i="1"/>
  <c r="L658" i="1" s="1"/>
  <c r="N658" i="1"/>
  <c r="O658" i="1" s="1"/>
  <c r="M659" i="1"/>
  <c r="L659" i="1" s="1"/>
  <c r="N659" i="1"/>
  <c r="O659" i="1" s="1"/>
  <c r="M660" i="1"/>
  <c r="L660" i="1" s="1"/>
  <c r="N660" i="1"/>
  <c r="O660" i="1" s="1"/>
  <c r="M661" i="1"/>
  <c r="L661" i="1" s="1"/>
  <c r="N661" i="1"/>
  <c r="O661" i="1" s="1"/>
  <c r="M662" i="1"/>
  <c r="L662" i="1" s="1"/>
  <c r="N662" i="1"/>
  <c r="O662" i="1" s="1"/>
  <c r="M663" i="1"/>
  <c r="L663" i="1" s="1"/>
  <c r="N663" i="1"/>
  <c r="O663" i="1" s="1"/>
  <c r="M664" i="1"/>
  <c r="L664" i="1" s="1"/>
  <c r="N664" i="1"/>
  <c r="M665" i="1"/>
  <c r="L665" i="1" s="1"/>
  <c r="N665" i="1"/>
  <c r="O665" i="1" s="1"/>
  <c r="M666" i="1"/>
  <c r="L666" i="1" s="1"/>
  <c r="N666" i="1"/>
  <c r="O666" i="1" s="1"/>
  <c r="M667" i="1"/>
  <c r="L667" i="1" s="1"/>
  <c r="N667" i="1"/>
  <c r="O667" i="1" s="1"/>
  <c r="M668" i="1"/>
  <c r="L668" i="1" s="1"/>
  <c r="N668" i="1"/>
  <c r="O668" i="1" s="1"/>
  <c r="M669" i="1"/>
  <c r="L669" i="1" s="1"/>
  <c r="N669" i="1"/>
  <c r="O669" i="1" s="1"/>
  <c r="M670" i="1"/>
  <c r="L670" i="1" s="1"/>
  <c r="N670" i="1"/>
  <c r="O670" i="1" s="1"/>
  <c r="M671" i="1"/>
  <c r="L671" i="1" s="1"/>
  <c r="N671" i="1"/>
  <c r="O671" i="1" s="1"/>
  <c r="M672" i="1"/>
  <c r="N672" i="1"/>
  <c r="O672" i="1" s="1"/>
  <c r="M673" i="1"/>
  <c r="L673" i="1" s="1"/>
  <c r="N673" i="1"/>
  <c r="O673" i="1" s="1"/>
  <c r="M674" i="1"/>
  <c r="N674" i="1"/>
  <c r="O674" i="1" s="1"/>
  <c r="M675" i="1"/>
  <c r="L675" i="1" s="1"/>
  <c r="N675" i="1"/>
  <c r="O675" i="1" s="1"/>
  <c r="M676" i="1"/>
  <c r="L676" i="1" s="1"/>
  <c r="N676" i="1"/>
  <c r="O676" i="1" s="1"/>
  <c r="M677" i="1"/>
  <c r="L677" i="1" s="1"/>
  <c r="N677" i="1"/>
  <c r="O677" i="1" s="1"/>
  <c r="M678" i="1"/>
  <c r="N678" i="1"/>
  <c r="O678" i="1" s="1"/>
  <c r="M679" i="1"/>
  <c r="L679" i="1" s="1"/>
  <c r="N679" i="1"/>
  <c r="O679" i="1" s="1"/>
  <c r="M680" i="1"/>
  <c r="L680" i="1" s="1"/>
  <c r="N680" i="1"/>
  <c r="O680" i="1" s="1"/>
  <c r="M681" i="1"/>
  <c r="L681" i="1" s="1"/>
  <c r="N681" i="1"/>
  <c r="O681" i="1" s="1"/>
  <c r="M682" i="1"/>
  <c r="L682" i="1" s="1"/>
  <c r="N682" i="1"/>
  <c r="O682" i="1" s="1"/>
  <c r="M683" i="1"/>
  <c r="N683" i="1"/>
  <c r="O683" i="1" s="1"/>
  <c r="M684" i="1"/>
  <c r="N684" i="1"/>
  <c r="O684" i="1" s="1"/>
  <c r="M685" i="1"/>
  <c r="L685" i="1" s="1"/>
  <c r="N685" i="1"/>
  <c r="O685" i="1" s="1"/>
  <c r="M686" i="1"/>
  <c r="L686" i="1" s="1"/>
  <c r="N686" i="1"/>
  <c r="O686" i="1" s="1"/>
  <c r="M687" i="1"/>
  <c r="L687" i="1" s="1"/>
  <c r="N687" i="1"/>
  <c r="O687" i="1" s="1"/>
  <c r="M688" i="1"/>
  <c r="L688" i="1" s="1"/>
  <c r="N688" i="1"/>
  <c r="O688" i="1" s="1"/>
  <c r="M689" i="1"/>
  <c r="L689" i="1" s="1"/>
  <c r="N689" i="1"/>
  <c r="O689" i="1" s="1"/>
  <c r="M690" i="1"/>
  <c r="L690" i="1" s="1"/>
  <c r="N690" i="1"/>
  <c r="O690" i="1" s="1"/>
  <c r="M691" i="1"/>
  <c r="L691" i="1" s="1"/>
  <c r="N691" i="1"/>
  <c r="M692" i="1"/>
  <c r="L692" i="1" s="1"/>
  <c r="N692" i="1"/>
  <c r="O692" i="1" s="1"/>
  <c r="M693" i="1"/>
  <c r="L693" i="1" s="1"/>
  <c r="N693" i="1"/>
  <c r="O693" i="1" s="1"/>
  <c r="M694" i="1"/>
  <c r="L694" i="1" s="1"/>
  <c r="N694" i="1"/>
  <c r="O694" i="1" s="1"/>
  <c r="M695" i="1"/>
  <c r="L695" i="1" s="1"/>
  <c r="N695" i="1"/>
  <c r="O695" i="1" s="1"/>
  <c r="M696" i="1"/>
  <c r="L696" i="1" s="1"/>
  <c r="N696" i="1"/>
  <c r="O696" i="1" s="1"/>
  <c r="M697" i="1"/>
  <c r="L697" i="1" s="1"/>
  <c r="N697" i="1"/>
  <c r="O697" i="1" s="1"/>
  <c r="M698" i="1"/>
  <c r="L698" i="1" s="1"/>
  <c r="N698" i="1"/>
  <c r="O698" i="1" s="1"/>
  <c r="M699" i="1"/>
  <c r="L699" i="1" s="1"/>
  <c r="N699" i="1"/>
  <c r="O699" i="1" s="1"/>
  <c r="M700" i="1"/>
  <c r="L700" i="1" s="1"/>
  <c r="N700" i="1"/>
  <c r="O700" i="1" s="1"/>
  <c r="M701" i="1"/>
  <c r="L701" i="1" s="1"/>
  <c r="N701" i="1"/>
  <c r="O701" i="1" s="1"/>
  <c r="M702" i="1"/>
  <c r="L702" i="1" s="1"/>
  <c r="N702" i="1"/>
  <c r="O702" i="1" s="1"/>
  <c r="M703" i="1"/>
  <c r="L703" i="1" s="1"/>
  <c r="N703" i="1"/>
  <c r="O703" i="1" s="1"/>
  <c r="M704" i="1"/>
  <c r="L704" i="1" s="1"/>
  <c r="N704" i="1"/>
  <c r="O704" i="1" s="1"/>
  <c r="M705" i="1"/>
  <c r="L705" i="1" s="1"/>
  <c r="N705" i="1"/>
  <c r="O705" i="1" s="1"/>
  <c r="M706" i="1"/>
  <c r="L706" i="1" s="1"/>
  <c r="N706" i="1"/>
  <c r="O706" i="1" s="1"/>
  <c r="M707" i="1"/>
  <c r="L707" i="1" s="1"/>
  <c r="N707" i="1"/>
  <c r="O707" i="1" s="1"/>
  <c r="M708" i="1"/>
  <c r="L708" i="1" s="1"/>
  <c r="N708" i="1"/>
  <c r="O708" i="1" s="1"/>
  <c r="M709" i="1"/>
  <c r="L709" i="1" s="1"/>
  <c r="N709" i="1"/>
  <c r="O709" i="1" s="1"/>
  <c r="M710" i="1"/>
  <c r="L710" i="1" s="1"/>
  <c r="N710" i="1"/>
  <c r="O710" i="1" s="1"/>
  <c r="M711" i="1"/>
  <c r="L711" i="1" s="1"/>
  <c r="N711" i="1"/>
  <c r="O711" i="1" s="1"/>
  <c r="M712" i="1"/>
  <c r="L712" i="1" s="1"/>
  <c r="N712" i="1"/>
  <c r="O712" i="1" s="1"/>
  <c r="M713" i="1"/>
  <c r="L713" i="1" s="1"/>
  <c r="N713" i="1"/>
  <c r="O713" i="1" s="1"/>
  <c r="M714" i="1"/>
  <c r="L714" i="1" s="1"/>
  <c r="N714" i="1"/>
  <c r="O714" i="1" s="1"/>
  <c r="M715" i="1"/>
  <c r="L715" i="1" s="1"/>
  <c r="N715" i="1"/>
  <c r="O715" i="1" s="1"/>
  <c r="M716" i="1"/>
  <c r="L716" i="1" s="1"/>
  <c r="N716" i="1"/>
  <c r="O716" i="1" s="1"/>
  <c r="M717" i="1"/>
  <c r="L717" i="1" s="1"/>
  <c r="N717" i="1"/>
  <c r="O717" i="1" s="1"/>
  <c r="M718" i="1"/>
  <c r="L718" i="1" s="1"/>
  <c r="N718" i="1"/>
  <c r="O718" i="1" s="1"/>
  <c r="M719" i="1"/>
  <c r="L719" i="1" s="1"/>
  <c r="N719" i="1"/>
  <c r="O719" i="1" s="1"/>
  <c r="M720" i="1"/>
  <c r="N720" i="1"/>
  <c r="O720" i="1" s="1"/>
  <c r="M721" i="1"/>
  <c r="L721" i="1" s="1"/>
  <c r="N721" i="1"/>
  <c r="O721" i="1" s="1"/>
  <c r="M722" i="1"/>
  <c r="N722" i="1"/>
  <c r="O722" i="1" s="1"/>
  <c r="M723" i="1"/>
  <c r="L723" i="1" s="1"/>
  <c r="N723" i="1"/>
  <c r="O723" i="1" s="1"/>
  <c r="M724" i="1"/>
  <c r="L724" i="1" s="1"/>
  <c r="N724" i="1"/>
  <c r="O724" i="1" s="1"/>
  <c r="M725" i="1"/>
  <c r="L725" i="1" s="1"/>
  <c r="N725" i="1"/>
  <c r="O725" i="1" s="1"/>
  <c r="M726" i="1"/>
  <c r="N726" i="1"/>
  <c r="O726" i="1" s="1"/>
  <c r="M727" i="1"/>
  <c r="L727" i="1" s="1"/>
  <c r="N727" i="1"/>
  <c r="O727" i="1" s="1"/>
  <c r="M728" i="1"/>
  <c r="L728" i="1" s="1"/>
  <c r="N728" i="1"/>
  <c r="O728" i="1" s="1"/>
  <c r="M729" i="1"/>
  <c r="L729" i="1" s="1"/>
  <c r="N729" i="1"/>
  <c r="O729" i="1" s="1"/>
  <c r="M730" i="1"/>
  <c r="L730" i="1" s="1"/>
  <c r="N730" i="1"/>
  <c r="O730" i="1" s="1"/>
  <c r="M731" i="1"/>
  <c r="N731" i="1"/>
  <c r="O731" i="1" s="1"/>
  <c r="M732" i="1"/>
  <c r="N732" i="1"/>
  <c r="O732" i="1" s="1"/>
  <c r="M733" i="1"/>
  <c r="N733" i="1"/>
  <c r="O733" i="1" s="1"/>
  <c r="M734" i="1"/>
  <c r="N734" i="1"/>
  <c r="O734" i="1" s="1"/>
  <c r="M735" i="1"/>
  <c r="L735" i="1" s="1"/>
  <c r="N735" i="1"/>
  <c r="O735" i="1" s="1"/>
  <c r="M736" i="1"/>
  <c r="L736" i="1" s="1"/>
  <c r="N736" i="1"/>
  <c r="O736" i="1" s="1"/>
  <c r="M737" i="1"/>
  <c r="L737" i="1" s="1"/>
  <c r="N737" i="1"/>
  <c r="O737" i="1" s="1"/>
  <c r="M738" i="1"/>
  <c r="L738" i="1" s="1"/>
  <c r="N738" i="1"/>
  <c r="O738" i="1" s="1"/>
  <c r="M739" i="1"/>
  <c r="L739" i="1" s="1"/>
  <c r="N739" i="1"/>
  <c r="O739" i="1" s="1"/>
  <c r="M740" i="1"/>
  <c r="L740" i="1" s="1"/>
  <c r="N740" i="1"/>
  <c r="O740" i="1" s="1"/>
  <c r="M741" i="1"/>
  <c r="L741" i="1" s="1"/>
  <c r="N741" i="1"/>
  <c r="O741" i="1" s="1"/>
  <c r="M742" i="1"/>
  <c r="L742" i="1" s="1"/>
  <c r="N742" i="1"/>
  <c r="O742" i="1" s="1"/>
  <c r="M743" i="1"/>
  <c r="L743" i="1" s="1"/>
  <c r="N743" i="1"/>
  <c r="O743" i="1" s="1"/>
  <c r="M744" i="1"/>
  <c r="L744" i="1" s="1"/>
  <c r="N744" i="1"/>
  <c r="O744" i="1" s="1"/>
  <c r="M745" i="1"/>
  <c r="L745" i="1" s="1"/>
  <c r="N745" i="1"/>
  <c r="O745" i="1" s="1"/>
  <c r="M746" i="1"/>
  <c r="L746" i="1" s="1"/>
  <c r="N746" i="1"/>
  <c r="O746" i="1" s="1"/>
  <c r="M747" i="1"/>
  <c r="L747" i="1" s="1"/>
  <c r="N747" i="1"/>
  <c r="O747" i="1" s="1"/>
  <c r="M748" i="1"/>
  <c r="L748" i="1" s="1"/>
  <c r="N748" i="1"/>
  <c r="O748" i="1" s="1"/>
  <c r="M749" i="1"/>
  <c r="L749" i="1" s="1"/>
  <c r="N749" i="1"/>
  <c r="O749" i="1" s="1"/>
  <c r="M750" i="1"/>
  <c r="L750" i="1" s="1"/>
  <c r="N750" i="1"/>
  <c r="O750" i="1" s="1"/>
  <c r="M751" i="1"/>
  <c r="L751" i="1" s="1"/>
  <c r="N751" i="1"/>
  <c r="O751" i="1" s="1"/>
  <c r="M752" i="1"/>
  <c r="L752" i="1" s="1"/>
  <c r="N752" i="1"/>
  <c r="O752" i="1" s="1"/>
  <c r="M753" i="1"/>
  <c r="L753" i="1" s="1"/>
  <c r="N753" i="1"/>
  <c r="O753" i="1" s="1"/>
  <c r="M754" i="1"/>
  <c r="L754" i="1" s="1"/>
  <c r="N754" i="1"/>
  <c r="M755" i="1"/>
  <c r="L755" i="1" s="1"/>
  <c r="N755" i="1"/>
  <c r="M756" i="1"/>
  <c r="L756" i="1" s="1"/>
  <c r="N756" i="1"/>
  <c r="O756" i="1" s="1"/>
  <c r="M757" i="1"/>
  <c r="L757" i="1" s="1"/>
  <c r="N757" i="1"/>
  <c r="O757" i="1" s="1"/>
  <c r="M758" i="1"/>
  <c r="L758" i="1" s="1"/>
  <c r="N758" i="1"/>
  <c r="O758" i="1" s="1"/>
  <c r="M759" i="1"/>
  <c r="L759" i="1" s="1"/>
  <c r="N759" i="1"/>
  <c r="O759" i="1" s="1"/>
  <c r="M760" i="1"/>
  <c r="L760" i="1" s="1"/>
  <c r="N760" i="1"/>
  <c r="O760" i="1" s="1"/>
  <c r="M761" i="1"/>
  <c r="L761" i="1" s="1"/>
  <c r="N761" i="1"/>
  <c r="O761" i="1" s="1"/>
  <c r="M762" i="1"/>
  <c r="L762" i="1" s="1"/>
  <c r="N762" i="1"/>
  <c r="O762" i="1" s="1"/>
  <c r="M763" i="1"/>
  <c r="L763" i="1" s="1"/>
  <c r="N763" i="1"/>
  <c r="O763" i="1" s="1"/>
  <c r="M764" i="1"/>
  <c r="L764" i="1" s="1"/>
  <c r="N764" i="1"/>
  <c r="O764" i="1" s="1"/>
  <c r="M765" i="1"/>
  <c r="L765" i="1" s="1"/>
  <c r="N765" i="1"/>
  <c r="O765" i="1" s="1"/>
  <c r="M766" i="1"/>
  <c r="L766" i="1" s="1"/>
  <c r="N766" i="1"/>
  <c r="O766" i="1" s="1"/>
  <c r="M767" i="1"/>
  <c r="L767" i="1" s="1"/>
  <c r="N767" i="1"/>
  <c r="O767" i="1" s="1"/>
  <c r="M768" i="1"/>
  <c r="L768" i="1" s="1"/>
  <c r="N768" i="1"/>
  <c r="O768" i="1" s="1"/>
  <c r="M769" i="1"/>
  <c r="L769" i="1" s="1"/>
  <c r="N769" i="1"/>
  <c r="O769" i="1" s="1"/>
  <c r="M770" i="1"/>
  <c r="N770" i="1"/>
  <c r="O770" i="1" s="1"/>
  <c r="M771" i="1"/>
  <c r="L771" i="1" s="1"/>
  <c r="N771" i="1"/>
  <c r="O771" i="1" s="1"/>
  <c r="M772" i="1"/>
  <c r="L772" i="1" s="1"/>
  <c r="N772" i="1"/>
  <c r="O772" i="1" s="1"/>
  <c r="M773" i="1"/>
  <c r="L773" i="1" s="1"/>
  <c r="N773" i="1"/>
  <c r="O773" i="1" s="1"/>
  <c r="M774" i="1"/>
  <c r="L774" i="1" s="1"/>
  <c r="N774" i="1"/>
  <c r="O774" i="1" s="1"/>
  <c r="M775" i="1"/>
  <c r="L775" i="1" s="1"/>
  <c r="N775" i="1"/>
  <c r="O775" i="1" s="1"/>
  <c r="M776" i="1"/>
  <c r="L776" i="1" s="1"/>
  <c r="N776" i="1"/>
  <c r="O776" i="1" s="1"/>
  <c r="M777" i="1"/>
  <c r="L777" i="1" s="1"/>
  <c r="N777" i="1"/>
  <c r="O777" i="1" s="1"/>
  <c r="M778" i="1"/>
  <c r="N778" i="1"/>
  <c r="O778" i="1" s="1"/>
  <c r="M779" i="1"/>
  <c r="N779" i="1"/>
  <c r="O779" i="1" s="1"/>
  <c r="M780" i="1"/>
  <c r="L780" i="1" s="1"/>
  <c r="N780" i="1"/>
  <c r="O780" i="1" s="1"/>
  <c r="M781" i="1"/>
  <c r="L781" i="1" s="1"/>
  <c r="N781" i="1"/>
  <c r="O781" i="1" s="1"/>
  <c r="M782" i="1"/>
  <c r="N782" i="1"/>
  <c r="O782" i="1" s="1"/>
  <c r="M783" i="1"/>
  <c r="L783" i="1" s="1"/>
  <c r="N783" i="1"/>
  <c r="O783" i="1" s="1"/>
  <c r="M784" i="1"/>
  <c r="N784" i="1"/>
  <c r="O784" i="1" s="1"/>
  <c r="M785" i="1"/>
  <c r="L785" i="1" s="1"/>
  <c r="N785" i="1"/>
  <c r="O785" i="1" s="1"/>
  <c r="M786" i="1"/>
  <c r="L786" i="1" s="1"/>
  <c r="N786" i="1"/>
  <c r="O786" i="1" s="1"/>
  <c r="M787" i="1"/>
  <c r="L787" i="1" s="1"/>
  <c r="N787" i="1"/>
  <c r="O787" i="1" s="1"/>
  <c r="M788" i="1"/>
  <c r="L788" i="1" s="1"/>
  <c r="N788" i="1"/>
  <c r="O788" i="1" s="1"/>
  <c r="M789" i="1"/>
  <c r="L789" i="1" s="1"/>
  <c r="N789" i="1"/>
  <c r="O789" i="1" s="1"/>
  <c r="M790" i="1"/>
  <c r="L790" i="1" s="1"/>
  <c r="N790" i="1"/>
  <c r="O790" i="1" s="1"/>
  <c r="M791" i="1"/>
  <c r="L791" i="1" s="1"/>
  <c r="N791" i="1"/>
  <c r="O791" i="1" s="1"/>
  <c r="M792" i="1"/>
  <c r="L792" i="1" s="1"/>
  <c r="N792" i="1"/>
  <c r="O792" i="1" s="1"/>
  <c r="M793" i="1"/>
  <c r="L793" i="1" s="1"/>
  <c r="N793" i="1"/>
  <c r="O793" i="1" s="1"/>
  <c r="M794" i="1"/>
  <c r="L794" i="1" s="1"/>
  <c r="N794" i="1"/>
  <c r="O794" i="1" s="1"/>
  <c r="M795" i="1"/>
  <c r="L795" i="1" s="1"/>
  <c r="N795" i="1"/>
  <c r="O795" i="1" s="1"/>
  <c r="M796" i="1"/>
  <c r="L796" i="1" s="1"/>
  <c r="N796" i="1"/>
  <c r="O796" i="1" s="1"/>
  <c r="M797" i="1"/>
  <c r="L797" i="1" s="1"/>
  <c r="N797" i="1"/>
  <c r="O797" i="1" s="1"/>
  <c r="M798" i="1"/>
  <c r="L798" i="1" s="1"/>
  <c r="N798" i="1"/>
  <c r="O798" i="1" s="1"/>
  <c r="M799" i="1"/>
  <c r="L799" i="1" s="1"/>
  <c r="N799" i="1"/>
  <c r="O799" i="1" s="1"/>
  <c r="M800" i="1"/>
  <c r="L800" i="1" s="1"/>
  <c r="N800" i="1"/>
  <c r="O800" i="1" s="1"/>
  <c r="M801" i="1"/>
  <c r="L801" i="1" s="1"/>
  <c r="N801" i="1"/>
  <c r="O801" i="1" s="1"/>
  <c r="M802" i="1"/>
  <c r="L802" i="1" s="1"/>
  <c r="N802" i="1"/>
  <c r="O802" i="1" s="1"/>
  <c r="M803" i="1"/>
  <c r="L803" i="1" s="1"/>
  <c r="N803" i="1"/>
  <c r="O803" i="1" s="1"/>
  <c r="M804" i="1"/>
  <c r="L804" i="1" s="1"/>
  <c r="N804" i="1"/>
  <c r="O804" i="1" s="1"/>
  <c r="M805" i="1"/>
  <c r="L805" i="1" s="1"/>
  <c r="N805" i="1"/>
  <c r="O805" i="1" s="1"/>
  <c r="M806" i="1"/>
  <c r="L806" i="1" s="1"/>
  <c r="N806" i="1"/>
  <c r="O806" i="1" s="1"/>
  <c r="M807" i="1"/>
  <c r="L807" i="1" s="1"/>
  <c r="N807" i="1"/>
  <c r="O807" i="1" s="1"/>
  <c r="M808" i="1"/>
  <c r="L808" i="1" s="1"/>
  <c r="N808" i="1"/>
  <c r="O808" i="1" s="1"/>
  <c r="M809" i="1"/>
  <c r="L809" i="1" s="1"/>
  <c r="N809" i="1"/>
  <c r="O809" i="1" s="1"/>
  <c r="M810" i="1"/>
  <c r="L810" i="1" s="1"/>
  <c r="N810" i="1"/>
  <c r="O810" i="1" s="1"/>
  <c r="M811" i="1"/>
  <c r="L811" i="1" s="1"/>
  <c r="N811" i="1"/>
  <c r="O811" i="1" s="1"/>
  <c r="M812" i="1"/>
  <c r="L812" i="1" s="1"/>
  <c r="N812" i="1"/>
  <c r="O812" i="1" s="1"/>
  <c r="M813" i="1"/>
  <c r="L813" i="1" s="1"/>
  <c r="N813" i="1"/>
  <c r="O813" i="1" s="1"/>
  <c r="M814" i="1"/>
  <c r="L814" i="1" s="1"/>
  <c r="N814" i="1"/>
  <c r="O814" i="1" s="1"/>
  <c r="M815" i="1"/>
  <c r="L815" i="1" s="1"/>
  <c r="N815" i="1"/>
  <c r="O815" i="1" s="1"/>
  <c r="M816" i="1"/>
  <c r="L816" i="1" s="1"/>
  <c r="N816" i="1"/>
  <c r="O816" i="1" s="1"/>
  <c r="M817" i="1"/>
  <c r="L817" i="1" s="1"/>
  <c r="N817" i="1"/>
  <c r="O817" i="1" s="1"/>
  <c r="M818" i="1"/>
  <c r="L818" i="1" s="1"/>
  <c r="N818" i="1"/>
  <c r="M819" i="1"/>
  <c r="L819" i="1" s="1"/>
  <c r="N819" i="1"/>
  <c r="M820" i="1"/>
  <c r="L820" i="1" s="1"/>
  <c r="N820" i="1"/>
  <c r="O820" i="1" s="1"/>
  <c r="M821" i="1"/>
  <c r="L821" i="1" s="1"/>
  <c r="N821" i="1"/>
  <c r="O821" i="1" s="1"/>
  <c r="M822" i="1"/>
  <c r="L822" i="1" s="1"/>
  <c r="N822" i="1"/>
  <c r="O822" i="1" s="1"/>
  <c r="M823" i="1"/>
  <c r="L823" i="1" s="1"/>
  <c r="N823" i="1"/>
  <c r="O823" i="1" s="1"/>
  <c r="M824" i="1"/>
  <c r="L824" i="1" s="1"/>
  <c r="N824" i="1"/>
  <c r="O824" i="1" s="1"/>
  <c r="M825" i="1"/>
  <c r="L825" i="1" s="1"/>
  <c r="N825" i="1"/>
  <c r="O825" i="1" s="1"/>
  <c r="M826" i="1"/>
  <c r="N826" i="1"/>
  <c r="O826" i="1" s="1"/>
  <c r="M827" i="1"/>
  <c r="L827" i="1" s="1"/>
  <c r="N827" i="1"/>
  <c r="O827" i="1" s="1"/>
  <c r="M828" i="1"/>
  <c r="N828" i="1"/>
  <c r="O828" i="1" s="1"/>
  <c r="M829" i="1"/>
  <c r="L829" i="1" s="1"/>
  <c r="N829" i="1"/>
  <c r="O829" i="1" s="1"/>
  <c r="M830" i="1"/>
  <c r="L830" i="1" s="1"/>
  <c r="N830" i="1"/>
  <c r="O830" i="1" s="1"/>
  <c r="M831" i="1"/>
  <c r="L831" i="1" s="1"/>
  <c r="N831" i="1"/>
  <c r="O831" i="1" s="1"/>
  <c r="M832" i="1"/>
  <c r="N832" i="1"/>
  <c r="O832" i="1" s="1"/>
  <c r="M833" i="1"/>
  <c r="N833" i="1"/>
  <c r="O833" i="1" s="1"/>
  <c r="M834" i="1"/>
  <c r="N834" i="1"/>
  <c r="O834" i="1" s="1"/>
  <c r="M835" i="1"/>
  <c r="L835" i="1" s="1"/>
  <c r="N835" i="1"/>
  <c r="O835" i="1" s="1"/>
  <c r="M836" i="1"/>
  <c r="L836" i="1" s="1"/>
  <c r="N836" i="1"/>
  <c r="O836" i="1" s="1"/>
  <c r="M837" i="1"/>
  <c r="L837" i="1" s="1"/>
  <c r="N837" i="1"/>
  <c r="O837" i="1" s="1"/>
  <c r="M838" i="1"/>
  <c r="L838" i="1" s="1"/>
  <c r="N838" i="1"/>
  <c r="O838" i="1" s="1"/>
  <c r="M839" i="1"/>
  <c r="L839" i="1" s="1"/>
  <c r="N839" i="1"/>
  <c r="O839" i="1" s="1"/>
  <c r="M840" i="1"/>
  <c r="L840" i="1" s="1"/>
  <c r="N840" i="1"/>
  <c r="O840" i="1" s="1"/>
  <c r="M841" i="1"/>
  <c r="L841" i="1" s="1"/>
  <c r="N841" i="1"/>
  <c r="O841" i="1" s="1"/>
  <c r="M842" i="1"/>
  <c r="L842" i="1" s="1"/>
  <c r="N842" i="1"/>
  <c r="O842" i="1" s="1"/>
  <c r="M843" i="1"/>
  <c r="L843" i="1" s="1"/>
  <c r="N843" i="1"/>
  <c r="O843" i="1" s="1"/>
  <c r="M844" i="1"/>
  <c r="L844" i="1" s="1"/>
  <c r="N844" i="1"/>
  <c r="O844" i="1" s="1"/>
  <c r="M845" i="1"/>
  <c r="L845" i="1" s="1"/>
  <c r="N845" i="1"/>
  <c r="O845" i="1" s="1"/>
  <c r="M846" i="1"/>
  <c r="L846" i="1" s="1"/>
  <c r="N846" i="1"/>
  <c r="O846" i="1" s="1"/>
  <c r="M847" i="1"/>
  <c r="L847" i="1" s="1"/>
  <c r="N847" i="1"/>
  <c r="O847" i="1" s="1"/>
  <c r="M848" i="1"/>
  <c r="L848" i="1" s="1"/>
  <c r="N848" i="1"/>
  <c r="O848" i="1" s="1"/>
  <c r="M849" i="1"/>
  <c r="L849" i="1" s="1"/>
  <c r="N849" i="1"/>
  <c r="O849" i="1" s="1"/>
  <c r="M850" i="1"/>
  <c r="L850" i="1" s="1"/>
  <c r="N850" i="1"/>
  <c r="O850" i="1" s="1"/>
  <c r="M851" i="1"/>
  <c r="L851" i="1" s="1"/>
  <c r="N851" i="1"/>
  <c r="O851" i="1" s="1"/>
  <c r="M852" i="1"/>
  <c r="L852" i="1" s="1"/>
  <c r="N852" i="1"/>
  <c r="O852" i="1" s="1"/>
  <c r="M853" i="1"/>
  <c r="L853" i="1" s="1"/>
  <c r="N853" i="1"/>
  <c r="O853" i="1" s="1"/>
  <c r="M854" i="1"/>
  <c r="L854" i="1" s="1"/>
  <c r="N854" i="1"/>
  <c r="O854" i="1" s="1"/>
  <c r="M855" i="1"/>
  <c r="L855" i="1" s="1"/>
  <c r="N855" i="1"/>
  <c r="O855" i="1" s="1"/>
  <c r="M856" i="1"/>
  <c r="L856" i="1" s="1"/>
  <c r="N856" i="1"/>
  <c r="O856" i="1" s="1"/>
  <c r="M857" i="1"/>
  <c r="L857" i="1" s="1"/>
  <c r="N857" i="1"/>
  <c r="O857" i="1" s="1"/>
  <c r="M858" i="1"/>
  <c r="L858" i="1" s="1"/>
  <c r="N858" i="1"/>
  <c r="O858" i="1" s="1"/>
  <c r="M859" i="1"/>
  <c r="L859" i="1" s="1"/>
  <c r="N859" i="1"/>
  <c r="O859" i="1" s="1"/>
  <c r="M860" i="1"/>
  <c r="L860" i="1" s="1"/>
  <c r="N860" i="1"/>
  <c r="O860" i="1" s="1"/>
  <c r="M861" i="1"/>
  <c r="L861" i="1" s="1"/>
  <c r="N861" i="1"/>
  <c r="O861" i="1" s="1"/>
  <c r="M862" i="1"/>
  <c r="L862" i="1" s="1"/>
  <c r="N862" i="1"/>
  <c r="O862" i="1" s="1"/>
  <c r="M863" i="1"/>
  <c r="L863" i="1" s="1"/>
  <c r="N863" i="1"/>
  <c r="O863" i="1" s="1"/>
  <c r="M864" i="1"/>
  <c r="L864" i="1" s="1"/>
  <c r="N864" i="1"/>
  <c r="O864" i="1" s="1"/>
  <c r="M865" i="1"/>
  <c r="L865" i="1" s="1"/>
  <c r="N865" i="1"/>
  <c r="O865" i="1" s="1"/>
  <c r="M866" i="1"/>
  <c r="L866" i="1" s="1"/>
  <c r="N866" i="1"/>
  <c r="O866" i="1" s="1"/>
  <c r="M867" i="1"/>
  <c r="L867" i="1" s="1"/>
  <c r="N867" i="1"/>
  <c r="O867" i="1" s="1"/>
  <c r="M868" i="1"/>
  <c r="L868" i="1" s="1"/>
  <c r="N868" i="1"/>
  <c r="O868" i="1" s="1"/>
  <c r="M869" i="1"/>
  <c r="L869" i="1" s="1"/>
  <c r="N869" i="1"/>
  <c r="O869" i="1" s="1"/>
  <c r="M870" i="1"/>
  <c r="L870" i="1" s="1"/>
  <c r="N870" i="1"/>
  <c r="O870" i="1" s="1"/>
  <c r="M871" i="1"/>
  <c r="L871" i="1" s="1"/>
  <c r="N871" i="1"/>
  <c r="O871" i="1" s="1"/>
  <c r="M872" i="1"/>
  <c r="L872" i="1" s="1"/>
  <c r="N872" i="1"/>
  <c r="O872" i="1" s="1"/>
  <c r="M873" i="1"/>
  <c r="L873" i="1" s="1"/>
  <c r="N873" i="1"/>
  <c r="O873" i="1" s="1"/>
  <c r="M874" i="1"/>
  <c r="L874" i="1" s="1"/>
  <c r="N874" i="1"/>
  <c r="O874" i="1" s="1"/>
  <c r="M875" i="1"/>
  <c r="L875" i="1" s="1"/>
  <c r="N875" i="1"/>
  <c r="O875" i="1" s="1"/>
  <c r="M876" i="1"/>
  <c r="N876" i="1"/>
  <c r="O876" i="1" s="1"/>
  <c r="M877" i="1"/>
  <c r="L877" i="1" s="1"/>
  <c r="N877" i="1"/>
  <c r="O877" i="1" s="1"/>
  <c r="M878" i="1"/>
  <c r="N878" i="1"/>
  <c r="O878" i="1" s="1"/>
  <c r="M879" i="1"/>
  <c r="L879" i="1" s="1"/>
  <c r="N879" i="1"/>
  <c r="O879" i="1" s="1"/>
  <c r="M880" i="1"/>
  <c r="L880" i="1" s="1"/>
  <c r="N880" i="1"/>
  <c r="O880" i="1" s="1"/>
  <c r="M881" i="1"/>
  <c r="N881" i="1"/>
  <c r="O881" i="1" s="1"/>
  <c r="M882" i="1"/>
  <c r="N882" i="1"/>
  <c r="O882" i="1" s="1"/>
  <c r="M883" i="1"/>
  <c r="L883" i="1" s="1"/>
  <c r="N883" i="1"/>
  <c r="O883" i="1" s="1"/>
  <c r="M884" i="1"/>
  <c r="L884" i="1" s="1"/>
  <c r="N884" i="1"/>
  <c r="O884" i="1" s="1"/>
  <c r="M885" i="1"/>
  <c r="L885" i="1" s="1"/>
  <c r="N885" i="1"/>
  <c r="O885" i="1" s="1"/>
  <c r="M886" i="1"/>
  <c r="N886" i="1"/>
  <c r="O886" i="1" s="1"/>
  <c r="M887" i="1"/>
  <c r="L887" i="1" s="1"/>
  <c r="N887" i="1"/>
  <c r="O887" i="1" s="1"/>
  <c r="M888" i="1"/>
  <c r="L888" i="1" s="1"/>
  <c r="N888" i="1"/>
  <c r="O888" i="1" s="1"/>
  <c r="M889" i="1"/>
  <c r="L889" i="1" s="1"/>
  <c r="N889" i="1"/>
  <c r="O889" i="1" s="1"/>
  <c r="M890" i="1"/>
  <c r="N890" i="1"/>
  <c r="O890" i="1" s="1"/>
  <c r="M891" i="1"/>
  <c r="L891" i="1" s="1"/>
  <c r="N891" i="1"/>
  <c r="O891" i="1" s="1"/>
  <c r="M892" i="1"/>
  <c r="L892" i="1" s="1"/>
  <c r="N892" i="1"/>
  <c r="O892" i="1" s="1"/>
  <c r="M893" i="1"/>
  <c r="L893" i="1" s="1"/>
  <c r="N893" i="1"/>
  <c r="O893" i="1" s="1"/>
  <c r="M894" i="1"/>
  <c r="L894" i="1" s="1"/>
  <c r="N894" i="1"/>
  <c r="O894" i="1" s="1"/>
  <c r="M895" i="1"/>
  <c r="L895" i="1" s="1"/>
  <c r="N895" i="1"/>
  <c r="O895" i="1" s="1"/>
  <c r="M896" i="1"/>
  <c r="L896" i="1" s="1"/>
  <c r="N896" i="1"/>
  <c r="O896" i="1" s="1"/>
  <c r="M897" i="1"/>
  <c r="L897" i="1" s="1"/>
  <c r="N897" i="1"/>
  <c r="O897" i="1" s="1"/>
  <c r="M898" i="1"/>
  <c r="L898" i="1" s="1"/>
  <c r="N898" i="1"/>
  <c r="O898" i="1" s="1"/>
  <c r="M899" i="1"/>
  <c r="L899" i="1" s="1"/>
  <c r="N899" i="1"/>
  <c r="O899" i="1" s="1"/>
  <c r="M900" i="1"/>
  <c r="L900" i="1" s="1"/>
  <c r="N900" i="1"/>
  <c r="O900" i="1" s="1"/>
  <c r="M901" i="1"/>
  <c r="L901" i="1" s="1"/>
  <c r="N901" i="1"/>
  <c r="O901" i="1" s="1"/>
  <c r="M902" i="1"/>
  <c r="L902" i="1" s="1"/>
  <c r="N902" i="1"/>
  <c r="O902" i="1" s="1"/>
  <c r="M903" i="1"/>
  <c r="L903" i="1" s="1"/>
  <c r="N903" i="1"/>
  <c r="O903" i="1" s="1"/>
  <c r="M904" i="1"/>
  <c r="L904" i="1" s="1"/>
  <c r="N904" i="1"/>
  <c r="O904" i="1" s="1"/>
  <c r="M905" i="1"/>
  <c r="L905" i="1" s="1"/>
  <c r="N905" i="1"/>
  <c r="O905" i="1" s="1"/>
  <c r="M906" i="1"/>
  <c r="L906" i="1" s="1"/>
  <c r="N906" i="1"/>
  <c r="O906" i="1" s="1"/>
  <c r="M907" i="1"/>
  <c r="L907" i="1" s="1"/>
  <c r="N907" i="1"/>
  <c r="O907" i="1" s="1"/>
  <c r="M908" i="1"/>
  <c r="L908" i="1" s="1"/>
  <c r="N908" i="1"/>
  <c r="O908" i="1" s="1"/>
  <c r="M909" i="1"/>
  <c r="L909" i="1" s="1"/>
  <c r="N909" i="1"/>
  <c r="O909" i="1" s="1"/>
  <c r="M910" i="1"/>
  <c r="L910" i="1" s="1"/>
  <c r="N910" i="1"/>
  <c r="O910" i="1" s="1"/>
  <c r="M911" i="1"/>
  <c r="L911" i="1" s="1"/>
  <c r="N911" i="1"/>
  <c r="O911" i="1" s="1"/>
  <c r="M912" i="1"/>
  <c r="L912" i="1" s="1"/>
  <c r="N912" i="1"/>
  <c r="O912" i="1" s="1"/>
  <c r="M913" i="1"/>
  <c r="L913" i="1" s="1"/>
  <c r="N913" i="1"/>
  <c r="O913" i="1" s="1"/>
  <c r="M914" i="1"/>
  <c r="L914" i="1" s="1"/>
  <c r="N914" i="1"/>
  <c r="O914" i="1" s="1"/>
  <c r="M915" i="1"/>
  <c r="L915" i="1" s="1"/>
  <c r="N915" i="1"/>
  <c r="O915" i="1" s="1"/>
  <c r="M916" i="1"/>
  <c r="L916" i="1" s="1"/>
  <c r="N916" i="1"/>
  <c r="O916" i="1" s="1"/>
  <c r="M917" i="1"/>
  <c r="L917" i="1" s="1"/>
  <c r="N917" i="1"/>
  <c r="O917" i="1" s="1"/>
  <c r="M918" i="1"/>
  <c r="L918" i="1" s="1"/>
  <c r="N918" i="1"/>
  <c r="O918" i="1" s="1"/>
  <c r="M919" i="1"/>
  <c r="L919" i="1" s="1"/>
  <c r="N919" i="1"/>
  <c r="O919" i="1" s="1"/>
  <c r="M920" i="1"/>
  <c r="L920" i="1" s="1"/>
  <c r="N920" i="1"/>
  <c r="O920" i="1" s="1"/>
  <c r="M921" i="1"/>
  <c r="L921" i="1" s="1"/>
  <c r="N921" i="1"/>
  <c r="O921" i="1" s="1"/>
  <c r="M922" i="1"/>
  <c r="L922" i="1" s="1"/>
  <c r="N922" i="1"/>
  <c r="O922" i="1" s="1"/>
  <c r="M923" i="1"/>
  <c r="L923" i="1" s="1"/>
  <c r="N923" i="1"/>
  <c r="O923" i="1" s="1"/>
  <c r="M924" i="1"/>
  <c r="L924" i="1" s="1"/>
  <c r="N924" i="1"/>
  <c r="O924" i="1" s="1"/>
  <c r="M925" i="1"/>
  <c r="L925" i="1" s="1"/>
  <c r="N925" i="1"/>
  <c r="O925" i="1" s="1"/>
  <c r="M926" i="1"/>
  <c r="L926" i="1" s="1"/>
  <c r="N926" i="1"/>
  <c r="O926" i="1" s="1"/>
  <c r="M927" i="1"/>
  <c r="L927" i="1" s="1"/>
  <c r="N927" i="1"/>
  <c r="O927" i="1" s="1"/>
  <c r="M928" i="1"/>
  <c r="N928" i="1"/>
  <c r="O928" i="1" s="1"/>
  <c r="M929" i="1"/>
  <c r="N929" i="1"/>
  <c r="O929" i="1" s="1"/>
  <c r="M930" i="1"/>
  <c r="L930" i="1" s="1"/>
  <c r="N930" i="1"/>
  <c r="M931" i="1"/>
  <c r="L931" i="1" s="1"/>
  <c r="N931" i="1"/>
  <c r="M932" i="1"/>
  <c r="L932" i="1" s="1"/>
  <c r="N932" i="1"/>
  <c r="O932" i="1" s="1"/>
  <c r="M933" i="1"/>
  <c r="L933" i="1" s="1"/>
  <c r="N933" i="1"/>
  <c r="O933" i="1" s="1"/>
  <c r="M934" i="1"/>
  <c r="L934" i="1" s="1"/>
  <c r="N934" i="1"/>
  <c r="O934" i="1" s="1"/>
  <c r="M935" i="1"/>
  <c r="L935" i="1" s="1"/>
  <c r="N935" i="1"/>
  <c r="O935" i="1" s="1"/>
  <c r="M936" i="1"/>
  <c r="L936" i="1" s="1"/>
  <c r="N936" i="1"/>
  <c r="O936" i="1" s="1"/>
  <c r="M937" i="1"/>
  <c r="L937" i="1" s="1"/>
  <c r="N937" i="1"/>
  <c r="O937" i="1" s="1"/>
  <c r="M938" i="1"/>
  <c r="N938" i="1"/>
  <c r="O938" i="1" s="1"/>
  <c r="M939" i="1"/>
  <c r="N939" i="1"/>
  <c r="O939" i="1" s="1"/>
  <c r="M940" i="1"/>
  <c r="N940" i="1"/>
  <c r="O940" i="1" s="1"/>
  <c r="M941" i="1"/>
  <c r="L941" i="1" s="1"/>
  <c r="N941" i="1"/>
  <c r="O941" i="1" s="1"/>
  <c r="M942" i="1"/>
  <c r="L942" i="1" s="1"/>
  <c r="N942" i="1"/>
  <c r="O942" i="1" s="1"/>
  <c r="M943" i="1"/>
  <c r="L943" i="1" s="1"/>
  <c r="N943" i="1"/>
  <c r="O943" i="1" s="1"/>
  <c r="M944" i="1"/>
  <c r="L944" i="1" s="1"/>
  <c r="N944" i="1"/>
  <c r="O944" i="1" s="1"/>
  <c r="M945" i="1"/>
  <c r="L945" i="1" s="1"/>
  <c r="N945" i="1"/>
  <c r="O945" i="1" s="1"/>
  <c r="M946" i="1"/>
  <c r="L946" i="1" s="1"/>
  <c r="N946" i="1"/>
  <c r="O946" i="1" s="1"/>
  <c r="M947" i="1"/>
  <c r="L947" i="1" s="1"/>
  <c r="N947" i="1"/>
  <c r="O947" i="1" s="1"/>
  <c r="M948" i="1"/>
  <c r="L948" i="1" s="1"/>
  <c r="N948" i="1"/>
  <c r="O948" i="1" s="1"/>
  <c r="M949" i="1"/>
  <c r="L949" i="1" s="1"/>
  <c r="N949" i="1"/>
  <c r="O949" i="1" s="1"/>
  <c r="M950" i="1"/>
  <c r="L950" i="1" s="1"/>
  <c r="N950" i="1"/>
  <c r="O950" i="1" s="1"/>
  <c r="M951" i="1"/>
  <c r="L951" i="1" s="1"/>
  <c r="N951" i="1"/>
  <c r="O951" i="1" s="1"/>
  <c r="M952" i="1"/>
  <c r="L952" i="1" s="1"/>
  <c r="N952" i="1"/>
  <c r="O952" i="1" s="1"/>
  <c r="M953" i="1"/>
  <c r="L953" i="1" s="1"/>
  <c r="N953" i="1"/>
  <c r="O953" i="1" s="1"/>
  <c r="M954" i="1"/>
  <c r="L954" i="1" s="1"/>
  <c r="N954" i="1"/>
  <c r="O954" i="1" s="1"/>
  <c r="M955" i="1"/>
  <c r="L955" i="1" s="1"/>
  <c r="N955" i="1"/>
  <c r="O955" i="1" s="1"/>
  <c r="M956" i="1"/>
  <c r="L956" i="1" s="1"/>
  <c r="N956" i="1"/>
  <c r="O956" i="1" s="1"/>
  <c r="M957" i="1"/>
  <c r="L957" i="1" s="1"/>
  <c r="N957" i="1"/>
  <c r="O957" i="1" s="1"/>
  <c r="M958" i="1"/>
  <c r="L958" i="1" s="1"/>
  <c r="N958" i="1"/>
  <c r="O958" i="1" s="1"/>
  <c r="M959" i="1"/>
  <c r="L959" i="1" s="1"/>
  <c r="N959" i="1"/>
  <c r="O959" i="1" s="1"/>
  <c r="M960" i="1"/>
  <c r="L960" i="1" s="1"/>
  <c r="N960" i="1"/>
  <c r="O960" i="1" s="1"/>
  <c r="M961" i="1"/>
  <c r="L961" i="1" s="1"/>
  <c r="N961" i="1"/>
  <c r="M962" i="1"/>
  <c r="L962" i="1" s="1"/>
  <c r="N962" i="1"/>
  <c r="O962" i="1" s="1"/>
  <c r="M963" i="1"/>
  <c r="L963" i="1" s="1"/>
  <c r="N963" i="1"/>
  <c r="O963" i="1" s="1"/>
  <c r="M964" i="1"/>
  <c r="L964" i="1" s="1"/>
  <c r="N964" i="1"/>
  <c r="O964" i="1" s="1"/>
  <c r="M965" i="1"/>
  <c r="L965" i="1" s="1"/>
  <c r="N965" i="1"/>
  <c r="M966" i="1"/>
  <c r="L966" i="1" s="1"/>
  <c r="N966" i="1"/>
  <c r="O966" i="1" s="1"/>
  <c r="M967" i="1"/>
  <c r="L967" i="1" s="1"/>
  <c r="N967" i="1"/>
  <c r="O967" i="1" s="1"/>
  <c r="M968" i="1"/>
  <c r="L968" i="1" s="1"/>
  <c r="N968" i="1"/>
  <c r="O968" i="1" s="1"/>
  <c r="M969" i="1"/>
  <c r="L969" i="1" s="1"/>
  <c r="N969" i="1"/>
  <c r="O969" i="1" s="1"/>
  <c r="M970" i="1"/>
  <c r="L970" i="1" s="1"/>
  <c r="N970" i="1"/>
  <c r="O970" i="1" s="1"/>
  <c r="M971" i="1"/>
  <c r="L971" i="1" s="1"/>
  <c r="N971" i="1"/>
  <c r="O971" i="1" s="1"/>
  <c r="M972" i="1"/>
  <c r="L972" i="1" s="1"/>
  <c r="N972" i="1"/>
  <c r="O972" i="1" s="1"/>
  <c r="M973" i="1"/>
  <c r="L973" i="1" s="1"/>
  <c r="N973" i="1"/>
  <c r="O973" i="1" s="1"/>
  <c r="M974" i="1"/>
  <c r="L974" i="1" s="1"/>
  <c r="N974" i="1"/>
  <c r="O974" i="1" s="1"/>
  <c r="M975" i="1"/>
  <c r="L975" i="1" s="1"/>
  <c r="N975" i="1"/>
  <c r="O975" i="1" s="1"/>
  <c r="M976" i="1"/>
  <c r="N976" i="1"/>
  <c r="O976" i="1" s="1"/>
  <c r="M977" i="1"/>
  <c r="L977" i="1" s="1"/>
  <c r="N977" i="1"/>
  <c r="O977" i="1" s="1"/>
  <c r="M978" i="1"/>
  <c r="N978" i="1"/>
  <c r="O978" i="1" s="1"/>
  <c r="M979" i="1"/>
  <c r="L979" i="1" s="1"/>
  <c r="N979" i="1"/>
  <c r="O979" i="1" s="1"/>
  <c r="M980" i="1"/>
  <c r="L980" i="1" s="1"/>
  <c r="N980" i="1"/>
  <c r="O980" i="1" s="1"/>
  <c r="M981" i="1"/>
  <c r="L981" i="1" s="1"/>
  <c r="N981" i="1"/>
  <c r="O981" i="1" s="1"/>
  <c r="M982" i="1"/>
  <c r="N982" i="1"/>
  <c r="O982" i="1" s="1"/>
  <c r="M983" i="1"/>
  <c r="L983" i="1" s="1"/>
  <c r="N983" i="1"/>
  <c r="O983" i="1" s="1"/>
  <c r="M984" i="1"/>
  <c r="L984" i="1" s="1"/>
  <c r="N984" i="1"/>
  <c r="O984" i="1" s="1"/>
  <c r="M985" i="1"/>
  <c r="L985" i="1" s="1"/>
  <c r="N985" i="1"/>
  <c r="O985" i="1" s="1"/>
  <c r="M986" i="1"/>
  <c r="N986" i="1"/>
  <c r="O986" i="1" s="1"/>
  <c r="M987" i="1"/>
  <c r="N987" i="1"/>
  <c r="O987" i="1" s="1"/>
  <c r="M988" i="1"/>
  <c r="N988" i="1"/>
  <c r="O988" i="1" s="1"/>
  <c r="M989" i="1"/>
  <c r="N989" i="1"/>
  <c r="O989" i="1" s="1"/>
  <c r="M990" i="1"/>
  <c r="L990" i="1" s="1"/>
  <c r="N990" i="1"/>
  <c r="O990" i="1" s="1"/>
  <c r="M991" i="1"/>
  <c r="L991" i="1" s="1"/>
  <c r="N991" i="1"/>
  <c r="O991" i="1" s="1"/>
  <c r="M992" i="1"/>
  <c r="L992" i="1" s="1"/>
  <c r="N992" i="1"/>
  <c r="O992" i="1" s="1"/>
  <c r="M993" i="1"/>
  <c r="L993" i="1" s="1"/>
  <c r="N993" i="1"/>
  <c r="O993" i="1" s="1"/>
  <c r="M994" i="1"/>
  <c r="L994" i="1" s="1"/>
  <c r="N994" i="1"/>
  <c r="M995" i="1"/>
  <c r="L995" i="1" s="1"/>
  <c r="N995" i="1"/>
  <c r="M996" i="1"/>
  <c r="L996" i="1" s="1"/>
  <c r="N996" i="1"/>
  <c r="O996" i="1" s="1"/>
  <c r="M997" i="1"/>
  <c r="L997" i="1" s="1"/>
  <c r="N997" i="1"/>
  <c r="O997" i="1" s="1"/>
  <c r="M998" i="1"/>
  <c r="L998" i="1" s="1"/>
  <c r="N998" i="1"/>
  <c r="O998" i="1" s="1"/>
  <c r="M999" i="1"/>
  <c r="L999" i="1" s="1"/>
  <c r="N999" i="1"/>
  <c r="O999" i="1" s="1"/>
  <c r="M1000" i="1"/>
  <c r="L1000" i="1" s="1"/>
  <c r="N1000" i="1"/>
  <c r="O1000" i="1" s="1"/>
  <c r="M1001" i="1"/>
  <c r="L1001" i="1" s="1"/>
  <c r="N1001" i="1"/>
  <c r="O1001" i="1" s="1"/>
  <c r="M1002" i="1"/>
  <c r="L1002" i="1" s="1"/>
  <c r="N1002" i="1"/>
  <c r="O1002" i="1" s="1"/>
  <c r="M1003" i="1"/>
  <c r="L1003" i="1" s="1"/>
  <c r="N1003" i="1"/>
  <c r="O1003" i="1" s="1"/>
  <c r="M1004" i="1"/>
  <c r="L1004" i="1" s="1"/>
  <c r="N1004" i="1"/>
  <c r="O1004" i="1" s="1"/>
  <c r="M1005" i="1"/>
  <c r="L1005" i="1" s="1"/>
  <c r="N1005" i="1"/>
  <c r="O1005" i="1" s="1"/>
  <c r="M1006" i="1"/>
  <c r="L1006" i="1" s="1"/>
  <c r="N1006" i="1"/>
  <c r="O1006" i="1" s="1"/>
  <c r="M1007" i="1"/>
  <c r="L1007" i="1" s="1"/>
  <c r="N1007" i="1"/>
  <c r="O1007" i="1" s="1"/>
  <c r="M1008" i="1"/>
  <c r="L1008" i="1" s="1"/>
  <c r="N1008" i="1"/>
  <c r="O1008" i="1" s="1"/>
  <c r="M1009" i="1"/>
  <c r="L1009" i="1" s="1"/>
  <c r="N1009" i="1"/>
  <c r="O1009" i="1" s="1"/>
  <c r="M1010" i="1"/>
  <c r="L1010" i="1" s="1"/>
  <c r="N1010" i="1"/>
  <c r="O1010" i="1" s="1"/>
  <c r="M1011" i="1"/>
  <c r="L1011" i="1" s="1"/>
  <c r="N1011" i="1"/>
  <c r="O1011" i="1" s="1"/>
  <c r="M1012" i="1"/>
  <c r="L1012" i="1" s="1"/>
  <c r="N1012" i="1"/>
  <c r="O1012" i="1" s="1"/>
  <c r="M1013" i="1"/>
  <c r="L1013" i="1" s="1"/>
  <c r="N1013" i="1"/>
  <c r="O1013" i="1" s="1"/>
  <c r="M1014" i="1"/>
  <c r="L1014" i="1" s="1"/>
  <c r="N1014" i="1"/>
  <c r="O1014" i="1" s="1"/>
  <c r="M1015" i="1"/>
  <c r="L1015" i="1" s="1"/>
  <c r="N1015" i="1"/>
  <c r="O1015" i="1" s="1"/>
  <c r="M1016" i="1"/>
  <c r="L1016" i="1" s="1"/>
  <c r="N1016" i="1"/>
  <c r="O1016" i="1" s="1"/>
  <c r="M1017" i="1"/>
  <c r="L1017" i="1" s="1"/>
  <c r="N1017" i="1"/>
  <c r="O1017" i="1" s="1"/>
  <c r="M1018" i="1"/>
  <c r="L1018" i="1" s="1"/>
  <c r="N1018" i="1"/>
  <c r="O1018" i="1" s="1"/>
  <c r="M1019" i="1"/>
  <c r="L1019" i="1" s="1"/>
  <c r="N1019" i="1"/>
  <c r="O1019" i="1" s="1"/>
  <c r="M1020" i="1"/>
  <c r="L1020" i="1" s="1"/>
  <c r="N1020" i="1"/>
  <c r="O1020" i="1" s="1"/>
  <c r="M1021" i="1"/>
  <c r="L1021" i="1" s="1"/>
  <c r="N1021" i="1"/>
  <c r="O1021" i="1" s="1"/>
  <c r="M1022" i="1"/>
  <c r="L1022" i="1" s="1"/>
  <c r="N1022" i="1"/>
  <c r="O1022" i="1" s="1"/>
  <c r="M1023" i="1"/>
  <c r="L1023" i="1" s="1"/>
  <c r="N1023" i="1"/>
  <c r="O1023" i="1" s="1"/>
  <c r="M1024" i="1"/>
  <c r="L1024" i="1" s="1"/>
  <c r="N1024" i="1"/>
  <c r="O1024" i="1" s="1"/>
  <c r="M1025" i="1"/>
  <c r="N1025" i="1"/>
  <c r="O1025" i="1" s="1"/>
  <c r="M1026" i="1"/>
  <c r="N1026" i="1"/>
  <c r="O1026" i="1" s="1"/>
  <c r="M1027" i="1"/>
  <c r="L1027" i="1" s="1"/>
  <c r="N1027" i="1"/>
  <c r="O1027" i="1" s="1"/>
  <c r="M1028" i="1"/>
  <c r="L1028" i="1" s="1"/>
  <c r="N1028" i="1"/>
  <c r="O1028" i="1" s="1"/>
  <c r="M1029" i="1"/>
  <c r="L1029" i="1" s="1"/>
  <c r="N1029" i="1"/>
  <c r="O1029" i="1" s="1"/>
  <c r="M1030" i="1"/>
  <c r="L1030" i="1" s="1"/>
  <c r="N1030" i="1"/>
  <c r="O1030" i="1" s="1"/>
  <c r="M1031" i="1"/>
  <c r="L1031" i="1" s="1"/>
  <c r="N1031" i="1"/>
  <c r="O1031" i="1" s="1"/>
  <c r="M1032" i="1"/>
  <c r="L1032" i="1" s="1"/>
  <c r="N1032" i="1"/>
  <c r="O1032" i="1" s="1"/>
  <c r="M1033" i="1"/>
  <c r="N1033" i="1"/>
  <c r="O1033" i="1" s="1"/>
  <c r="M1034" i="1"/>
  <c r="N1034" i="1"/>
  <c r="O1034" i="1" s="1"/>
  <c r="M1035" i="1"/>
  <c r="N1035" i="1"/>
  <c r="O1035" i="1" s="1"/>
  <c r="M1036" i="1"/>
  <c r="N1036" i="1"/>
  <c r="O1036" i="1" s="1"/>
  <c r="M1037" i="1"/>
  <c r="L1037" i="1" s="1"/>
  <c r="N1037" i="1"/>
  <c r="O1037" i="1" s="1"/>
  <c r="M1038" i="1"/>
  <c r="L1038" i="1" s="1"/>
  <c r="N1038" i="1"/>
  <c r="O1038" i="1" s="1"/>
  <c r="M1039" i="1"/>
  <c r="L1039" i="1" s="1"/>
  <c r="N1039" i="1"/>
  <c r="O1039" i="1" s="1"/>
  <c r="M1040" i="1"/>
  <c r="L1040" i="1" s="1"/>
  <c r="N1040" i="1"/>
  <c r="O1040" i="1" s="1"/>
  <c r="M1041" i="1"/>
  <c r="L1041" i="1" s="1"/>
  <c r="N1041" i="1"/>
  <c r="O1041" i="1" s="1"/>
  <c r="M1042" i="1"/>
  <c r="L1042" i="1" s="1"/>
  <c r="N1042" i="1"/>
  <c r="O1042" i="1" s="1"/>
  <c r="M1043" i="1"/>
  <c r="L1043" i="1" s="1"/>
  <c r="N1043" i="1"/>
  <c r="O1043" i="1" s="1"/>
  <c r="M1044" i="1"/>
  <c r="L1044" i="1" s="1"/>
  <c r="N1044" i="1"/>
  <c r="O1044" i="1" s="1"/>
  <c r="M1045" i="1"/>
  <c r="L1045" i="1" s="1"/>
  <c r="N1045" i="1"/>
  <c r="O1045" i="1" s="1"/>
  <c r="M1046" i="1"/>
  <c r="L1046" i="1" s="1"/>
  <c r="N1046" i="1"/>
  <c r="O1046" i="1" s="1"/>
  <c r="M1047" i="1"/>
  <c r="L1047" i="1" s="1"/>
  <c r="N1047" i="1"/>
  <c r="O1047" i="1" s="1"/>
  <c r="M1048" i="1"/>
  <c r="L1048" i="1" s="1"/>
  <c r="N1048" i="1"/>
  <c r="O1048" i="1" s="1"/>
  <c r="M1049" i="1"/>
  <c r="L1049" i="1" s="1"/>
  <c r="N1049" i="1"/>
  <c r="O1049" i="1" s="1"/>
  <c r="M1050" i="1"/>
  <c r="L1050" i="1" s="1"/>
  <c r="N1050" i="1"/>
  <c r="O1050" i="1" s="1"/>
  <c r="M1051" i="1"/>
  <c r="L1051" i="1" s="1"/>
  <c r="N1051" i="1"/>
  <c r="O1051" i="1" s="1"/>
  <c r="M1052" i="1"/>
  <c r="L1052" i="1" s="1"/>
  <c r="N1052" i="1"/>
  <c r="O1052" i="1" s="1"/>
  <c r="M1053" i="1"/>
  <c r="L1053" i="1" s="1"/>
  <c r="N1053" i="1"/>
  <c r="O1053" i="1" s="1"/>
  <c r="M1054" i="1"/>
  <c r="L1054" i="1" s="1"/>
  <c r="N1054" i="1"/>
  <c r="O1054" i="1" s="1"/>
  <c r="M1055" i="1"/>
  <c r="L1055" i="1" s="1"/>
  <c r="N1055" i="1"/>
  <c r="O1055" i="1" s="1"/>
  <c r="M1056" i="1"/>
  <c r="L1056" i="1" s="1"/>
  <c r="N1056" i="1"/>
  <c r="O1056" i="1" s="1"/>
  <c r="M1057" i="1"/>
  <c r="L1057" i="1" s="1"/>
  <c r="N1057" i="1"/>
  <c r="O1057" i="1" s="1"/>
  <c r="M1058" i="1"/>
  <c r="L1058" i="1" s="1"/>
  <c r="N1058" i="1"/>
  <c r="O1058" i="1" s="1"/>
  <c r="M1059" i="1"/>
  <c r="L1059" i="1" s="1"/>
  <c r="N1059" i="1"/>
  <c r="O1059" i="1" s="1"/>
  <c r="M1060" i="1"/>
  <c r="L1060" i="1" s="1"/>
  <c r="N1060" i="1"/>
  <c r="O1060" i="1" s="1"/>
  <c r="M1061" i="1"/>
  <c r="L1061" i="1" s="1"/>
  <c r="N1061" i="1"/>
  <c r="O1061" i="1" s="1"/>
  <c r="M1062" i="1"/>
  <c r="L1062" i="1" s="1"/>
  <c r="N1062" i="1"/>
  <c r="O1062" i="1" s="1"/>
  <c r="M1063" i="1"/>
  <c r="L1063" i="1" s="1"/>
  <c r="N1063" i="1"/>
  <c r="O1063" i="1" s="1"/>
  <c r="M1064" i="1"/>
  <c r="L1064" i="1" s="1"/>
  <c r="N1064" i="1"/>
  <c r="O1064" i="1" s="1"/>
  <c r="M1065" i="1"/>
  <c r="L1065" i="1" s="1"/>
  <c r="N1065" i="1"/>
  <c r="O1065" i="1" s="1"/>
  <c r="M1066" i="1"/>
  <c r="L1066" i="1" s="1"/>
  <c r="N1066" i="1"/>
  <c r="O1066" i="1" s="1"/>
  <c r="M1067" i="1"/>
  <c r="L1067" i="1" s="1"/>
  <c r="N1067" i="1"/>
  <c r="O1067" i="1" s="1"/>
  <c r="M1068" i="1"/>
  <c r="L1068" i="1" s="1"/>
  <c r="N1068" i="1"/>
  <c r="O1068" i="1" s="1"/>
  <c r="M1069" i="1"/>
  <c r="L1069" i="1" s="1"/>
  <c r="N1069" i="1"/>
  <c r="O1069" i="1" s="1"/>
  <c r="M1070" i="1"/>
  <c r="L1070" i="1" s="1"/>
  <c r="N1070" i="1"/>
  <c r="O1070" i="1" s="1"/>
  <c r="M1071" i="1"/>
  <c r="L1071" i="1" s="1"/>
  <c r="N1071" i="1"/>
  <c r="O1071" i="1" s="1"/>
  <c r="M1072" i="1"/>
  <c r="N1072" i="1"/>
  <c r="O1072" i="1" s="1"/>
  <c r="M1073" i="1"/>
  <c r="N1073" i="1"/>
  <c r="O1073" i="1" s="1"/>
  <c r="M1074" i="1"/>
  <c r="L1074" i="1" s="1"/>
  <c r="N1074" i="1"/>
  <c r="O1074" i="1" s="1"/>
  <c r="M1075" i="1"/>
  <c r="L1075" i="1" s="1"/>
  <c r="N1075" i="1"/>
  <c r="O1075" i="1" s="1"/>
  <c r="M1076" i="1"/>
  <c r="L1076" i="1" s="1"/>
  <c r="N1076" i="1"/>
  <c r="O1076" i="1" s="1"/>
  <c r="M1077" i="1"/>
  <c r="L1077" i="1" s="1"/>
  <c r="N1077" i="1"/>
  <c r="O1077" i="1" s="1"/>
  <c r="M1078" i="1"/>
  <c r="L1078" i="1" s="1"/>
  <c r="N1078" i="1"/>
  <c r="O1078" i="1" s="1"/>
  <c r="M1079" i="1"/>
  <c r="L1079" i="1" s="1"/>
  <c r="N1079" i="1"/>
  <c r="O1079" i="1" s="1"/>
  <c r="M1080" i="1"/>
  <c r="L1080" i="1" s="1"/>
  <c r="N1080" i="1"/>
  <c r="O1080" i="1" s="1"/>
  <c r="M1081" i="1"/>
  <c r="N1081" i="1"/>
  <c r="O1081" i="1" s="1"/>
  <c r="M1082" i="1"/>
  <c r="N1082" i="1"/>
  <c r="O1082" i="1" s="1"/>
  <c r="M1083" i="1"/>
  <c r="N1083" i="1"/>
  <c r="O1083" i="1" s="1"/>
  <c r="M1084" i="1"/>
  <c r="L1084" i="1" s="1"/>
  <c r="N1084" i="1"/>
  <c r="O1084" i="1" s="1"/>
  <c r="M1085" i="1"/>
  <c r="L1085" i="1" s="1"/>
  <c r="N1085" i="1"/>
  <c r="O1085" i="1" s="1"/>
  <c r="M1086" i="1"/>
  <c r="L1086" i="1" s="1"/>
  <c r="N1086" i="1"/>
  <c r="O1086" i="1" s="1"/>
  <c r="M1087" i="1"/>
  <c r="L1087" i="1" s="1"/>
  <c r="N1087" i="1"/>
  <c r="O1087" i="1" s="1"/>
  <c r="M1088" i="1"/>
  <c r="L1088" i="1" s="1"/>
  <c r="N1088" i="1"/>
  <c r="O1088" i="1" s="1"/>
  <c r="M1089" i="1"/>
  <c r="L1089" i="1" s="1"/>
  <c r="N1089" i="1"/>
  <c r="O1089" i="1" s="1"/>
  <c r="M1090" i="1"/>
  <c r="L1090" i="1" s="1"/>
  <c r="N1090" i="1"/>
  <c r="O1090" i="1" s="1"/>
  <c r="M1091" i="1"/>
  <c r="L1091" i="1" s="1"/>
  <c r="N1091" i="1"/>
  <c r="O1091" i="1" s="1"/>
  <c r="M1092" i="1"/>
  <c r="L1092" i="1" s="1"/>
  <c r="N1092" i="1"/>
  <c r="O1092" i="1" s="1"/>
  <c r="M1093" i="1"/>
  <c r="L1093" i="1" s="1"/>
  <c r="N1093" i="1"/>
  <c r="O1093" i="1" s="1"/>
  <c r="M1094" i="1"/>
  <c r="L1094" i="1" s="1"/>
  <c r="N1094" i="1"/>
  <c r="O1094" i="1" s="1"/>
  <c r="M1095" i="1"/>
  <c r="L1095" i="1" s="1"/>
  <c r="N1095" i="1"/>
  <c r="O1095" i="1" s="1"/>
  <c r="M1096" i="1"/>
  <c r="L1096" i="1" s="1"/>
  <c r="N1096" i="1"/>
  <c r="O1096" i="1" s="1"/>
  <c r="M1097" i="1"/>
  <c r="L1097" i="1" s="1"/>
  <c r="N1097" i="1"/>
  <c r="O1097" i="1" s="1"/>
  <c r="M1098" i="1"/>
  <c r="L1098" i="1" s="1"/>
  <c r="N1098" i="1"/>
  <c r="O1098" i="1" s="1"/>
  <c r="M1099" i="1"/>
  <c r="L1099" i="1" s="1"/>
  <c r="N1099" i="1"/>
  <c r="O1099" i="1" s="1"/>
  <c r="M1100" i="1"/>
  <c r="L1100" i="1" s="1"/>
  <c r="N1100" i="1"/>
  <c r="O1100" i="1" s="1"/>
  <c r="M1101" i="1"/>
  <c r="L1101" i="1" s="1"/>
  <c r="N1101" i="1"/>
  <c r="O1101" i="1" s="1"/>
  <c r="M1102" i="1"/>
  <c r="L1102" i="1" s="1"/>
  <c r="N1102" i="1"/>
  <c r="O1102" i="1" s="1"/>
  <c r="M1103" i="1"/>
  <c r="L1103" i="1" s="1"/>
  <c r="N1103" i="1"/>
  <c r="O1103" i="1" s="1"/>
  <c r="M1104" i="1"/>
  <c r="L1104" i="1" s="1"/>
  <c r="N1104" i="1"/>
  <c r="O1104" i="1" s="1"/>
  <c r="M1105" i="1"/>
  <c r="L1105" i="1" s="1"/>
  <c r="N1105" i="1"/>
  <c r="O1105" i="1" s="1"/>
  <c r="M1106" i="1"/>
  <c r="L1106" i="1" s="1"/>
  <c r="N1106" i="1"/>
  <c r="O1106" i="1" s="1"/>
  <c r="M1107" i="1"/>
  <c r="L1107" i="1" s="1"/>
  <c r="N1107" i="1"/>
  <c r="O1107" i="1" s="1"/>
  <c r="M1108" i="1"/>
  <c r="L1108" i="1" s="1"/>
  <c r="N1108" i="1"/>
  <c r="O1108" i="1" s="1"/>
  <c r="M1109" i="1"/>
  <c r="L1109" i="1" s="1"/>
  <c r="N1109" i="1"/>
  <c r="O1109" i="1" s="1"/>
  <c r="M1110" i="1"/>
  <c r="L1110" i="1" s="1"/>
  <c r="N1110" i="1"/>
  <c r="O1110" i="1" s="1"/>
  <c r="M1111" i="1"/>
  <c r="L1111" i="1" s="1"/>
  <c r="N1111" i="1"/>
  <c r="O1111" i="1" s="1"/>
  <c r="M1112" i="1"/>
  <c r="L1112" i="1" s="1"/>
  <c r="N1112" i="1"/>
  <c r="O1112" i="1" s="1"/>
  <c r="M1113" i="1"/>
  <c r="L1113" i="1" s="1"/>
  <c r="N1113" i="1"/>
  <c r="O1113" i="1" s="1"/>
  <c r="M1114" i="1"/>
  <c r="L1114" i="1" s="1"/>
  <c r="N1114" i="1"/>
  <c r="O1114" i="1" s="1"/>
  <c r="M1115" i="1"/>
  <c r="L1115" i="1" s="1"/>
  <c r="N1115" i="1"/>
  <c r="O1115" i="1" s="1"/>
  <c r="M1116" i="1"/>
  <c r="L1116" i="1" s="1"/>
  <c r="N1116" i="1"/>
  <c r="O1116" i="1" s="1"/>
  <c r="M1117" i="1"/>
  <c r="L1117" i="1" s="1"/>
  <c r="N1117" i="1"/>
  <c r="O1117" i="1" s="1"/>
  <c r="M1118" i="1"/>
  <c r="L1118" i="1" s="1"/>
  <c r="N1118" i="1"/>
  <c r="O1118" i="1" s="1"/>
  <c r="M1119" i="1"/>
  <c r="L1119" i="1" s="1"/>
  <c r="N1119" i="1"/>
  <c r="O1119" i="1" s="1"/>
  <c r="M1120" i="1"/>
  <c r="N1120" i="1"/>
  <c r="O1120" i="1" s="1"/>
  <c r="M1121" i="1"/>
  <c r="L1121" i="1" s="1"/>
  <c r="N1121" i="1"/>
  <c r="O1121" i="1" s="1"/>
  <c r="M1122" i="1"/>
  <c r="N1122" i="1"/>
  <c r="O1122" i="1" s="1"/>
  <c r="M1123" i="1"/>
  <c r="L1123" i="1" s="1"/>
  <c r="N1123" i="1"/>
  <c r="O1123" i="1" s="1"/>
  <c r="M1124" i="1"/>
  <c r="L1124" i="1" s="1"/>
  <c r="N1124" i="1"/>
  <c r="O1124" i="1" s="1"/>
  <c r="M1125" i="1"/>
  <c r="L1125" i="1" s="1"/>
  <c r="N1125" i="1"/>
  <c r="O1125" i="1" s="1"/>
  <c r="M1126" i="1"/>
  <c r="N1126" i="1"/>
  <c r="O1126" i="1" s="1"/>
  <c r="M1127" i="1"/>
  <c r="L1127" i="1" s="1"/>
  <c r="N1127" i="1"/>
  <c r="O1127" i="1" s="1"/>
  <c r="M1128" i="1"/>
  <c r="L1128" i="1" s="1"/>
  <c r="N1128" i="1"/>
  <c r="O1128" i="1" s="1"/>
  <c r="M1129" i="1"/>
  <c r="N1129" i="1"/>
  <c r="O1129" i="1" s="1"/>
  <c r="M1130" i="1"/>
  <c r="N1130" i="1"/>
  <c r="O1130" i="1" s="1"/>
  <c r="M1131" i="1"/>
  <c r="L1131" i="1" s="1"/>
  <c r="N1131" i="1"/>
  <c r="O1131" i="1" s="1"/>
  <c r="M1132" i="1"/>
  <c r="L1132" i="1" s="1"/>
  <c r="N1132" i="1"/>
  <c r="O1132" i="1" s="1"/>
  <c r="M1133" i="1"/>
  <c r="L1133" i="1" s="1"/>
  <c r="N1133" i="1"/>
  <c r="O1133" i="1" s="1"/>
  <c r="M1134" i="1"/>
  <c r="L1134" i="1" s="1"/>
  <c r="N1134" i="1"/>
  <c r="O1134" i="1" s="1"/>
  <c r="M1135" i="1"/>
  <c r="L1135" i="1" s="1"/>
  <c r="N1135" i="1"/>
  <c r="O1135" i="1" s="1"/>
  <c r="M1136" i="1"/>
  <c r="L1136" i="1" s="1"/>
  <c r="N1136" i="1"/>
  <c r="O1136" i="1" s="1"/>
  <c r="M1137" i="1"/>
  <c r="L1137" i="1" s="1"/>
  <c r="N1137" i="1"/>
  <c r="O1137" i="1" s="1"/>
  <c r="M1138" i="1"/>
  <c r="L1138" i="1" s="1"/>
  <c r="N1138" i="1"/>
  <c r="M1139" i="1"/>
  <c r="L1139" i="1" s="1"/>
  <c r="N1139" i="1"/>
  <c r="M1140" i="1"/>
  <c r="L1140" i="1" s="1"/>
  <c r="N1140" i="1"/>
  <c r="O1140" i="1" s="1"/>
  <c r="M1141" i="1"/>
  <c r="L1141" i="1" s="1"/>
  <c r="N1141" i="1"/>
  <c r="M1142" i="1"/>
  <c r="L1142" i="1" s="1"/>
  <c r="N1142" i="1"/>
  <c r="O1142" i="1" s="1"/>
  <c r="M1143" i="1"/>
  <c r="L1143" i="1" s="1"/>
  <c r="N1143" i="1"/>
  <c r="O1143" i="1" s="1"/>
  <c r="M1144" i="1"/>
  <c r="L1144" i="1" s="1"/>
  <c r="N1144" i="1"/>
  <c r="O1144" i="1" s="1"/>
  <c r="M1145" i="1"/>
  <c r="L1145" i="1" s="1"/>
  <c r="N1145" i="1"/>
  <c r="O1145" i="1" s="1"/>
  <c r="M1146" i="1"/>
  <c r="L1146" i="1" s="1"/>
  <c r="N1146" i="1"/>
  <c r="O1146" i="1" s="1"/>
  <c r="M1147" i="1"/>
  <c r="L1147" i="1" s="1"/>
  <c r="N1147" i="1"/>
  <c r="O1147" i="1" s="1"/>
  <c r="M1148" i="1"/>
  <c r="L1148" i="1" s="1"/>
  <c r="N1148" i="1"/>
  <c r="O1148" i="1" s="1"/>
  <c r="M1149" i="1"/>
  <c r="L1149" i="1" s="1"/>
  <c r="N1149" i="1"/>
  <c r="O1149" i="1" s="1"/>
  <c r="M1150" i="1"/>
  <c r="L1150" i="1" s="1"/>
  <c r="N1150" i="1"/>
  <c r="O1150" i="1" s="1"/>
  <c r="M1151" i="1"/>
  <c r="L1151" i="1" s="1"/>
  <c r="N1151" i="1"/>
  <c r="O1151" i="1" s="1"/>
  <c r="M1152" i="1"/>
  <c r="L1152" i="1" s="1"/>
  <c r="N1152" i="1"/>
  <c r="O1152" i="1" s="1"/>
  <c r="M1153" i="1"/>
  <c r="L1153" i="1" s="1"/>
  <c r="N1153" i="1"/>
  <c r="O1153" i="1" s="1"/>
  <c r="M1154" i="1"/>
  <c r="L1154" i="1" s="1"/>
  <c r="N1154" i="1"/>
  <c r="O1154" i="1" s="1"/>
  <c r="M1155" i="1"/>
  <c r="L1155" i="1" s="1"/>
  <c r="N1155" i="1"/>
  <c r="O1155" i="1" s="1"/>
  <c r="M1156" i="1"/>
  <c r="L1156" i="1" s="1"/>
  <c r="N1156" i="1"/>
  <c r="O1156" i="1" s="1"/>
  <c r="M1157" i="1"/>
  <c r="L1157" i="1" s="1"/>
  <c r="N1157" i="1"/>
  <c r="O1157" i="1" s="1"/>
  <c r="M1158" i="1"/>
  <c r="L1158" i="1" s="1"/>
  <c r="N1158" i="1"/>
  <c r="O1158" i="1" s="1"/>
  <c r="M1159" i="1"/>
  <c r="L1159" i="1" s="1"/>
  <c r="N1159" i="1"/>
  <c r="O1159" i="1" s="1"/>
  <c r="M1160" i="1"/>
  <c r="L1160" i="1" s="1"/>
  <c r="N1160" i="1"/>
  <c r="O1160" i="1" s="1"/>
  <c r="M1161" i="1"/>
  <c r="L1161" i="1" s="1"/>
  <c r="N1161" i="1"/>
  <c r="O1161" i="1" s="1"/>
  <c r="M1162" i="1"/>
  <c r="L1162" i="1" s="1"/>
  <c r="N1162" i="1"/>
  <c r="O1162" i="1" s="1"/>
  <c r="M1163" i="1"/>
  <c r="L1163" i="1" s="1"/>
  <c r="N1163" i="1"/>
  <c r="O1163" i="1" s="1"/>
  <c r="M1164" i="1"/>
  <c r="N1164" i="1"/>
  <c r="O1164" i="1" s="1"/>
  <c r="M1165" i="1"/>
  <c r="L1165" i="1" s="1"/>
  <c r="N1165" i="1"/>
  <c r="O1165" i="1" s="1"/>
  <c r="M1166" i="1"/>
  <c r="N1166" i="1"/>
  <c r="O1166" i="1" s="1"/>
  <c r="M1167" i="1"/>
  <c r="L1167" i="1" s="1"/>
  <c r="N1167" i="1"/>
  <c r="O1167" i="1" s="1"/>
  <c r="M1168" i="1"/>
  <c r="N1168" i="1"/>
  <c r="O1168" i="1" s="1"/>
  <c r="M1169" i="1"/>
  <c r="N1169" i="1"/>
  <c r="O1169" i="1" s="1"/>
  <c r="M1170" i="1"/>
  <c r="N1170" i="1"/>
  <c r="O1170" i="1" s="1"/>
  <c r="M1171" i="1"/>
  <c r="L1171" i="1" s="1"/>
  <c r="N1171" i="1"/>
  <c r="O1171" i="1" s="1"/>
  <c r="M1172" i="1"/>
  <c r="L1172" i="1" s="1"/>
  <c r="N1172" i="1"/>
  <c r="O1172" i="1" s="1"/>
  <c r="M1173" i="1"/>
  <c r="L1173" i="1" s="1"/>
  <c r="N1173" i="1"/>
  <c r="M1174" i="1"/>
  <c r="N1174" i="1"/>
  <c r="O1174" i="1" s="1"/>
  <c r="M1175" i="1"/>
  <c r="L1175" i="1" s="1"/>
  <c r="N1175" i="1"/>
  <c r="O1175" i="1" s="1"/>
  <c r="M1176" i="1"/>
  <c r="L1176" i="1" s="1"/>
  <c r="N1176" i="1"/>
  <c r="O1176" i="1" s="1"/>
  <c r="M1177" i="1"/>
  <c r="L1177" i="1" s="1"/>
  <c r="N1177" i="1"/>
  <c r="O1177" i="1" s="1"/>
  <c r="M1178" i="1"/>
  <c r="L1178" i="1" s="1"/>
  <c r="N1178" i="1"/>
  <c r="O1178" i="1" s="1"/>
  <c r="M1179" i="1"/>
  <c r="L1179" i="1" s="1"/>
  <c r="N1179" i="1"/>
  <c r="O1179" i="1" s="1"/>
  <c r="M1180" i="1"/>
  <c r="L1180" i="1" s="1"/>
  <c r="N1180" i="1"/>
  <c r="O1180" i="1" s="1"/>
  <c r="M1181" i="1"/>
  <c r="L1181" i="1" s="1"/>
  <c r="N1181" i="1"/>
  <c r="O1181" i="1" s="1"/>
  <c r="M1182" i="1"/>
  <c r="L1182" i="1" s="1"/>
  <c r="N1182" i="1"/>
  <c r="O1182" i="1" s="1"/>
  <c r="M1183" i="1"/>
  <c r="L1183" i="1" s="1"/>
  <c r="N1183" i="1"/>
  <c r="O1183" i="1" s="1"/>
  <c r="M1184" i="1"/>
  <c r="L1184" i="1" s="1"/>
  <c r="N1184" i="1"/>
  <c r="O1184" i="1" s="1"/>
  <c r="M1185" i="1"/>
  <c r="L1185" i="1" s="1"/>
  <c r="N1185" i="1"/>
  <c r="O1185" i="1" s="1"/>
  <c r="M1186" i="1"/>
  <c r="L1186" i="1" s="1"/>
  <c r="N1186" i="1"/>
  <c r="M1187" i="1"/>
  <c r="L1187" i="1" s="1"/>
  <c r="N1187" i="1"/>
  <c r="O1187" i="1" s="1"/>
  <c r="M1188" i="1"/>
  <c r="L1188" i="1" s="1"/>
  <c r="N1188" i="1"/>
  <c r="O1188" i="1" s="1"/>
  <c r="M1189" i="1"/>
  <c r="L1189" i="1" s="1"/>
  <c r="N1189" i="1"/>
  <c r="O1189" i="1" s="1"/>
  <c r="M1190" i="1"/>
  <c r="L1190" i="1" s="1"/>
  <c r="N1190" i="1"/>
  <c r="O1190" i="1" s="1"/>
  <c r="M1191" i="1"/>
  <c r="L1191" i="1" s="1"/>
  <c r="N1191" i="1"/>
  <c r="O1191" i="1" s="1"/>
  <c r="M1192" i="1"/>
  <c r="L1192" i="1" s="1"/>
  <c r="N1192" i="1"/>
  <c r="O1192" i="1" s="1"/>
  <c r="M1193" i="1"/>
  <c r="L1193" i="1" s="1"/>
  <c r="N1193" i="1"/>
  <c r="O1193" i="1" s="1"/>
  <c r="M1194" i="1"/>
  <c r="L1194" i="1" s="1"/>
  <c r="N1194" i="1"/>
  <c r="O1194" i="1" s="1"/>
  <c r="M1195" i="1"/>
  <c r="L1195" i="1" s="1"/>
  <c r="N1195" i="1"/>
  <c r="O1195" i="1" s="1"/>
  <c r="M1196" i="1"/>
  <c r="L1196" i="1" s="1"/>
  <c r="N1196" i="1"/>
  <c r="O1196" i="1" s="1"/>
  <c r="M1197" i="1"/>
  <c r="L1197" i="1" s="1"/>
  <c r="N1197" i="1"/>
  <c r="O1197" i="1" s="1"/>
  <c r="M1198" i="1"/>
  <c r="N1198" i="1"/>
  <c r="O1198" i="1" s="1"/>
  <c r="M1199" i="1"/>
  <c r="L1199" i="1" s="1"/>
  <c r="N1199" i="1"/>
  <c r="O1199" i="1" s="1"/>
  <c r="M1200" i="1"/>
  <c r="L1200" i="1" s="1"/>
  <c r="N1200" i="1"/>
  <c r="O1200" i="1" s="1"/>
  <c r="M1201" i="1"/>
  <c r="L1201" i="1" s="1"/>
  <c r="N1201" i="1"/>
  <c r="O1201" i="1" s="1"/>
  <c r="M1202" i="1"/>
  <c r="N1202" i="1"/>
  <c r="O1202" i="1" s="1"/>
  <c r="M1203" i="1"/>
  <c r="L1203" i="1" s="1"/>
  <c r="N1203" i="1"/>
  <c r="O1203" i="1" s="1"/>
  <c r="M1204" i="1"/>
  <c r="L1204" i="1" s="1"/>
  <c r="N1204" i="1"/>
  <c r="O1204" i="1" s="1"/>
  <c r="M1205" i="1"/>
  <c r="L1205" i="1" s="1"/>
  <c r="N1205" i="1"/>
  <c r="O1205" i="1" s="1"/>
  <c r="M1206" i="1"/>
  <c r="L1206" i="1" s="1"/>
  <c r="N1206" i="1"/>
  <c r="O1206" i="1" s="1"/>
  <c r="M1207" i="1"/>
  <c r="L1207" i="1" s="1"/>
  <c r="N1207" i="1"/>
  <c r="O1207" i="1" s="1"/>
  <c r="M1208" i="1"/>
  <c r="L1208" i="1" s="1"/>
  <c r="N1208" i="1"/>
  <c r="O1208" i="1" s="1"/>
  <c r="M1209" i="1"/>
  <c r="L1209" i="1" s="1"/>
  <c r="N1209" i="1"/>
  <c r="O1209" i="1" s="1"/>
  <c r="M1210" i="1"/>
  <c r="L1210" i="1" s="1"/>
  <c r="N1210" i="1"/>
  <c r="O1210" i="1" s="1"/>
  <c r="M1211" i="1"/>
  <c r="L1211" i="1" s="1"/>
  <c r="N1211" i="1"/>
  <c r="O1211" i="1" s="1"/>
  <c r="M1212" i="1"/>
  <c r="L1212" i="1" s="1"/>
  <c r="N1212" i="1"/>
  <c r="O1212" i="1" s="1"/>
  <c r="M1213" i="1"/>
  <c r="L1213" i="1" s="1"/>
  <c r="N1213" i="1"/>
  <c r="O1213" i="1" s="1"/>
  <c r="M1214" i="1"/>
  <c r="N1214" i="1"/>
  <c r="O1214" i="1" s="1"/>
  <c r="M1215" i="1"/>
  <c r="L1215" i="1" s="1"/>
  <c r="N1215" i="1"/>
  <c r="O1215" i="1" s="1"/>
  <c r="M1216" i="1"/>
  <c r="N1216" i="1"/>
  <c r="O1216" i="1" s="1"/>
  <c r="M1217" i="1"/>
  <c r="L1217" i="1" s="1"/>
  <c r="N1217" i="1"/>
  <c r="O1217" i="1" s="1"/>
  <c r="M1218" i="1"/>
  <c r="L1218" i="1" s="1"/>
  <c r="N1218" i="1"/>
  <c r="O1218" i="1" s="1"/>
  <c r="M1219" i="1"/>
  <c r="L1219" i="1" s="1"/>
  <c r="N1219" i="1"/>
  <c r="O1219" i="1" s="1"/>
  <c r="M1220" i="1"/>
  <c r="L1220" i="1" s="1"/>
  <c r="N1220" i="1"/>
  <c r="O1220" i="1" s="1"/>
  <c r="M1221" i="1"/>
  <c r="L1221" i="1" s="1"/>
  <c r="N1221" i="1"/>
  <c r="M1222" i="1"/>
  <c r="L1222" i="1" s="1"/>
  <c r="N1222" i="1"/>
  <c r="O1222" i="1" s="1"/>
  <c r="M1223" i="1"/>
  <c r="L1223" i="1" s="1"/>
  <c r="N1223" i="1"/>
  <c r="O1223" i="1" s="1"/>
  <c r="M1224" i="1"/>
  <c r="L1224" i="1" s="1"/>
  <c r="N1224" i="1"/>
  <c r="O1224" i="1" s="1"/>
  <c r="M1225" i="1"/>
  <c r="L1225" i="1" s="1"/>
  <c r="N1225" i="1"/>
  <c r="O1225" i="1" s="1"/>
  <c r="M1226" i="1"/>
  <c r="L1226" i="1" s="1"/>
  <c r="N1226" i="1"/>
  <c r="O1226" i="1" s="1"/>
  <c r="M1227" i="1"/>
  <c r="L1227" i="1" s="1"/>
  <c r="N1227" i="1"/>
  <c r="O1227" i="1" s="1"/>
  <c r="M1228" i="1"/>
  <c r="L1228" i="1" s="1"/>
  <c r="N1228" i="1"/>
  <c r="O1228" i="1" s="1"/>
  <c r="M1229" i="1"/>
  <c r="L1229" i="1" s="1"/>
  <c r="N1229" i="1"/>
  <c r="O1229" i="1" s="1"/>
  <c r="M1230" i="1"/>
  <c r="L1230" i="1" s="1"/>
  <c r="N1230" i="1"/>
  <c r="O1230" i="1" s="1"/>
  <c r="M1231" i="1"/>
  <c r="L1231" i="1" s="1"/>
  <c r="N1231" i="1"/>
  <c r="O1231" i="1" s="1"/>
  <c r="M1232" i="1"/>
  <c r="L1232" i="1" s="1"/>
  <c r="N1232" i="1"/>
  <c r="O1232" i="1" s="1"/>
  <c r="M1233" i="1"/>
  <c r="L1233" i="1" s="1"/>
  <c r="N1233" i="1"/>
  <c r="O1233" i="1" s="1"/>
  <c r="M1234" i="1"/>
  <c r="L1234" i="1" s="1"/>
  <c r="N1234" i="1"/>
  <c r="O1234" i="1" s="1"/>
  <c r="M1235" i="1"/>
  <c r="L1235" i="1" s="1"/>
  <c r="N1235" i="1"/>
  <c r="O1235" i="1" s="1"/>
  <c r="M1236" i="1"/>
  <c r="L1236" i="1" s="1"/>
  <c r="N1236" i="1"/>
  <c r="O1236" i="1" s="1"/>
  <c r="M1237" i="1"/>
  <c r="L1237" i="1" s="1"/>
  <c r="N1237" i="1"/>
  <c r="O1237" i="1" s="1"/>
  <c r="M1238" i="1"/>
  <c r="L1238" i="1" s="1"/>
  <c r="N1238" i="1"/>
  <c r="O1238" i="1" s="1"/>
  <c r="M1239" i="1"/>
  <c r="L1239" i="1" s="1"/>
  <c r="N1239" i="1"/>
  <c r="O1239" i="1" s="1"/>
  <c r="M1240" i="1"/>
  <c r="L1240" i="1" s="1"/>
  <c r="N1240" i="1"/>
  <c r="O1240" i="1" s="1"/>
  <c r="M1241" i="1"/>
  <c r="L1241" i="1" s="1"/>
  <c r="N1241" i="1"/>
  <c r="O1241" i="1" s="1"/>
  <c r="M1242" i="1"/>
  <c r="N1242" i="1"/>
  <c r="O1242" i="1" s="1"/>
  <c r="M1243" i="1"/>
  <c r="N1243" i="1"/>
  <c r="O1243" i="1" s="1"/>
  <c r="M1244" i="1"/>
  <c r="N1244" i="1"/>
  <c r="O1244" i="1" s="1"/>
  <c r="M1245" i="1"/>
  <c r="L1245" i="1" s="1"/>
  <c r="N1245" i="1"/>
  <c r="O1245" i="1" s="1"/>
  <c r="M1246" i="1"/>
  <c r="L1246" i="1" s="1"/>
  <c r="N1246" i="1"/>
  <c r="O1246" i="1" s="1"/>
  <c r="M1247" i="1"/>
  <c r="L1247" i="1" s="1"/>
  <c r="N1247" i="1"/>
  <c r="O1247" i="1" s="1"/>
  <c r="M1248" i="1"/>
  <c r="L1248" i="1" s="1"/>
  <c r="N1248" i="1"/>
  <c r="O1248" i="1" s="1"/>
  <c r="M1249" i="1"/>
  <c r="N1249" i="1"/>
  <c r="O1249" i="1" s="1"/>
  <c r="M1250" i="1"/>
  <c r="L1250" i="1" s="1"/>
  <c r="N1250" i="1"/>
  <c r="O1250" i="1" s="1"/>
  <c r="M1251" i="1"/>
  <c r="L1251" i="1" s="1"/>
  <c r="N1251" i="1"/>
  <c r="O1251" i="1" s="1"/>
  <c r="M1252" i="1"/>
  <c r="L1252" i="1" s="1"/>
  <c r="N1252" i="1"/>
  <c r="O1252" i="1" s="1"/>
  <c r="M1253" i="1"/>
  <c r="L1253" i="1" s="1"/>
  <c r="N1253" i="1"/>
  <c r="O1253" i="1" s="1"/>
  <c r="M1254" i="1"/>
  <c r="L1254" i="1" s="1"/>
  <c r="N1254" i="1"/>
  <c r="O1254" i="1" s="1"/>
  <c r="M1255" i="1"/>
  <c r="L1255" i="1" s="1"/>
  <c r="N1255" i="1"/>
  <c r="O1255" i="1" s="1"/>
  <c r="M1256" i="1"/>
  <c r="L1256" i="1" s="1"/>
  <c r="N1256" i="1"/>
  <c r="O1256" i="1" s="1"/>
  <c r="M1257" i="1"/>
  <c r="L1257" i="1" s="1"/>
  <c r="N1257" i="1"/>
  <c r="O1257" i="1" s="1"/>
  <c r="M1258" i="1"/>
  <c r="N1258" i="1"/>
  <c r="O1258" i="1" s="1"/>
  <c r="M1259" i="1"/>
  <c r="L1259" i="1" s="1"/>
  <c r="N1259" i="1"/>
  <c r="O1259" i="1" s="1"/>
  <c r="M1260" i="1"/>
  <c r="N1260" i="1"/>
  <c r="O1260" i="1" s="1"/>
  <c r="M1261" i="1"/>
  <c r="N1261" i="1"/>
  <c r="O1261" i="1" s="1"/>
  <c r="M1262" i="1"/>
  <c r="L1262" i="1" s="1"/>
  <c r="N1262" i="1"/>
  <c r="O1262" i="1" s="1"/>
  <c r="M1263" i="1"/>
  <c r="L1263" i="1" s="1"/>
  <c r="N1263" i="1"/>
  <c r="O1263" i="1" s="1"/>
  <c r="M1264" i="1"/>
  <c r="L1264" i="1" s="1"/>
  <c r="N1264" i="1"/>
  <c r="O1264" i="1" s="1"/>
  <c r="M1265" i="1"/>
  <c r="L1265" i="1" s="1"/>
  <c r="N1265" i="1"/>
  <c r="O1265" i="1" s="1"/>
  <c r="M1266" i="1"/>
  <c r="L1266" i="1" s="1"/>
  <c r="N1266" i="1"/>
  <c r="O1266" i="1" s="1"/>
  <c r="M1267" i="1"/>
  <c r="L1267" i="1" s="1"/>
  <c r="N1267" i="1"/>
  <c r="O1267" i="1" s="1"/>
  <c r="M1268" i="1"/>
  <c r="L1268" i="1" s="1"/>
  <c r="N1268" i="1"/>
  <c r="O1268" i="1" s="1"/>
  <c r="M1269" i="1"/>
  <c r="L1269" i="1" s="1"/>
  <c r="N1269" i="1"/>
  <c r="O1269" i="1" s="1"/>
  <c r="M1270" i="1"/>
  <c r="L1270" i="1" s="1"/>
  <c r="N1270" i="1"/>
  <c r="O1270" i="1" s="1"/>
  <c r="M1271" i="1"/>
  <c r="L1271" i="1" s="1"/>
  <c r="N1271" i="1"/>
  <c r="O1271" i="1" s="1"/>
  <c r="M1272" i="1"/>
  <c r="L1272" i="1" s="1"/>
  <c r="N1272" i="1"/>
  <c r="O1272" i="1" s="1"/>
  <c r="M1273" i="1"/>
  <c r="L1273" i="1" s="1"/>
  <c r="N1273" i="1"/>
  <c r="O1273" i="1" s="1"/>
  <c r="M1274" i="1"/>
  <c r="L1274" i="1" s="1"/>
  <c r="N1274" i="1"/>
  <c r="O1274" i="1" s="1"/>
  <c r="M1275" i="1"/>
  <c r="L1275" i="1" s="1"/>
  <c r="N1275" i="1"/>
  <c r="O1275" i="1" s="1"/>
  <c r="M1276" i="1"/>
  <c r="L1276" i="1" s="1"/>
  <c r="N1276" i="1"/>
  <c r="O1276" i="1" s="1"/>
  <c r="M1277" i="1"/>
  <c r="L1277" i="1" s="1"/>
  <c r="N1277" i="1"/>
  <c r="O1277" i="1" s="1"/>
  <c r="M1278" i="1"/>
  <c r="L1278" i="1" s="1"/>
  <c r="N1278" i="1"/>
  <c r="O1278" i="1" s="1"/>
  <c r="M1279" i="1"/>
  <c r="L1279" i="1" s="1"/>
  <c r="N1279" i="1"/>
  <c r="O1279" i="1" s="1"/>
  <c r="M1280" i="1"/>
  <c r="L1280" i="1" s="1"/>
  <c r="N1280" i="1"/>
  <c r="O1280" i="1" s="1"/>
  <c r="M1281" i="1"/>
  <c r="L1281" i="1" s="1"/>
  <c r="N1281" i="1"/>
  <c r="O1281" i="1" s="1"/>
  <c r="M1282" i="1"/>
  <c r="N1282" i="1"/>
  <c r="O1282" i="1" s="1"/>
  <c r="M1283" i="1"/>
  <c r="L1283" i="1" s="1"/>
  <c r="N1283" i="1"/>
  <c r="O1283" i="1" s="1"/>
  <c r="M1284" i="1"/>
  <c r="L1284" i="1" s="1"/>
  <c r="N1284" i="1"/>
  <c r="O1284" i="1" s="1"/>
  <c r="M1285" i="1"/>
  <c r="L1285" i="1" s="1"/>
  <c r="N1285" i="1"/>
  <c r="O1285" i="1" s="1"/>
  <c r="M1286" i="1"/>
  <c r="N1286" i="1"/>
  <c r="O1286" i="1" s="1"/>
  <c r="M1287" i="1"/>
  <c r="L1287" i="1" s="1"/>
  <c r="N1287" i="1"/>
  <c r="O1287" i="1" s="1"/>
  <c r="M1288" i="1"/>
  <c r="L1288" i="1" s="1"/>
  <c r="N1288" i="1"/>
  <c r="O1288" i="1" s="1"/>
  <c r="M1289" i="1"/>
  <c r="N1289" i="1"/>
  <c r="O1289" i="1" s="1"/>
  <c r="M1290" i="1"/>
  <c r="L1290" i="1" s="1"/>
  <c r="N1290" i="1"/>
  <c r="O1290" i="1" s="1"/>
  <c r="M1291" i="1"/>
  <c r="N1291" i="1"/>
  <c r="O1291" i="1" s="1"/>
  <c r="M1292" i="1"/>
  <c r="N1292" i="1"/>
  <c r="O1292" i="1" s="1"/>
  <c r="M1293" i="1"/>
  <c r="L1293" i="1" s="1"/>
  <c r="N1293" i="1"/>
  <c r="O1293" i="1" s="1"/>
  <c r="M1294" i="1"/>
  <c r="L1294" i="1" s="1"/>
  <c r="N1294" i="1"/>
  <c r="O1294" i="1" s="1"/>
  <c r="M1295" i="1"/>
  <c r="L1295" i="1" s="1"/>
  <c r="N1295" i="1"/>
  <c r="O1295" i="1" s="1"/>
  <c r="M1296" i="1"/>
  <c r="N1296" i="1"/>
  <c r="O1296" i="1" s="1"/>
  <c r="M1297" i="1"/>
  <c r="L1297" i="1" s="1"/>
  <c r="N1297" i="1"/>
  <c r="O1297" i="1" s="1"/>
  <c r="M1298" i="1"/>
  <c r="L1298" i="1" s="1"/>
  <c r="N1298" i="1"/>
  <c r="M1299" i="1"/>
  <c r="L1299" i="1" s="1"/>
  <c r="N1299" i="1"/>
  <c r="O1299" i="1" s="1"/>
  <c r="M1300" i="1"/>
  <c r="L1300" i="1" s="1"/>
  <c r="N1300" i="1"/>
  <c r="O1300" i="1" s="1"/>
  <c r="M1301" i="1"/>
  <c r="L1301" i="1" s="1"/>
  <c r="N1301" i="1"/>
  <c r="O1301" i="1" s="1"/>
  <c r="M1302" i="1"/>
  <c r="L1302" i="1" s="1"/>
  <c r="N1302" i="1"/>
  <c r="O1302" i="1" s="1"/>
  <c r="M1303" i="1"/>
  <c r="L1303" i="1" s="1"/>
  <c r="N1303" i="1"/>
  <c r="O1303" i="1" s="1"/>
  <c r="M1304" i="1"/>
  <c r="L1304" i="1" s="1"/>
  <c r="N1304" i="1"/>
  <c r="O1304" i="1" s="1"/>
  <c r="M1305" i="1"/>
  <c r="N1305" i="1"/>
  <c r="O1305" i="1" s="1"/>
  <c r="M1306" i="1"/>
  <c r="L1306" i="1" s="1"/>
  <c r="N1306" i="1"/>
  <c r="O1306" i="1" s="1"/>
  <c r="M1307" i="1"/>
  <c r="L1307" i="1" s="1"/>
  <c r="N1307" i="1"/>
  <c r="O1307" i="1" s="1"/>
  <c r="M1308" i="1"/>
  <c r="L1308" i="1" s="1"/>
  <c r="N1308" i="1"/>
  <c r="O1308" i="1" s="1"/>
  <c r="M1309" i="1"/>
  <c r="L1309" i="1" s="1"/>
  <c r="N1309" i="1"/>
  <c r="O1309" i="1" s="1"/>
  <c r="M1310" i="1"/>
  <c r="L1310" i="1" s="1"/>
  <c r="N1310" i="1"/>
  <c r="O1310" i="1" s="1"/>
  <c r="M1311" i="1"/>
  <c r="L1311" i="1" s="1"/>
  <c r="N1311" i="1"/>
  <c r="O1311" i="1" s="1"/>
  <c r="M1312" i="1"/>
  <c r="L1312" i="1" s="1"/>
  <c r="N1312" i="1"/>
  <c r="O1312" i="1" s="1"/>
  <c r="M1313" i="1"/>
  <c r="L1313" i="1" s="1"/>
  <c r="N1313" i="1"/>
  <c r="O1313" i="1" s="1"/>
  <c r="M1314" i="1"/>
  <c r="L1314" i="1" s="1"/>
  <c r="N1314" i="1"/>
  <c r="O1314" i="1" s="1"/>
  <c r="M1315" i="1"/>
  <c r="L1315" i="1" s="1"/>
  <c r="N1315" i="1"/>
  <c r="O1315" i="1" s="1"/>
  <c r="M1316" i="1"/>
  <c r="L1316" i="1" s="1"/>
  <c r="N1316" i="1"/>
  <c r="O1316" i="1" s="1"/>
  <c r="M1317" i="1"/>
  <c r="L1317" i="1" s="1"/>
  <c r="N1317" i="1"/>
  <c r="O1317" i="1" s="1"/>
  <c r="M1318" i="1"/>
  <c r="L1318" i="1" s="1"/>
  <c r="N1318" i="1"/>
  <c r="O1318" i="1" s="1"/>
  <c r="M1319" i="1"/>
  <c r="L1319" i="1" s="1"/>
  <c r="N1319" i="1"/>
  <c r="O1319" i="1" s="1"/>
  <c r="M1320" i="1"/>
  <c r="L1320" i="1" s="1"/>
  <c r="N1320" i="1"/>
  <c r="O1320" i="1" s="1"/>
  <c r="M1321" i="1"/>
  <c r="L1321" i="1" s="1"/>
  <c r="N1321" i="1"/>
  <c r="O1321" i="1" s="1"/>
  <c r="M1322" i="1"/>
  <c r="L1322" i="1" s="1"/>
  <c r="N1322" i="1"/>
  <c r="O1322" i="1" s="1"/>
  <c r="M1323" i="1"/>
  <c r="L1323" i="1" s="1"/>
  <c r="N1323" i="1"/>
  <c r="O1323" i="1" s="1"/>
  <c r="M1324" i="1"/>
  <c r="L1324" i="1" s="1"/>
  <c r="N1324" i="1"/>
  <c r="O1324" i="1" s="1"/>
  <c r="M1325" i="1"/>
  <c r="L1325" i="1" s="1"/>
  <c r="N1325" i="1"/>
  <c r="O1325" i="1" s="1"/>
  <c r="M1326" i="1"/>
  <c r="L1326" i="1" s="1"/>
  <c r="N1326" i="1"/>
  <c r="O1326" i="1" s="1"/>
  <c r="M1327" i="1"/>
  <c r="L1327" i="1" s="1"/>
  <c r="N1327" i="1"/>
  <c r="O1327" i="1" s="1"/>
  <c r="M1328" i="1"/>
  <c r="N1328" i="1"/>
  <c r="O1328" i="1" s="1"/>
  <c r="M1329" i="1"/>
  <c r="N1329" i="1"/>
  <c r="O1329" i="1" s="1"/>
  <c r="M1330" i="1"/>
  <c r="L1330" i="1" s="1"/>
  <c r="N1330" i="1"/>
  <c r="O1330" i="1" s="1"/>
  <c r="M1331" i="1"/>
  <c r="L1331" i="1" s="1"/>
  <c r="N1331" i="1"/>
  <c r="O1331" i="1" s="1"/>
  <c r="M1332" i="1"/>
  <c r="L1332" i="1" s="1"/>
  <c r="N1332" i="1"/>
  <c r="O1332" i="1" s="1"/>
  <c r="M1333" i="1"/>
  <c r="L1333" i="1" s="1"/>
  <c r="N1333" i="1"/>
  <c r="M1334" i="1"/>
  <c r="L1334" i="1" s="1"/>
  <c r="N1334" i="1"/>
  <c r="O1334" i="1" s="1"/>
  <c r="M1335" i="1"/>
  <c r="L1335" i="1" s="1"/>
  <c r="N1335" i="1"/>
  <c r="O1335" i="1" s="1"/>
  <c r="M1336" i="1"/>
  <c r="L1336" i="1" s="1"/>
  <c r="N1336" i="1"/>
  <c r="O1336" i="1" s="1"/>
  <c r="M1337" i="1"/>
  <c r="N1337" i="1"/>
  <c r="O1337" i="1" s="1"/>
  <c r="M1338" i="1"/>
  <c r="N1338" i="1"/>
  <c r="O1338" i="1" s="1"/>
  <c r="M1339" i="1"/>
  <c r="N1339" i="1"/>
  <c r="O1339" i="1" s="1"/>
  <c r="M1340" i="1"/>
  <c r="L1340" i="1" s="1"/>
  <c r="N1340" i="1"/>
  <c r="O1340" i="1" s="1"/>
  <c r="M1341" i="1"/>
  <c r="L1341" i="1" s="1"/>
  <c r="N1341" i="1"/>
  <c r="O1341" i="1" s="1"/>
  <c r="M1342" i="1"/>
  <c r="L1342" i="1" s="1"/>
  <c r="N1342" i="1"/>
  <c r="O1342" i="1" s="1"/>
  <c r="M1343" i="1"/>
  <c r="L1343" i="1" s="1"/>
  <c r="N1343" i="1"/>
  <c r="O1343" i="1" s="1"/>
  <c r="M1344" i="1"/>
  <c r="L1344" i="1" s="1"/>
  <c r="N1344" i="1"/>
  <c r="O1344" i="1" s="1"/>
  <c r="M1345" i="1"/>
  <c r="L1345" i="1" s="1"/>
  <c r="N1345" i="1"/>
  <c r="O1345" i="1" s="1"/>
  <c r="M1346" i="1"/>
  <c r="L1346" i="1" s="1"/>
  <c r="N1346" i="1"/>
  <c r="O1346" i="1" s="1"/>
  <c r="M1347" i="1"/>
  <c r="L1347" i="1" s="1"/>
  <c r="N1347" i="1"/>
  <c r="O1347" i="1" s="1"/>
  <c r="M1348" i="1"/>
  <c r="L1348" i="1" s="1"/>
  <c r="N1348" i="1"/>
  <c r="O1348" i="1" s="1"/>
  <c r="M1349" i="1"/>
  <c r="L1349" i="1" s="1"/>
  <c r="N1349" i="1"/>
  <c r="O1349" i="1" s="1"/>
  <c r="M1350" i="1"/>
  <c r="L1350" i="1" s="1"/>
  <c r="N1350" i="1"/>
  <c r="O1350" i="1" s="1"/>
  <c r="M1351" i="1"/>
  <c r="L1351" i="1" s="1"/>
  <c r="N1351" i="1"/>
  <c r="O1351" i="1" s="1"/>
  <c r="M1352" i="1"/>
  <c r="L1352" i="1" s="1"/>
  <c r="N1352" i="1"/>
  <c r="O1352" i="1" s="1"/>
  <c r="M1353" i="1"/>
  <c r="L1353" i="1" s="1"/>
  <c r="N1353" i="1"/>
  <c r="O1353" i="1" s="1"/>
  <c r="M1354" i="1"/>
  <c r="L1354" i="1" s="1"/>
  <c r="N1354" i="1"/>
  <c r="O1354" i="1" s="1"/>
  <c r="M1355" i="1"/>
  <c r="L1355" i="1" s="1"/>
  <c r="N1355" i="1"/>
  <c r="O1355" i="1" s="1"/>
  <c r="M1356" i="1"/>
  <c r="L1356" i="1" s="1"/>
  <c r="N1356" i="1"/>
  <c r="O1356" i="1" s="1"/>
  <c r="M1357" i="1"/>
  <c r="L1357" i="1" s="1"/>
  <c r="N1357" i="1"/>
  <c r="O1357" i="1" s="1"/>
  <c r="M1358" i="1"/>
  <c r="L1358" i="1" s="1"/>
  <c r="N1358" i="1"/>
  <c r="O1358" i="1" s="1"/>
  <c r="M1359" i="1"/>
  <c r="L1359" i="1" s="1"/>
  <c r="N1359" i="1"/>
  <c r="O1359" i="1" s="1"/>
  <c r="M1360" i="1"/>
  <c r="N1360" i="1"/>
  <c r="O1360" i="1" s="1"/>
  <c r="M1361" i="1"/>
  <c r="L1361" i="1" s="1"/>
  <c r="N1361" i="1"/>
  <c r="O1361" i="1" s="1"/>
  <c r="M1362" i="1"/>
  <c r="L1362" i="1" s="1"/>
  <c r="N1362" i="1"/>
  <c r="O1362" i="1" s="1"/>
  <c r="M1363" i="1"/>
  <c r="L1363" i="1" s="1"/>
  <c r="N1363" i="1"/>
  <c r="O1363" i="1" s="1"/>
  <c r="M1364" i="1"/>
  <c r="N1364" i="1"/>
  <c r="O1364" i="1" s="1"/>
  <c r="M1365" i="1"/>
  <c r="L1365" i="1" s="1"/>
  <c r="N1365" i="1"/>
  <c r="O1365" i="1" s="1"/>
  <c r="M1366" i="1"/>
  <c r="L1366" i="1" s="1"/>
  <c r="N1366" i="1"/>
  <c r="O1366" i="1" s="1"/>
  <c r="M1367" i="1"/>
  <c r="L1367" i="1" s="1"/>
  <c r="N1367" i="1"/>
  <c r="O1367" i="1" s="1"/>
  <c r="M1368" i="1"/>
  <c r="N1368" i="1"/>
  <c r="O1368" i="1" s="1"/>
  <c r="M1369" i="1"/>
  <c r="L1369" i="1" s="1"/>
  <c r="N1369" i="1"/>
  <c r="O1369" i="1" s="1"/>
  <c r="M1370" i="1"/>
  <c r="L1370" i="1" s="1"/>
  <c r="N1370" i="1"/>
  <c r="O1370" i="1" s="1"/>
  <c r="M1371" i="1"/>
  <c r="N1371" i="1"/>
  <c r="O1371" i="1" s="1"/>
  <c r="M1372" i="1"/>
  <c r="N1372" i="1"/>
  <c r="O1372" i="1" s="1"/>
  <c r="M1373" i="1"/>
  <c r="N1373" i="1"/>
  <c r="O1373" i="1" s="1"/>
  <c r="M1374" i="1"/>
  <c r="N1374" i="1"/>
  <c r="O1374" i="1" s="1"/>
  <c r="M1375" i="1"/>
  <c r="L1375" i="1" s="1"/>
  <c r="N1375" i="1"/>
  <c r="O1375" i="1" s="1"/>
  <c r="M1376" i="1"/>
  <c r="L1376" i="1" s="1"/>
  <c r="N1376" i="1"/>
  <c r="O1376" i="1" s="1"/>
  <c r="M1377" i="1"/>
  <c r="L1377" i="1" s="1"/>
  <c r="N1377" i="1"/>
  <c r="O1377" i="1" s="1"/>
  <c r="M1378" i="1"/>
  <c r="L1378" i="1" s="1"/>
  <c r="N1378" i="1"/>
  <c r="O1378" i="1" s="1"/>
  <c r="M1379" i="1"/>
  <c r="L1379" i="1" s="1"/>
  <c r="N1379" i="1"/>
  <c r="O1379" i="1" s="1"/>
  <c r="M1380" i="1"/>
  <c r="L1380" i="1" s="1"/>
  <c r="N1380" i="1"/>
  <c r="O1380" i="1" s="1"/>
  <c r="M1381" i="1"/>
  <c r="L1381" i="1" s="1"/>
  <c r="N1381" i="1"/>
  <c r="O1381" i="1" s="1"/>
  <c r="M1382" i="1"/>
  <c r="L1382" i="1" s="1"/>
  <c r="N1382" i="1"/>
  <c r="O1382" i="1" s="1"/>
  <c r="M1383" i="1"/>
  <c r="L1383" i="1" s="1"/>
  <c r="N1383" i="1"/>
  <c r="O1383" i="1" s="1"/>
  <c r="M1384" i="1"/>
  <c r="L1384" i="1" s="1"/>
  <c r="N1384" i="1"/>
  <c r="O1384" i="1" s="1"/>
  <c r="M1385" i="1"/>
  <c r="L1385" i="1" s="1"/>
  <c r="N1385" i="1"/>
  <c r="O1385" i="1" s="1"/>
  <c r="M1386" i="1"/>
  <c r="L1386" i="1" s="1"/>
  <c r="N1386" i="1"/>
  <c r="O1386" i="1" s="1"/>
  <c r="M1387" i="1"/>
  <c r="L1387" i="1" s="1"/>
  <c r="N1387" i="1"/>
  <c r="O1387" i="1" s="1"/>
  <c r="M1388" i="1"/>
  <c r="L1388" i="1" s="1"/>
  <c r="N1388" i="1"/>
  <c r="O1388" i="1" s="1"/>
  <c r="M1389" i="1"/>
  <c r="L1389" i="1" s="1"/>
  <c r="N1389" i="1"/>
  <c r="O1389" i="1" s="1"/>
  <c r="M1390" i="1"/>
  <c r="L1390" i="1" s="1"/>
  <c r="N1390" i="1"/>
  <c r="O1390" i="1" s="1"/>
  <c r="M1391" i="1"/>
  <c r="L1391" i="1" s="1"/>
  <c r="N1391" i="1"/>
  <c r="O1391" i="1" s="1"/>
  <c r="M1392" i="1"/>
  <c r="N1392" i="1"/>
  <c r="O1392" i="1" s="1"/>
  <c r="M1393" i="1"/>
  <c r="L1393" i="1" s="1"/>
  <c r="N1393" i="1"/>
  <c r="O1393" i="1" s="1"/>
  <c r="M1394" i="1"/>
  <c r="L1394" i="1" s="1"/>
  <c r="N1394" i="1"/>
  <c r="O1394" i="1" s="1"/>
  <c r="M1395" i="1"/>
  <c r="L1395" i="1" s="1"/>
  <c r="N1395" i="1"/>
  <c r="M1396" i="1"/>
  <c r="L1396" i="1" s="1"/>
  <c r="N1396" i="1"/>
  <c r="O1396" i="1" s="1"/>
  <c r="M1397" i="1"/>
  <c r="L1397" i="1" s="1"/>
  <c r="N1397" i="1"/>
  <c r="M1398" i="1"/>
  <c r="L1398" i="1" s="1"/>
  <c r="N1398" i="1"/>
  <c r="O1398" i="1" s="1"/>
  <c r="M1399" i="1"/>
  <c r="L1399" i="1" s="1"/>
  <c r="N1399" i="1"/>
  <c r="O1399" i="1" s="1"/>
  <c r="M1400" i="1"/>
  <c r="N1400" i="1"/>
  <c r="O1400" i="1" s="1"/>
  <c r="M1401" i="1"/>
  <c r="L1401" i="1" s="1"/>
  <c r="N1401" i="1"/>
  <c r="O1401" i="1" s="1"/>
  <c r="M1402" i="1"/>
  <c r="N1402" i="1"/>
  <c r="O1402" i="1" s="1"/>
  <c r="M1403" i="1"/>
  <c r="N1403" i="1"/>
  <c r="O1403" i="1" s="1"/>
  <c r="M1404" i="1"/>
  <c r="N1404" i="1"/>
  <c r="O1404" i="1" s="1"/>
  <c r="M1405" i="1"/>
  <c r="L1405" i="1" s="1"/>
  <c r="N1405" i="1"/>
  <c r="O1405" i="1" s="1"/>
  <c r="M1406" i="1"/>
  <c r="L1406" i="1" s="1"/>
  <c r="N1406" i="1"/>
  <c r="O1406" i="1" s="1"/>
  <c r="M1407" i="1"/>
  <c r="L1407" i="1" s="1"/>
  <c r="N1407" i="1"/>
  <c r="O1407" i="1" s="1"/>
  <c r="M1408" i="1"/>
  <c r="L1408" i="1" s="1"/>
  <c r="N1408" i="1"/>
  <c r="O1408" i="1" s="1"/>
  <c r="M1409" i="1"/>
  <c r="L1409" i="1" s="1"/>
  <c r="N1409" i="1"/>
  <c r="O1409" i="1" s="1"/>
  <c r="M1410" i="1"/>
  <c r="L1410" i="1" s="1"/>
  <c r="N1410" i="1"/>
  <c r="O1410" i="1" s="1"/>
  <c r="M1411" i="1"/>
  <c r="L1411" i="1" s="1"/>
  <c r="N1411" i="1"/>
  <c r="O1411" i="1" s="1"/>
  <c r="M1412" i="1"/>
  <c r="L1412" i="1" s="1"/>
  <c r="N1412" i="1"/>
  <c r="O1412" i="1" s="1"/>
  <c r="M1413" i="1"/>
  <c r="L1413" i="1" s="1"/>
  <c r="N1413" i="1"/>
  <c r="O1413" i="1" s="1"/>
  <c r="M1414" i="1"/>
  <c r="L1414" i="1" s="1"/>
  <c r="N1414" i="1"/>
  <c r="O1414" i="1" s="1"/>
  <c r="M1415" i="1"/>
  <c r="L1415" i="1" s="1"/>
  <c r="N1415" i="1"/>
  <c r="O1415" i="1" s="1"/>
  <c r="M1416" i="1"/>
  <c r="L1416" i="1" s="1"/>
  <c r="N1416" i="1"/>
  <c r="O1416" i="1" s="1"/>
  <c r="M1417" i="1"/>
  <c r="L1417" i="1" s="1"/>
  <c r="N1417" i="1"/>
  <c r="O1417" i="1" s="1"/>
  <c r="M1418" i="1"/>
  <c r="L1418" i="1" s="1"/>
  <c r="N1418" i="1"/>
  <c r="O1418" i="1" s="1"/>
  <c r="M1419" i="1"/>
  <c r="L1419" i="1" s="1"/>
  <c r="N1419" i="1"/>
  <c r="O1419" i="1" s="1"/>
  <c r="M1420" i="1"/>
  <c r="L1420" i="1" s="1"/>
  <c r="N1420" i="1"/>
  <c r="O1420" i="1" s="1"/>
  <c r="M1421" i="1"/>
  <c r="L1421" i="1" s="1"/>
  <c r="N1421" i="1"/>
  <c r="O1421" i="1" s="1"/>
  <c r="M1422" i="1"/>
  <c r="N1422" i="1"/>
  <c r="O1422" i="1" s="1"/>
  <c r="M1423" i="1"/>
  <c r="L1423" i="1" s="1"/>
  <c r="N1423" i="1"/>
  <c r="O1423" i="1" s="1"/>
  <c r="M1424" i="1"/>
  <c r="N1424" i="1"/>
  <c r="O1424" i="1" s="1"/>
  <c r="M1425" i="1"/>
  <c r="L1425" i="1" s="1"/>
  <c r="N1425" i="1"/>
  <c r="O1425" i="1" s="1"/>
  <c r="M1426" i="1"/>
  <c r="L1426" i="1" s="1"/>
  <c r="N1426" i="1"/>
  <c r="O1426" i="1" s="1"/>
  <c r="M1427" i="1"/>
  <c r="L1427" i="1" s="1"/>
  <c r="N1427" i="1"/>
  <c r="O1427" i="1" s="1"/>
  <c r="M1428" i="1"/>
  <c r="N1428" i="1"/>
  <c r="O1428" i="1" s="1"/>
  <c r="M1429" i="1"/>
  <c r="L1429" i="1" s="1"/>
  <c r="N1429" i="1"/>
  <c r="M1430" i="1"/>
  <c r="L1430" i="1" s="1"/>
  <c r="N1430" i="1"/>
  <c r="O1430" i="1" s="1"/>
  <c r="M1431" i="1"/>
  <c r="L1431" i="1" s="1"/>
  <c r="N1431" i="1"/>
  <c r="O1431" i="1" s="1"/>
  <c r="M1432" i="1"/>
  <c r="N1432" i="1"/>
  <c r="O1432" i="1" s="1"/>
  <c r="M1433" i="1"/>
  <c r="L1433" i="1" s="1"/>
  <c r="N1433" i="1"/>
  <c r="O1433" i="1" s="1"/>
  <c r="M1434" i="1"/>
  <c r="N1434" i="1"/>
  <c r="O1434" i="1" s="1"/>
  <c r="M1435" i="1"/>
  <c r="L1435" i="1" s="1"/>
  <c r="N1435" i="1"/>
  <c r="O1435" i="1" s="1"/>
  <c r="M1436" i="1"/>
  <c r="L1436" i="1" s="1"/>
  <c r="N1436" i="1"/>
  <c r="O1436" i="1" s="1"/>
  <c r="M1437" i="1"/>
  <c r="L1437" i="1" s="1"/>
  <c r="N1437" i="1"/>
  <c r="O1437" i="1" s="1"/>
  <c r="M1438" i="1"/>
  <c r="L1438" i="1" s="1"/>
  <c r="N1438" i="1"/>
  <c r="O1438" i="1" s="1"/>
  <c r="M1439" i="1"/>
  <c r="L1439" i="1" s="1"/>
  <c r="N1439" i="1"/>
  <c r="O1439" i="1" s="1"/>
  <c r="M1440" i="1"/>
  <c r="L1440" i="1" s="1"/>
  <c r="N1440" i="1"/>
  <c r="O1440" i="1" s="1"/>
  <c r="M1441" i="1"/>
  <c r="L1441" i="1" s="1"/>
  <c r="N1441" i="1"/>
  <c r="O1441" i="1" s="1"/>
  <c r="M1442" i="1"/>
  <c r="L1442" i="1" s="1"/>
  <c r="N1442" i="1"/>
  <c r="O1442" i="1" s="1"/>
  <c r="M1443" i="1"/>
  <c r="L1443" i="1" s="1"/>
  <c r="N1443" i="1"/>
  <c r="O1443" i="1" s="1"/>
  <c r="M1444" i="1"/>
  <c r="L1444" i="1" s="1"/>
  <c r="N1444" i="1"/>
  <c r="O1444" i="1" s="1"/>
  <c r="M1445" i="1"/>
  <c r="L1445" i="1" s="1"/>
  <c r="N1445" i="1"/>
  <c r="O1445" i="1" s="1"/>
  <c r="M1446" i="1"/>
  <c r="L1446" i="1" s="1"/>
  <c r="N1446" i="1"/>
  <c r="O1446" i="1" s="1"/>
  <c r="M1447" i="1"/>
  <c r="L1447" i="1" s="1"/>
  <c r="N1447" i="1"/>
  <c r="O1447" i="1" s="1"/>
  <c r="M1448" i="1"/>
  <c r="L1448" i="1" s="1"/>
  <c r="N1448" i="1"/>
  <c r="O1448" i="1" s="1"/>
  <c r="M1449" i="1"/>
  <c r="L1449" i="1" s="1"/>
  <c r="N1449" i="1"/>
  <c r="O1449" i="1" s="1"/>
  <c r="M1450" i="1"/>
  <c r="N1450" i="1"/>
  <c r="O1450" i="1" s="1"/>
  <c r="M1451" i="1"/>
  <c r="N1451" i="1"/>
  <c r="O1451" i="1" s="1"/>
  <c r="M1452" i="1"/>
  <c r="N1452" i="1"/>
  <c r="O1452" i="1" s="1"/>
  <c r="M1453" i="1"/>
  <c r="L1453" i="1" s="1"/>
  <c r="N1453" i="1"/>
  <c r="O1453" i="1" s="1"/>
  <c r="M1454" i="1"/>
  <c r="L1454" i="1" s="1"/>
  <c r="N1454" i="1"/>
  <c r="O1454" i="1" s="1"/>
  <c r="M1455" i="1"/>
  <c r="L1455" i="1" s="1"/>
  <c r="N1455" i="1"/>
  <c r="O1455" i="1" s="1"/>
  <c r="M1456" i="1"/>
  <c r="N1456" i="1"/>
  <c r="O1456" i="1" s="1"/>
  <c r="M1457" i="1"/>
  <c r="L1457" i="1" s="1"/>
  <c r="N1457" i="1"/>
  <c r="O1457" i="1" s="1"/>
  <c r="M1458" i="1"/>
  <c r="L1458" i="1" s="1"/>
  <c r="N1458" i="1"/>
  <c r="O1458" i="1" s="1"/>
  <c r="M1459" i="1"/>
  <c r="L1459" i="1" s="1"/>
  <c r="N1459" i="1"/>
  <c r="O1459" i="1" s="1"/>
  <c r="M1460" i="1"/>
  <c r="N1460" i="1"/>
  <c r="O1460" i="1" s="1"/>
  <c r="M1461" i="1"/>
  <c r="L1461" i="1" s="1"/>
  <c r="N1461" i="1"/>
  <c r="O1461" i="1" s="1"/>
  <c r="M1462" i="1"/>
  <c r="L1462" i="1" s="1"/>
  <c r="N1462" i="1"/>
  <c r="O1462" i="1" s="1"/>
  <c r="M1463" i="1"/>
  <c r="L1463" i="1" s="1"/>
  <c r="N1463" i="1"/>
  <c r="O1463" i="1" s="1"/>
  <c r="M1464" i="1"/>
  <c r="L1464" i="1" s="1"/>
  <c r="N1464" i="1"/>
  <c r="O1464" i="1" s="1"/>
  <c r="M1465" i="1"/>
  <c r="L1465" i="1" s="1"/>
  <c r="N1465" i="1"/>
  <c r="O1465" i="1" s="1"/>
  <c r="M1466" i="1"/>
  <c r="L1466" i="1" s="1"/>
  <c r="N1466" i="1"/>
  <c r="O1466" i="1" s="1"/>
  <c r="M1467" i="1"/>
  <c r="L1467" i="1" s="1"/>
  <c r="N1467" i="1"/>
  <c r="O1467" i="1" s="1"/>
  <c r="M1468" i="1"/>
  <c r="L1468" i="1" s="1"/>
  <c r="N1468" i="1"/>
  <c r="O1468" i="1" s="1"/>
  <c r="M1469" i="1"/>
  <c r="L1469" i="1" s="1"/>
  <c r="N1469" i="1"/>
  <c r="O1469" i="1" s="1"/>
  <c r="M1470" i="1"/>
  <c r="L1470" i="1" s="1"/>
  <c r="N1470" i="1"/>
  <c r="O1470" i="1" s="1"/>
  <c r="M1471" i="1"/>
  <c r="L1471" i="1" s="1"/>
  <c r="N1471" i="1"/>
  <c r="O1471" i="1" s="1"/>
  <c r="M1472" i="1"/>
  <c r="L1472" i="1" s="1"/>
  <c r="N1472" i="1"/>
  <c r="O1472" i="1" s="1"/>
  <c r="M1473" i="1"/>
  <c r="L1473" i="1" s="1"/>
  <c r="N1473" i="1"/>
  <c r="O1473" i="1" s="1"/>
  <c r="M1474" i="1"/>
  <c r="L1474" i="1" s="1"/>
  <c r="N1474" i="1"/>
  <c r="O1474" i="1" s="1"/>
  <c r="M1475" i="1"/>
  <c r="L1475" i="1" s="1"/>
  <c r="N1475" i="1"/>
  <c r="O1475" i="1" s="1"/>
  <c r="M1476" i="1"/>
  <c r="L1476" i="1" s="1"/>
  <c r="N1476" i="1"/>
  <c r="O1476" i="1" s="1"/>
  <c r="M1477" i="1"/>
  <c r="L1477" i="1" s="1"/>
  <c r="N1477" i="1"/>
  <c r="O1477" i="1" s="1"/>
  <c r="M1478" i="1"/>
  <c r="L1478" i="1" s="1"/>
  <c r="N1478" i="1"/>
  <c r="O1478" i="1" s="1"/>
  <c r="M1479" i="1"/>
  <c r="L1479" i="1" s="1"/>
  <c r="N1479" i="1"/>
  <c r="O1479" i="1" s="1"/>
  <c r="M1480" i="1"/>
  <c r="N1480" i="1"/>
  <c r="O1480" i="1" s="1"/>
  <c r="M1481" i="1"/>
  <c r="L1481" i="1" s="1"/>
  <c r="N1481" i="1"/>
  <c r="O1481" i="1" s="1"/>
  <c r="M1482" i="1"/>
  <c r="N1482" i="1"/>
  <c r="O1482" i="1" s="1"/>
  <c r="M1483" i="1"/>
  <c r="L1483" i="1" s="1"/>
  <c r="N1483" i="1"/>
  <c r="O1483" i="1" s="1"/>
  <c r="M1484" i="1"/>
  <c r="L1484" i="1" s="1"/>
  <c r="N1484" i="1"/>
  <c r="O1484" i="1" s="1"/>
  <c r="M1485" i="1"/>
  <c r="N1485" i="1"/>
  <c r="O1485" i="1" s="1"/>
  <c r="M1486" i="1"/>
  <c r="N1486" i="1"/>
  <c r="O1486" i="1" s="1"/>
  <c r="M1487" i="1"/>
  <c r="L1487" i="1" s="1"/>
  <c r="N1487" i="1"/>
  <c r="O1487" i="1" s="1"/>
  <c r="M1488" i="1"/>
  <c r="L1488" i="1" s="1"/>
  <c r="N1488" i="1"/>
  <c r="O1488" i="1" s="1"/>
  <c r="M1489" i="1"/>
  <c r="L1489" i="1" s="1"/>
  <c r="N1489" i="1"/>
  <c r="O1489" i="1" s="1"/>
  <c r="M1490" i="1"/>
  <c r="L1490" i="1" s="1"/>
  <c r="N1490" i="1"/>
  <c r="O1490" i="1" s="1"/>
  <c r="M1491" i="1"/>
  <c r="L1491" i="1" s="1"/>
  <c r="N1491" i="1"/>
  <c r="O1491" i="1" s="1"/>
  <c r="M1492" i="1"/>
  <c r="L1492" i="1" s="1"/>
  <c r="N1492" i="1"/>
  <c r="O1492" i="1" s="1"/>
  <c r="M1493" i="1"/>
  <c r="L1493" i="1" s="1"/>
  <c r="N1493" i="1"/>
  <c r="O1493" i="1" s="1"/>
  <c r="M1494" i="1"/>
  <c r="L1494" i="1" s="1"/>
  <c r="N1494" i="1"/>
  <c r="O1494" i="1" s="1"/>
  <c r="M1495" i="1"/>
  <c r="L1495" i="1" s="1"/>
  <c r="N1495" i="1"/>
  <c r="O1495" i="1" s="1"/>
  <c r="M1496" i="1"/>
  <c r="L1496" i="1" s="1"/>
  <c r="N1496" i="1"/>
  <c r="O1496" i="1" s="1"/>
  <c r="M1497" i="1"/>
  <c r="L1497" i="1" s="1"/>
  <c r="N1497" i="1"/>
  <c r="O1497" i="1" s="1"/>
  <c r="M1498" i="1"/>
  <c r="L1498" i="1" s="1"/>
  <c r="N1498" i="1"/>
  <c r="O1498" i="1" s="1"/>
  <c r="M1499" i="1"/>
  <c r="L1499" i="1" s="1"/>
  <c r="N1499" i="1"/>
  <c r="O1499" i="1" s="1"/>
  <c r="M1500" i="1"/>
  <c r="L1500" i="1" s="1"/>
  <c r="N1500" i="1"/>
  <c r="O1500" i="1" s="1"/>
  <c r="M1501" i="1"/>
  <c r="L1501" i="1" s="1"/>
  <c r="N1501" i="1"/>
  <c r="O1501" i="1" s="1"/>
  <c r="M1502" i="1"/>
  <c r="L1502" i="1" s="1"/>
  <c r="N1502" i="1"/>
  <c r="O1502" i="1" s="1"/>
  <c r="M1503" i="1"/>
  <c r="L1503" i="1" s="1"/>
  <c r="N1503" i="1"/>
  <c r="O1503" i="1" s="1"/>
  <c r="M1504" i="1"/>
  <c r="N1504" i="1"/>
  <c r="O1504" i="1" s="1"/>
  <c r="M1505" i="1"/>
  <c r="L1505" i="1" s="1"/>
  <c r="N1505" i="1"/>
  <c r="O1505" i="1" s="1"/>
  <c r="M1506" i="1"/>
  <c r="L1506" i="1" s="1"/>
  <c r="N1506" i="1"/>
  <c r="O1506" i="1" s="1"/>
  <c r="M1507" i="1"/>
  <c r="L1507" i="1" s="1"/>
  <c r="N1507" i="1"/>
  <c r="O1507" i="1" s="1"/>
  <c r="M1508" i="1"/>
  <c r="N1508" i="1"/>
  <c r="O1508" i="1" s="1"/>
  <c r="M1509" i="1"/>
  <c r="L1509" i="1" s="1"/>
  <c r="N1509" i="1"/>
  <c r="O1509" i="1" s="1"/>
  <c r="M1510" i="1"/>
  <c r="L1510" i="1" s="1"/>
  <c r="N1510" i="1"/>
  <c r="O1510" i="1" s="1"/>
  <c r="M1511" i="1"/>
  <c r="L1511" i="1" s="1"/>
  <c r="N1511" i="1"/>
  <c r="O1511" i="1" s="1"/>
  <c r="M1512" i="1"/>
  <c r="L1512" i="1" s="1"/>
  <c r="N1512" i="1"/>
  <c r="O1512" i="1" s="1"/>
  <c r="M1513" i="1"/>
  <c r="L1513" i="1" s="1"/>
  <c r="N1513" i="1"/>
  <c r="O1513" i="1" s="1"/>
  <c r="M1514" i="1"/>
  <c r="N1514" i="1"/>
  <c r="O1514" i="1" s="1"/>
  <c r="M1515" i="1"/>
  <c r="N1515" i="1"/>
  <c r="O1515" i="1" s="1"/>
  <c r="M1516" i="1"/>
  <c r="N1516" i="1"/>
  <c r="O1516" i="1" s="1"/>
  <c r="M1517" i="1"/>
  <c r="N1517" i="1"/>
  <c r="O1517" i="1" s="1"/>
  <c r="M1518" i="1"/>
  <c r="L1518" i="1" s="1"/>
  <c r="N1518" i="1"/>
  <c r="O1518" i="1" s="1"/>
  <c r="M1519" i="1"/>
  <c r="L1519" i="1" s="1"/>
  <c r="N1519" i="1"/>
  <c r="O1519" i="1" s="1"/>
  <c r="M1520" i="1"/>
  <c r="L1520" i="1" s="1"/>
  <c r="N1520" i="1"/>
  <c r="O1520" i="1" s="1"/>
  <c r="M1521" i="1"/>
  <c r="L1521" i="1" s="1"/>
  <c r="N1521" i="1"/>
  <c r="O1521" i="1" s="1"/>
  <c r="M1522" i="1"/>
  <c r="L1522" i="1" s="1"/>
  <c r="N1522" i="1"/>
  <c r="O1522" i="1" s="1"/>
  <c r="M1523" i="1"/>
  <c r="L1523" i="1" s="1"/>
  <c r="N1523" i="1"/>
  <c r="O1523" i="1" s="1"/>
  <c r="M1524" i="1"/>
  <c r="L1524" i="1" s="1"/>
  <c r="N1524" i="1"/>
  <c r="O1524" i="1" s="1"/>
  <c r="M1525" i="1"/>
  <c r="L1525" i="1" s="1"/>
  <c r="N1525" i="1"/>
  <c r="O1525" i="1" s="1"/>
  <c r="M1526" i="1"/>
  <c r="L1526" i="1" s="1"/>
  <c r="N1526" i="1"/>
  <c r="O1526" i="1" s="1"/>
  <c r="M1527" i="1"/>
  <c r="L1527" i="1" s="1"/>
  <c r="N1527" i="1"/>
  <c r="O1527" i="1" s="1"/>
  <c r="M1528" i="1"/>
  <c r="L1528" i="1" s="1"/>
  <c r="N1528" i="1"/>
  <c r="O1528" i="1" s="1"/>
  <c r="M1529" i="1"/>
  <c r="L1529" i="1" s="1"/>
  <c r="N1529" i="1"/>
  <c r="O1529" i="1" s="1"/>
  <c r="M1530" i="1"/>
  <c r="L1530" i="1" s="1"/>
  <c r="N1530" i="1"/>
  <c r="O1530" i="1" s="1"/>
  <c r="M1531" i="1"/>
  <c r="L1531" i="1" s="1"/>
  <c r="N1531" i="1"/>
  <c r="O1531" i="1" s="1"/>
  <c r="M1532" i="1"/>
  <c r="L1532" i="1" s="1"/>
  <c r="N1532" i="1"/>
  <c r="O1532" i="1" s="1"/>
  <c r="M1533" i="1"/>
  <c r="L1533" i="1" s="1"/>
  <c r="N1533" i="1"/>
  <c r="O1533" i="1" s="1"/>
  <c r="M1534" i="1"/>
  <c r="L1534" i="1" s="1"/>
  <c r="N1534" i="1"/>
  <c r="O1534" i="1" s="1"/>
  <c r="M1535" i="1"/>
  <c r="L1535" i="1" s="1"/>
  <c r="N1535" i="1"/>
  <c r="O1535" i="1" s="1"/>
  <c r="M1536" i="1"/>
  <c r="L1536" i="1" s="1"/>
  <c r="N1536" i="1"/>
  <c r="O1536" i="1" s="1"/>
  <c r="M1537" i="1"/>
  <c r="L1537" i="1" s="1"/>
  <c r="N1537" i="1"/>
  <c r="O1537" i="1" s="1"/>
  <c r="M1538" i="1"/>
  <c r="L1538" i="1" s="1"/>
  <c r="N1538" i="1"/>
  <c r="O1538" i="1" s="1"/>
  <c r="M1539" i="1"/>
  <c r="L1539" i="1" s="1"/>
  <c r="N1539" i="1"/>
  <c r="O1539" i="1" s="1"/>
  <c r="M1540" i="1"/>
  <c r="L1540" i="1" s="1"/>
  <c r="N1540" i="1"/>
  <c r="O1540" i="1" s="1"/>
  <c r="M1541" i="1"/>
  <c r="L1541" i="1" s="1"/>
  <c r="N1541" i="1"/>
  <c r="O1541" i="1" s="1"/>
  <c r="M1542" i="1"/>
  <c r="L1542" i="1" s="1"/>
  <c r="N1542" i="1"/>
  <c r="O1542" i="1" s="1"/>
  <c r="M1543" i="1"/>
  <c r="L1543" i="1" s="1"/>
  <c r="N1543" i="1"/>
  <c r="O1543" i="1" s="1"/>
  <c r="M1544" i="1"/>
  <c r="N1544" i="1"/>
  <c r="O1544" i="1" s="1"/>
  <c r="M1545" i="1"/>
  <c r="L1545" i="1" s="1"/>
  <c r="N1545" i="1"/>
  <c r="O1545" i="1" s="1"/>
  <c r="M1546" i="1"/>
  <c r="N1546" i="1"/>
  <c r="O1546" i="1" s="1"/>
  <c r="M1547" i="1"/>
  <c r="N1547" i="1"/>
  <c r="O1547" i="1" s="1"/>
  <c r="M1548" i="1"/>
  <c r="L1548" i="1" s="1"/>
  <c r="N1548" i="1"/>
  <c r="O1548" i="1" s="1"/>
  <c r="M1549" i="1"/>
  <c r="L1549" i="1" s="1"/>
  <c r="N1549" i="1"/>
  <c r="O1549" i="1" s="1"/>
  <c r="M1550" i="1"/>
  <c r="L1550" i="1" s="1"/>
  <c r="N1550" i="1"/>
  <c r="O1550" i="1" s="1"/>
  <c r="M1551" i="1"/>
  <c r="L1551" i="1" s="1"/>
  <c r="N1551" i="1"/>
  <c r="O1551" i="1" s="1"/>
  <c r="M1552" i="1"/>
  <c r="L1552" i="1" s="1"/>
  <c r="N1552" i="1"/>
  <c r="O1552" i="1" s="1"/>
  <c r="M1553" i="1"/>
  <c r="L1553" i="1" s="1"/>
  <c r="N1553" i="1"/>
  <c r="O1553" i="1" s="1"/>
  <c r="M1554" i="1"/>
  <c r="L1554" i="1" s="1"/>
  <c r="N1554" i="1"/>
  <c r="M1555" i="1"/>
  <c r="L1555" i="1" s="1"/>
  <c r="N1555" i="1"/>
  <c r="O1555" i="1" s="1"/>
  <c r="M1556" i="1"/>
  <c r="L1556" i="1" s="1"/>
  <c r="N1556" i="1"/>
  <c r="O1556" i="1" s="1"/>
  <c r="M1557" i="1"/>
  <c r="L1557" i="1" s="1"/>
  <c r="N1557" i="1"/>
  <c r="O1557" i="1" s="1"/>
  <c r="M1558" i="1"/>
  <c r="L1558" i="1" s="1"/>
  <c r="N1558" i="1"/>
  <c r="O1558" i="1" s="1"/>
  <c r="M1559" i="1"/>
  <c r="L1559" i="1" s="1"/>
  <c r="N1559" i="1"/>
  <c r="O1559" i="1" s="1"/>
  <c r="M1560" i="1"/>
  <c r="L1560" i="1" s="1"/>
  <c r="N1560" i="1"/>
  <c r="O1560" i="1" s="1"/>
  <c r="M1561" i="1"/>
  <c r="L1561" i="1" s="1"/>
  <c r="N1561" i="1"/>
  <c r="O1561" i="1" s="1"/>
  <c r="M1562" i="1"/>
  <c r="L1562" i="1" s="1"/>
  <c r="N1562" i="1"/>
  <c r="O1562" i="1" s="1"/>
  <c r="M1563" i="1"/>
  <c r="N1563" i="1"/>
  <c r="O1563" i="1" s="1"/>
  <c r="M1564" i="1"/>
  <c r="N1564" i="1"/>
  <c r="O1564" i="1" s="1"/>
  <c r="M1565" i="1"/>
  <c r="L1565" i="1" s="1"/>
  <c r="N1565" i="1"/>
  <c r="O1565" i="1" s="1"/>
  <c r="M1566" i="1"/>
  <c r="L1566" i="1" s="1"/>
  <c r="N1566" i="1"/>
  <c r="O1566" i="1" s="1"/>
  <c r="M1567" i="1"/>
  <c r="L1567" i="1" s="1"/>
  <c r="N1567" i="1"/>
  <c r="O1567" i="1" s="1"/>
  <c r="M1568" i="1"/>
  <c r="N1568" i="1"/>
  <c r="O1568" i="1" s="1"/>
  <c r="M1569" i="1"/>
  <c r="L1569" i="1" s="1"/>
  <c r="N1569" i="1"/>
  <c r="O1569" i="1" s="1"/>
  <c r="M1570" i="1"/>
  <c r="L1570" i="1" s="1"/>
  <c r="N1570" i="1"/>
  <c r="O1570" i="1" s="1"/>
  <c r="M1571" i="1"/>
  <c r="L1571" i="1" s="1"/>
  <c r="N1571" i="1"/>
  <c r="O1571" i="1" s="1"/>
  <c r="M1572" i="1"/>
  <c r="N1572" i="1"/>
  <c r="O1572" i="1" s="1"/>
  <c r="M1573" i="1"/>
  <c r="L1573" i="1" s="1"/>
  <c r="N1573" i="1"/>
  <c r="O1573" i="1" s="1"/>
  <c r="M1574" i="1"/>
  <c r="L1574" i="1" s="1"/>
  <c r="N1574" i="1"/>
  <c r="O1574" i="1" s="1"/>
  <c r="M1575" i="1"/>
  <c r="L1575" i="1" s="1"/>
  <c r="N1575" i="1"/>
  <c r="O1575" i="1" s="1"/>
  <c r="M1576" i="1"/>
  <c r="N1576" i="1"/>
  <c r="O1576" i="1" s="1"/>
  <c r="M1577" i="1"/>
  <c r="L1577" i="1" s="1"/>
  <c r="N1577" i="1"/>
  <c r="O1577" i="1" s="1"/>
  <c r="M1578" i="1"/>
  <c r="L1578" i="1" s="1"/>
  <c r="N1578" i="1"/>
  <c r="O1578" i="1" s="1"/>
  <c r="M1579" i="1"/>
  <c r="L1579" i="1" s="1"/>
  <c r="N1579" i="1"/>
  <c r="O1579" i="1" s="1"/>
  <c r="M1580" i="1"/>
  <c r="L1580" i="1" s="1"/>
  <c r="N1580" i="1"/>
  <c r="O1580" i="1" s="1"/>
  <c r="M1581" i="1"/>
  <c r="L1581" i="1" s="1"/>
  <c r="N1581" i="1"/>
  <c r="O1581" i="1" s="1"/>
  <c r="M1582" i="1"/>
  <c r="L1582" i="1" s="1"/>
  <c r="N1582" i="1"/>
  <c r="O1582" i="1" s="1"/>
  <c r="M1583" i="1"/>
  <c r="L1583" i="1" s="1"/>
  <c r="N1583" i="1"/>
  <c r="O1583" i="1" s="1"/>
  <c r="M1584" i="1"/>
  <c r="L1584" i="1" s="1"/>
  <c r="N1584" i="1"/>
  <c r="O1584" i="1" s="1"/>
  <c r="M1585" i="1"/>
  <c r="L1585" i="1" s="1"/>
  <c r="N1585" i="1"/>
  <c r="O1585" i="1" s="1"/>
  <c r="M1586" i="1"/>
  <c r="L1586" i="1" s="1"/>
  <c r="N1586" i="1"/>
  <c r="O1586" i="1" s="1"/>
  <c r="M1587" i="1"/>
  <c r="L1587" i="1" s="1"/>
  <c r="N1587" i="1"/>
  <c r="M1588" i="1"/>
  <c r="L1588" i="1" s="1"/>
  <c r="N1588" i="1"/>
  <c r="O1588" i="1" s="1"/>
  <c r="M1589" i="1"/>
  <c r="L1589" i="1" s="1"/>
  <c r="N1589" i="1"/>
  <c r="O1589" i="1" s="1"/>
  <c r="M1590" i="1"/>
  <c r="L1590" i="1" s="1"/>
  <c r="N1590" i="1"/>
  <c r="O1590" i="1" s="1"/>
  <c r="M1591" i="1"/>
  <c r="L1591" i="1" s="1"/>
  <c r="N1591" i="1"/>
  <c r="O1591" i="1" s="1"/>
  <c r="M1592" i="1"/>
  <c r="N1592" i="1"/>
  <c r="O1592" i="1" s="1"/>
  <c r="M1593" i="1"/>
  <c r="L1593" i="1" s="1"/>
  <c r="N1593" i="1"/>
  <c r="O1593" i="1" s="1"/>
  <c r="M1594" i="1"/>
  <c r="N1594" i="1"/>
  <c r="O1594" i="1" s="1"/>
  <c r="M1595" i="1"/>
  <c r="N1595" i="1"/>
  <c r="O1595" i="1" s="1"/>
  <c r="M1596" i="1"/>
  <c r="L1596" i="1" s="1"/>
  <c r="N1596" i="1"/>
  <c r="O1596" i="1" s="1"/>
  <c r="M1597" i="1"/>
  <c r="L1597" i="1" s="1"/>
  <c r="N1597" i="1"/>
  <c r="O1597" i="1" s="1"/>
  <c r="M1598" i="1"/>
  <c r="N1598" i="1"/>
  <c r="O1598" i="1" s="1"/>
  <c r="M1599" i="1"/>
  <c r="L1599" i="1" s="1"/>
  <c r="N1599" i="1"/>
  <c r="O1599" i="1" s="1"/>
  <c r="M1600" i="1"/>
  <c r="N1600" i="1"/>
  <c r="O1600" i="1" s="1"/>
  <c r="M1601" i="1"/>
  <c r="L1601" i="1" s="1"/>
  <c r="N1601" i="1"/>
  <c r="O1601" i="1" s="1"/>
  <c r="M1602" i="1"/>
  <c r="L1602" i="1" s="1"/>
  <c r="N1602" i="1"/>
  <c r="O1602" i="1" s="1"/>
  <c r="M1603" i="1"/>
  <c r="L1603" i="1" s="1"/>
  <c r="N1603" i="1"/>
  <c r="O1603" i="1" s="1"/>
  <c r="M1604" i="1"/>
  <c r="L1604" i="1" s="1"/>
  <c r="N1604" i="1"/>
  <c r="O1604" i="1" s="1"/>
  <c r="M1605" i="1"/>
  <c r="L1605" i="1" s="1"/>
  <c r="N1605" i="1"/>
  <c r="O1605" i="1" s="1"/>
  <c r="M1606" i="1"/>
  <c r="L1606" i="1" s="1"/>
  <c r="N1606" i="1"/>
  <c r="O1606" i="1" s="1"/>
  <c r="M1607" i="1"/>
  <c r="L1607" i="1" s="1"/>
  <c r="N1607" i="1"/>
  <c r="O1607" i="1" s="1"/>
  <c r="M1608" i="1"/>
  <c r="L1608" i="1" s="1"/>
  <c r="N1608" i="1"/>
  <c r="O1608" i="1" s="1"/>
  <c r="M1609" i="1"/>
  <c r="L1609" i="1" s="1"/>
  <c r="N1609" i="1"/>
  <c r="O1609" i="1" s="1"/>
  <c r="M1610" i="1"/>
  <c r="L1610" i="1" s="1"/>
  <c r="N1610" i="1"/>
  <c r="O1610" i="1" s="1"/>
  <c r="M1611" i="1"/>
  <c r="L1611" i="1" s="1"/>
  <c r="N1611" i="1"/>
  <c r="O1611" i="1" s="1"/>
  <c r="M1612" i="1"/>
  <c r="L1612" i="1" s="1"/>
  <c r="N1612" i="1"/>
  <c r="O1612" i="1" s="1"/>
  <c r="M1613" i="1"/>
  <c r="L1613" i="1" s="1"/>
  <c r="N1613" i="1"/>
  <c r="O1613" i="1" s="1"/>
  <c r="M1614" i="1"/>
  <c r="L1614" i="1" s="1"/>
  <c r="N1614" i="1"/>
  <c r="O1614" i="1" s="1"/>
  <c r="M1615" i="1"/>
  <c r="L1615" i="1" s="1"/>
  <c r="N1615" i="1"/>
  <c r="O1615" i="1" s="1"/>
  <c r="M1616" i="1"/>
  <c r="N1616" i="1"/>
  <c r="O1616" i="1" s="1"/>
  <c r="M1617" i="1"/>
  <c r="L1617" i="1" s="1"/>
  <c r="N1617" i="1"/>
  <c r="O1617" i="1" s="1"/>
  <c r="M1618" i="1"/>
  <c r="L1618" i="1" s="1"/>
  <c r="N1618" i="1"/>
  <c r="O1618" i="1" s="1"/>
  <c r="M1619" i="1"/>
  <c r="L1619" i="1" s="1"/>
  <c r="N1619" i="1"/>
  <c r="M1620" i="1"/>
  <c r="N1620" i="1"/>
  <c r="O1620" i="1" s="1"/>
  <c r="M1621" i="1"/>
  <c r="L1621" i="1" s="1"/>
  <c r="N1621" i="1"/>
  <c r="O1621" i="1" s="1"/>
  <c r="M1622" i="1"/>
  <c r="L1622" i="1" s="1"/>
  <c r="N1622" i="1"/>
  <c r="O1622" i="1" s="1"/>
  <c r="M1623" i="1"/>
  <c r="L1623" i="1" s="1"/>
  <c r="N1623" i="1"/>
  <c r="O1623" i="1" s="1"/>
  <c r="M1624" i="1"/>
  <c r="N1624" i="1"/>
  <c r="O1624" i="1" s="1"/>
  <c r="M1625" i="1"/>
  <c r="L1625" i="1" s="1"/>
  <c r="N1625" i="1"/>
  <c r="O1625" i="1" s="1"/>
  <c r="M1626" i="1"/>
  <c r="L1626" i="1" s="1"/>
  <c r="N1626" i="1"/>
  <c r="O1626" i="1" s="1"/>
  <c r="M1627" i="1"/>
  <c r="N1627" i="1"/>
  <c r="O1627" i="1" s="1"/>
  <c r="M1628" i="1"/>
  <c r="N1628" i="1"/>
  <c r="O1628" i="1" s="1"/>
  <c r="M1629" i="1"/>
  <c r="N1629" i="1"/>
  <c r="O1629" i="1" s="1"/>
  <c r="M1630" i="1"/>
  <c r="N1630" i="1"/>
  <c r="O1630" i="1" s="1"/>
  <c r="M1631" i="1"/>
  <c r="L1631" i="1" s="1"/>
  <c r="N1631" i="1"/>
  <c r="O1631" i="1" s="1"/>
  <c r="M1632" i="1"/>
  <c r="L1632" i="1" s="1"/>
  <c r="N1632" i="1"/>
  <c r="O1632" i="1" s="1"/>
  <c r="M1633" i="1"/>
  <c r="L1633" i="1" s="1"/>
  <c r="N1633" i="1"/>
  <c r="O1633" i="1" s="1"/>
  <c r="M1634" i="1"/>
  <c r="L1634" i="1" s="1"/>
  <c r="N1634" i="1"/>
  <c r="O1634" i="1" s="1"/>
  <c r="M1635" i="1"/>
  <c r="L1635" i="1" s="1"/>
  <c r="N1635" i="1"/>
  <c r="O1635" i="1" s="1"/>
  <c r="M1636" i="1"/>
  <c r="L1636" i="1" s="1"/>
  <c r="N1636" i="1"/>
  <c r="O1636" i="1" s="1"/>
  <c r="M1637" i="1"/>
  <c r="L1637" i="1" s="1"/>
  <c r="N1637" i="1"/>
  <c r="O1637" i="1" s="1"/>
  <c r="M1638" i="1"/>
  <c r="L1638" i="1" s="1"/>
  <c r="N1638" i="1"/>
  <c r="O1638" i="1" s="1"/>
  <c r="M1639" i="1"/>
  <c r="L1639" i="1" s="1"/>
  <c r="N1639" i="1"/>
  <c r="O1639" i="1" s="1"/>
  <c r="M1640" i="1"/>
  <c r="L1640" i="1" s="1"/>
  <c r="N1640" i="1"/>
  <c r="O1640" i="1" s="1"/>
  <c r="M1641" i="1"/>
  <c r="L1641" i="1" s="1"/>
  <c r="N1641" i="1"/>
  <c r="O1641" i="1" s="1"/>
  <c r="M1642" i="1"/>
  <c r="L1642" i="1" s="1"/>
  <c r="N1642" i="1"/>
  <c r="O1642" i="1" s="1"/>
  <c r="M1643" i="1"/>
  <c r="L1643" i="1" s="1"/>
  <c r="N1643" i="1"/>
  <c r="O1643" i="1" s="1"/>
  <c r="M1644" i="1"/>
  <c r="L1644" i="1" s="1"/>
  <c r="N1644" i="1"/>
  <c r="O1644" i="1" s="1"/>
  <c r="M1645" i="1"/>
  <c r="L1645" i="1" s="1"/>
  <c r="N1645" i="1"/>
  <c r="O1645" i="1" s="1"/>
  <c r="M1646" i="1"/>
  <c r="L1646" i="1" s="1"/>
  <c r="N1646" i="1"/>
  <c r="O1646" i="1" s="1"/>
  <c r="M1647" i="1"/>
  <c r="L1647" i="1" s="1"/>
  <c r="N1647" i="1"/>
  <c r="O1647" i="1" s="1"/>
  <c r="M1648" i="1"/>
  <c r="N1648" i="1"/>
  <c r="O1648" i="1" s="1"/>
  <c r="M1649" i="1"/>
  <c r="L1649" i="1" s="1"/>
  <c r="N1649" i="1"/>
  <c r="O1649" i="1" s="1"/>
  <c r="M1650" i="1"/>
  <c r="L1650" i="1" s="1"/>
  <c r="N1650" i="1"/>
  <c r="M1651" i="1"/>
  <c r="L1651" i="1" s="1"/>
  <c r="N1651" i="1"/>
  <c r="O1651" i="1" s="1"/>
  <c r="M1652" i="1"/>
  <c r="L1652" i="1" s="1"/>
  <c r="N1652" i="1"/>
  <c r="O1652" i="1" s="1"/>
  <c r="M1653" i="1"/>
  <c r="L1653" i="1" s="1"/>
  <c r="N1653" i="1"/>
  <c r="M1654" i="1"/>
  <c r="L1654" i="1" s="1"/>
  <c r="N1654" i="1"/>
  <c r="O1654" i="1" s="1"/>
  <c r="M1655" i="1"/>
  <c r="L1655" i="1" s="1"/>
  <c r="N1655" i="1"/>
  <c r="O1655" i="1" s="1"/>
  <c r="M1656" i="1"/>
  <c r="N1656" i="1"/>
  <c r="O1656" i="1" s="1"/>
  <c r="M1657" i="1"/>
  <c r="L1657" i="1" s="1"/>
  <c r="N1657" i="1"/>
  <c r="O1657" i="1" s="1"/>
  <c r="M1658" i="1"/>
  <c r="N1658" i="1"/>
  <c r="O1658" i="1" s="1"/>
  <c r="M1659" i="1"/>
  <c r="N1659" i="1"/>
  <c r="O1659" i="1" s="1"/>
  <c r="M1660" i="1"/>
  <c r="N1660" i="1"/>
  <c r="O1660" i="1" s="1"/>
  <c r="M1661" i="1"/>
  <c r="L1661" i="1" s="1"/>
  <c r="N1661" i="1"/>
  <c r="O1661" i="1" s="1"/>
  <c r="M1662" i="1"/>
  <c r="L1662" i="1" s="1"/>
  <c r="N1662" i="1"/>
  <c r="O1662" i="1" s="1"/>
  <c r="M1663" i="1"/>
  <c r="L1663" i="1" s="1"/>
  <c r="N1663" i="1"/>
  <c r="O1663" i="1" s="1"/>
  <c r="M1664" i="1"/>
  <c r="L1664" i="1" s="1"/>
  <c r="N1664" i="1"/>
  <c r="O1664" i="1" s="1"/>
  <c r="M1665" i="1"/>
  <c r="L1665" i="1" s="1"/>
  <c r="N1665" i="1"/>
  <c r="O1665" i="1" s="1"/>
  <c r="M1666" i="1"/>
  <c r="L1666" i="1" s="1"/>
  <c r="N1666" i="1"/>
  <c r="O1666" i="1" s="1"/>
  <c r="M1667" i="1"/>
  <c r="L1667" i="1" s="1"/>
  <c r="N1667" i="1"/>
  <c r="O1667" i="1" s="1"/>
  <c r="M1668" i="1"/>
  <c r="L1668" i="1" s="1"/>
  <c r="N1668" i="1"/>
  <c r="O1668" i="1" s="1"/>
  <c r="M1669" i="1"/>
  <c r="L1669" i="1" s="1"/>
  <c r="N1669" i="1"/>
  <c r="O1669" i="1" s="1"/>
  <c r="M1670" i="1"/>
  <c r="L1670" i="1" s="1"/>
  <c r="N1670" i="1"/>
  <c r="O1670" i="1" s="1"/>
  <c r="M1671" i="1"/>
  <c r="L1671" i="1" s="1"/>
  <c r="N1671" i="1"/>
  <c r="O1671" i="1" s="1"/>
  <c r="M1672" i="1"/>
  <c r="L1672" i="1" s="1"/>
  <c r="N1672" i="1"/>
  <c r="O1672" i="1" s="1"/>
  <c r="M1673" i="1"/>
  <c r="L1673" i="1" s="1"/>
  <c r="N1673" i="1"/>
  <c r="O1673" i="1" s="1"/>
  <c r="M1674" i="1"/>
  <c r="L1674" i="1" s="1"/>
  <c r="N1674" i="1"/>
  <c r="O1674" i="1" s="1"/>
  <c r="M1675" i="1"/>
  <c r="L1675" i="1" s="1"/>
  <c r="N1675" i="1"/>
  <c r="O1675" i="1" s="1"/>
  <c r="M1676" i="1"/>
  <c r="L1676" i="1" s="1"/>
  <c r="N1676" i="1"/>
  <c r="O1676" i="1" s="1"/>
  <c r="M1677" i="1"/>
  <c r="L1677" i="1" s="1"/>
  <c r="N1677" i="1"/>
  <c r="O1677" i="1" s="1"/>
  <c r="M1678" i="1"/>
  <c r="N1678" i="1"/>
  <c r="O1678" i="1" s="1"/>
  <c r="M1679" i="1"/>
  <c r="L1679" i="1" s="1"/>
  <c r="N1679" i="1"/>
  <c r="O1679" i="1" s="1"/>
  <c r="M1680" i="1"/>
  <c r="N1680" i="1"/>
  <c r="O1680" i="1" s="1"/>
  <c r="M1681" i="1"/>
  <c r="L1681" i="1" s="1"/>
  <c r="N1681" i="1"/>
  <c r="O1681" i="1" s="1"/>
  <c r="M1682" i="1"/>
  <c r="L1682" i="1" s="1"/>
  <c r="N1682" i="1"/>
  <c r="O1682" i="1" s="1"/>
  <c r="M1683" i="1"/>
  <c r="L1683" i="1" s="1"/>
  <c r="N1683" i="1"/>
  <c r="O1683" i="1" s="1"/>
  <c r="M1684" i="1"/>
  <c r="N1684" i="1"/>
  <c r="O1684" i="1" s="1"/>
  <c r="M1685" i="1"/>
  <c r="L1685" i="1" s="1"/>
  <c r="N1685" i="1"/>
  <c r="O1685" i="1" s="1"/>
  <c r="M1686" i="1"/>
  <c r="L1686" i="1" s="1"/>
  <c r="N1686" i="1"/>
  <c r="O1686" i="1" s="1"/>
  <c r="M1687" i="1"/>
  <c r="L1687" i="1" s="1"/>
  <c r="N1687" i="1"/>
  <c r="O1687" i="1" s="1"/>
  <c r="M1688" i="1"/>
  <c r="N1688" i="1"/>
  <c r="O1688" i="1" s="1"/>
  <c r="M1689" i="1"/>
  <c r="L1689" i="1" s="1"/>
  <c r="N1689" i="1"/>
  <c r="O1689" i="1" s="1"/>
  <c r="M1690" i="1"/>
  <c r="N1690" i="1"/>
  <c r="O1690" i="1" s="1"/>
  <c r="M1691" i="1"/>
  <c r="L1691" i="1" s="1"/>
  <c r="N1691" i="1"/>
  <c r="O1691" i="1" s="1"/>
  <c r="M1692" i="1"/>
  <c r="L1692" i="1" s="1"/>
  <c r="N1692" i="1"/>
  <c r="O1692" i="1" s="1"/>
  <c r="M1693" i="1"/>
  <c r="L1693" i="1" s="1"/>
  <c r="N1693" i="1"/>
  <c r="O1693" i="1" s="1"/>
  <c r="M1694" i="1"/>
  <c r="L1694" i="1" s="1"/>
  <c r="N1694" i="1"/>
  <c r="O1694" i="1" s="1"/>
  <c r="M1695" i="1"/>
  <c r="L1695" i="1" s="1"/>
  <c r="N1695" i="1"/>
  <c r="O1695" i="1" s="1"/>
  <c r="M1696" i="1"/>
  <c r="L1696" i="1" s="1"/>
  <c r="N1696" i="1"/>
  <c r="O1696" i="1" s="1"/>
  <c r="M1697" i="1"/>
  <c r="L1697" i="1" s="1"/>
  <c r="N1697" i="1"/>
  <c r="O1697" i="1" s="1"/>
  <c r="M1698" i="1"/>
  <c r="L1698" i="1" s="1"/>
  <c r="N1698" i="1"/>
  <c r="O1698" i="1" s="1"/>
  <c r="M1699" i="1"/>
  <c r="L1699" i="1" s="1"/>
  <c r="N1699" i="1"/>
  <c r="O1699" i="1" s="1"/>
  <c r="M1700" i="1"/>
  <c r="L1700" i="1" s="1"/>
  <c r="N1700" i="1"/>
  <c r="O1700" i="1" s="1"/>
  <c r="M1701" i="1"/>
  <c r="L1701" i="1" s="1"/>
  <c r="N1701" i="1"/>
  <c r="O1701" i="1" s="1"/>
  <c r="M1702" i="1"/>
  <c r="L1702" i="1" s="1"/>
  <c r="N1702" i="1"/>
  <c r="O1702" i="1" s="1"/>
  <c r="M1703" i="1"/>
  <c r="L1703" i="1" s="1"/>
  <c r="N1703" i="1"/>
  <c r="O1703" i="1" s="1"/>
  <c r="M1704" i="1"/>
  <c r="L1704" i="1" s="1"/>
  <c r="N1704" i="1"/>
  <c r="O1704" i="1" s="1"/>
  <c r="M1705" i="1"/>
  <c r="L1705" i="1" s="1"/>
  <c r="N1705" i="1"/>
  <c r="O1705" i="1" s="1"/>
  <c r="M1706" i="1"/>
  <c r="N1706" i="1"/>
  <c r="O1706" i="1" s="1"/>
  <c r="M1707" i="1"/>
  <c r="N1707" i="1"/>
  <c r="O1707" i="1" s="1"/>
  <c r="M1708" i="1"/>
  <c r="N1708" i="1"/>
  <c r="O1708" i="1" s="1"/>
  <c r="M1709" i="1"/>
  <c r="L1709" i="1" s="1"/>
  <c r="N1709" i="1"/>
  <c r="O1709" i="1" s="1"/>
  <c r="M1710" i="1"/>
  <c r="L1710" i="1" s="1"/>
  <c r="N1710" i="1"/>
  <c r="O1710" i="1" s="1"/>
  <c r="M1711" i="1"/>
  <c r="L1711" i="1" s="1"/>
  <c r="N1711" i="1"/>
  <c r="O1711" i="1" s="1"/>
  <c r="M1712" i="1"/>
  <c r="N1712" i="1"/>
  <c r="O1712" i="1" s="1"/>
  <c r="M1713" i="1"/>
  <c r="L1713" i="1" s="1"/>
  <c r="N1713" i="1"/>
  <c r="O1713" i="1" s="1"/>
  <c r="M1714" i="1"/>
  <c r="L1714" i="1" s="1"/>
  <c r="N1714" i="1"/>
  <c r="O1714" i="1" s="1"/>
  <c r="M1715" i="1"/>
  <c r="L1715" i="1" s="1"/>
  <c r="N1715" i="1"/>
  <c r="O1715" i="1" s="1"/>
  <c r="M1716" i="1"/>
  <c r="N1716" i="1"/>
  <c r="O1716" i="1" s="1"/>
  <c r="M1717" i="1"/>
  <c r="L1717" i="1" s="1"/>
  <c r="N1717" i="1"/>
  <c r="O1717" i="1" s="1"/>
  <c r="M1718" i="1"/>
  <c r="L1718" i="1" s="1"/>
  <c r="N1718" i="1"/>
  <c r="O1718" i="1" s="1"/>
  <c r="M1719" i="1"/>
  <c r="L1719" i="1" s="1"/>
  <c r="N1719" i="1"/>
  <c r="O1719" i="1" s="1"/>
  <c r="M1720" i="1"/>
  <c r="L1720" i="1" s="1"/>
  <c r="N1720" i="1"/>
  <c r="O1720" i="1" s="1"/>
  <c r="M1721" i="1"/>
  <c r="L1721" i="1" s="1"/>
  <c r="N1721" i="1"/>
  <c r="O1721" i="1" s="1"/>
  <c r="M1722" i="1"/>
  <c r="L1722" i="1" s="1"/>
  <c r="N1722" i="1"/>
  <c r="O1722" i="1" s="1"/>
  <c r="M1723" i="1"/>
  <c r="L1723" i="1" s="1"/>
  <c r="N1723" i="1"/>
  <c r="O1723" i="1" s="1"/>
  <c r="M1724" i="1"/>
  <c r="L1724" i="1" s="1"/>
  <c r="N1724" i="1"/>
  <c r="O1724" i="1" s="1"/>
  <c r="M1725" i="1"/>
  <c r="L1725" i="1" s="1"/>
  <c r="N1725" i="1"/>
  <c r="O1725" i="1" s="1"/>
  <c r="M1726" i="1"/>
  <c r="L1726" i="1" s="1"/>
  <c r="N1726" i="1"/>
  <c r="O1726" i="1" s="1"/>
  <c r="M1727" i="1"/>
  <c r="L1727" i="1" s="1"/>
  <c r="N1727" i="1"/>
  <c r="O1727" i="1" s="1"/>
  <c r="M1728" i="1"/>
  <c r="L1728" i="1" s="1"/>
  <c r="N1728" i="1"/>
  <c r="O1728" i="1" s="1"/>
  <c r="M1729" i="1"/>
  <c r="L1729" i="1" s="1"/>
  <c r="N1729" i="1"/>
  <c r="O1729" i="1" s="1"/>
  <c r="M1730" i="1"/>
  <c r="L1730" i="1" s="1"/>
  <c r="N1730" i="1"/>
  <c r="O1730" i="1" s="1"/>
  <c r="M1731" i="1"/>
  <c r="L1731" i="1" s="1"/>
  <c r="N1731" i="1"/>
  <c r="O1731" i="1" s="1"/>
  <c r="M1732" i="1"/>
  <c r="L1732" i="1" s="1"/>
  <c r="N1732" i="1"/>
  <c r="O1732" i="1" s="1"/>
  <c r="M1733" i="1"/>
  <c r="L1733" i="1" s="1"/>
  <c r="N1733" i="1"/>
  <c r="O1733" i="1" s="1"/>
  <c r="M1734" i="1"/>
  <c r="L1734" i="1" s="1"/>
  <c r="N1734" i="1"/>
  <c r="O1734" i="1" s="1"/>
  <c r="M1735" i="1"/>
  <c r="L1735" i="1" s="1"/>
  <c r="N1735" i="1"/>
  <c r="O1735" i="1" s="1"/>
  <c r="M1736" i="1"/>
  <c r="N1736" i="1"/>
  <c r="O1736" i="1" s="1"/>
  <c r="M1737" i="1"/>
  <c r="L1737" i="1" s="1"/>
  <c r="N1737" i="1"/>
  <c r="O1737" i="1" s="1"/>
  <c r="M1738" i="1"/>
  <c r="N1738" i="1"/>
  <c r="O1738" i="1" s="1"/>
  <c r="M1739" i="1"/>
  <c r="L1739" i="1" s="1"/>
  <c r="N1739" i="1"/>
  <c r="O1739" i="1" s="1"/>
  <c r="M1740" i="1"/>
  <c r="L1740" i="1" s="1"/>
  <c r="N1740" i="1"/>
  <c r="O1740" i="1" s="1"/>
  <c r="M1741" i="1"/>
  <c r="N1741" i="1"/>
  <c r="O1741" i="1" s="1"/>
  <c r="M1742" i="1"/>
  <c r="N1742" i="1"/>
  <c r="O1742" i="1" s="1"/>
  <c r="M1743" i="1"/>
  <c r="L1743" i="1" s="1"/>
  <c r="N1743" i="1"/>
  <c r="O1743" i="1" s="1"/>
  <c r="M1744" i="1"/>
  <c r="L1744" i="1" s="1"/>
  <c r="N1744" i="1"/>
  <c r="O1744" i="1" s="1"/>
  <c r="M1745" i="1"/>
  <c r="L1745" i="1" s="1"/>
  <c r="N1745" i="1"/>
  <c r="O1745" i="1" s="1"/>
  <c r="M1746" i="1"/>
  <c r="L1746" i="1" s="1"/>
  <c r="N1746" i="1"/>
  <c r="O1746" i="1" s="1"/>
  <c r="M1747" i="1"/>
  <c r="L1747" i="1" s="1"/>
  <c r="N1747" i="1"/>
  <c r="O1747" i="1" s="1"/>
  <c r="M1748" i="1"/>
  <c r="L1748" i="1" s="1"/>
  <c r="N1748" i="1"/>
  <c r="O1748" i="1" s="1"/>
  <c r="M1749" i="1"/>
  <c r="L1749" i="1" s="1"/>
  <c r="N1749" i="1"/>
  <c r="O1749" i="1" s="1"/>
  <c r="M1750" i="1"/>
  <c r="L1750" i="1" s="1"/>
  <c r="N1750" i="1"/>
  <c r="O1750" i="1" s="1"/>
  <c r="M1751" i="1"/>
  <c r="L1751" i="1" s="1"/>
  <c r="N1751" i="1"/>
  <c r="O1751" i="1" s="1"/>
  <c r="M1752" i="1"/>
  <c r="L1752" i="1" s="1"/>
  <c r="N1752" i="1"/>
  <c r="O1752" i="1" s="1"/>
  <c r="M1753" i="1"/>
  <c r="L1753" i="1" s="1"/>
  <c r="N1753" i="1"/>
  <c r="O1753" i="1" s="1"/>
  <c r="M1754" i="1"/>
  <c r="L1754" i="1" s="1"/>
  <c r="N1754" i="1"/>
  <c r="O1754" i="1" s="1"/>
  <c r="M1755" i="1"/>
  <c r="L1755" i="1" s="1"/>
  <c r="N1755" i="1"/>
  <c r="O1755" i="1" s="1"/>
  <c r="M1756" i="1"/>
  <c r="L1756" i="1" s="1"/>
  <c r="N1756" i="1"/>
  <c r="O1756" i="1" s="1"/>
  <c r="M1757" i="1"/>
  <c r="L1757" i="1" s="1"/>
  <c r="N1757" i="1"/>
  <c r="O1757" i="1" s="1"/>
  <c r="M1758" i="1"/>
  <c r="L1758" i="1" s="1"/>
  <c r="N1758" i="1"/>
  <c r="O1758" i="1" s="1"/>
  <c r="M1759" i="1"/>
  <c r="L1759" i="1" s="1"/>
  <c r="N1759" i="1"/>
  <c r="O1759" i="1" s="1"/>
  <c r="M1760" i="1"/>
  <c r="N1760" i="1"/>
  <c r="O1760" i="1" s="1"/>
  <c r="M1761" i="1"/>
  <c r="L1761" i="1" s="1"/>
  <c r="N1761" i="1"/>
  <c r="O1761" i="1" s="1"/>
  <c r="M1762" i="1"/>
  <c r="L1762" i="1" s="1"/>
  <c r="N1762" i="1"/>
  <c r="O1762" i="1" s="1"/>
  <c r="M1763" i="1"/>
  <c r="L1763" i="1" s="1"/>
  <c r="N1763" i="1"/>
  <c r="O1763" i="1" s="1"/>
  <c r="M1764" i="1"/>
  <c r="N1764" i="1"/>
  <c r="O1764" i="1" s="1"/>
  <c r="M1765" i="1"/>
  <c r="L1765" i="1" s="1"/>
  <c r="N1765" i="1"/>
  <c r="O1765" i="1" s="1"/>
  <c r="M1766" i="1"/>
  <c r="L1766" i="1" s="1"/>
  <c r="N1766" i="1"/>
  <c r="O1766" i="1" s="1"/>
  <c r="M1767" i="1"/>
  <c r="L1767" i="1" s="1"/>
  <c r="N1767" i="1"/>
  <c r="O1767" i="1" s="1"/>
  <c r="M1768" i="1"/>
  <c r="L1768" i="1" s="1"/>
  <c r="N1768" i="1"/>
  <c r="O1768" i="1" s="1"/>
  <c r="M1769" i="1"/>
  <c r="L1769" i="1" s="1"/>
  <c r="N1769" i="1"/>
  <c r="O1769" i="1" s="1"/>
  <c r="M1770" i="1"/>
  <c r="N1770" i="1"/>
  <c r="O1770" i="1" s="1"/>
  <c r="M1771" i="1"/>
  <c r="N1771" i="1"/>
  <c r="O1771" i="1" s="1"/>
  <c r="M1772" i="1"/>
  <c r="N1772" i="1"/>
  <c r="O1772" i="1" s="1"/>
  <c r="M1773" i="1"/>
  <c r="N1773" i="1"/>
  <c r="O1773" i="1" s="1"/>
  <c r="M1774" i="1"/>
  <c r="L1774" i="1" s="1"/>
  <c r="N1774" i="1"/>
  <c r="O1774" i="1" s="1"/>
  <c r="M1775" i="1"/>
  <c r="L1775" i="1" s="1"/>
  <c r="N1775" i="1"/>
  <c r="O1775" i="1" s="1"/>
  <c r="M1776" i="1"/>
  <c r="L1776" i="1" s="1"/>
  <c r="N1776" i="1"/>
  <c r="O1776" i="1" s="1"/>
  <c r="M1777" i="1"/>
  <c r="L1777" i="1" s="1"/>
  <c r="N1777" i="1"/>
  <c r="O1777" i="1" s="1"/>
  <c r="M1778" i="1"/>
  <c r="L1778" i="1" s="1"/>
  <c r="N1778" i="1"/>
  <c r="O1778" i="1" s="1"/>
  <c r="M1779" i="1"/>
  <c r="L1779" i="1" s="1"/>
  <c r="N1779" i="1"/>
  <c r="O1779" i="1" s="1"/>
  <c r="M1780" i="1"/>
  <c r="L1780" i="1" s="1"/>
  <c r="N1780" i="1"/>
  <c r="O1780" i="1" s="1"/>
  <c r="M1781" i="1"/>
  <c r="L1781" i="1" s="1"/>
  <c r="N1781" i="1"/>
  <c r="O1781" i="1" s="1"/>
  <c r="M1782" i="1"/>
  <c r="L1782" i="1" s="1"/>
  <c r="N1782" i="1"/>
  <c r="O1782" i="1" s="1"/>
  <c r="M1783" i="1"/>
  <c r="L1783" i="1" s="1"/>
  <c r="N1783" i="1"/>
  <c r="O1783" i="1" s="1"/>
  <c r="M1784" i="1"/>
  <c r="L1784" i="1" s="1"/>
  <c r="N1784" i="1"/>
  <c r="O1784" i="1" s="1"/>
  <c r="M1785" i="1"/>
  <c r="L1785" i="1" s="1"/>
  <c r="N1785" i="1"/>
  <c r="O1785" i="1" s="1"/>
  <c r="M1786" i="1"/>
  <c r="L1786" i="1" s="1"/>
  <c r="N1786" i="1"/>
  <c r="O1786" i="1" s="1"/>
  <c r="M1787" i="1"/>
  <c r="L1787" i="1" s="1"/>
  <c r="N1787" i="1"/>
  <c r="O1787" i="1" s="1"/>
  <c r="M1788" i="1"/>
  <c r="L1788" i="1" s="1"/>
  <c r="N1788" i="1"/>
  <c r="O1788" i="1" s="1"/>
  <c r="M1789" i="1"/>
  <c r="L1789" i="1" s="1"/>
  <c r="N1789" i="1"/>
  <c r="O1789" i="1" s="1"/>
  <c r="M1790" i="1"/>
  <c r="L1790" i="1" s="1"/>
  <c r="N1790" i="1"/>
  <c r="O1790" i="1" s="1"/>
  <c r="M1791" i="1"/>
  <c r="L1791" i="1" s="1"/>
  <c r="N1791" i="1"/>
  <c r="O1791" i="1" s="1"/>
  <c r="M1792" i="1"/>
  <c r="L1792" i="1" s="1"/>
  <c r="N1792" i="1"/>
  <c r="O1792" i="1" s="1"/>
  <c r="M1793" i="1"/>
  <c r="L1793" i="1" s="1"/>
  <c r="N1793" i="1"/>
  <c r="O1793" i="1" s="1"/>
  <c r="M1794" i="1"/>
  <c r="L1794" i="1" s="1"/>
  <c r="N1794" i="1"/>
  <c r="O1794" i="1" s="1"/>
  <c r="M1795" i="1"/>
  <c r="L1795" i="1" s="1"/>
  <c r="N1795" i="1"/>
  <c r="O1795" i="1" s="1"/>
  <c r="M1796" i="1"/>
  <c r="L1796" i="1" s="1"/>
  <c r="N1796" i="1"/>
  <c r="O1796" i="1" s="1"/>
  <c r="M1797" i="1"/>
  <c r="L1797" i="1" s="1"/>
  <c r="N1797" i="1"/>
  <c r="M1798" i="1"/>
  <c r="N1798" i="1"/>
  <c r="O1798" i="1" s="1"/>
  <c r="M1799" i="1"/>
  <c r="L1799" i="1" s="1"/>
  <c r="N1799" i="1"/>
  <c r="O1799" i="1" s="1"/>
  <c r="M1800" i="1"/>
  <c r="N1800" i="1"/>
  <c r="O1800" i="1" s="1"/>
  <c r="M1801" i="1"/>
  <c r="L1801" i="1" s="1"/>
  <c r="N1801" i="1"/>
  <c r="O1801" i="1" s="1"/>
  <c r="M1802" i="1"/>
  <c r="N1802" i="1"/>
  <c r="O1802" i="1" s="1"/>
  <c r="M1803" i="1"/>
  <c r="L1803" i="1" s="1"/>
  <c r="N1803" i="1"/>
  <c r="O1803" i="1" s="1"/>
  <c r="M1804" i="1"/>
  <c r="L1804" i="1" s="1"/>
  <c r="N1804" i="1"/>
  <c r="O1804" i="1" s="1"/>
  <c r="M1805" i="1"/>
  <c r="L1805" i="1" s="1"/>
  <c r="N1805" i="1"/>
  <c r="O1805" i="1" s="1"/>
  <c r="M1806" i="1"/>
  <c r="L1806" i="1" s="1"/>
  <c r="N1806" i="1"/>
  <c r="O1806" i="1" s="1"/>
  <c r="M1807" i="1"/>
  <c r="L1807" i="1" s="1"/>
  <c r="N1807" i="1"/>
  <c r="O1807" i="1" s="1"/>
  <c r="M1808" i="1"/>
  <c r="L1808" i="1" s="1"/>
  <c r="N1808" i="1"/>
  <c r="O1808" i="1" s="1"/>
  <c r="M1809" i="1"/>
  <c r="L1809" i="1" s="1"/>
  <c r="N1809" i="1"/>
  <c r="O1809" i="1" s="1"/>
  <c r="M1810" i="1"/>
  <c r="L1810" i="1" s="1"/>
  <c r="N1810" i="1"/>
  <c r="M1811" i="1"/>
  <c r="L1811" i="1" s="1"/>
  <c r="N1811" i="1"/>
  <c r="O1811" i="1" s="1"/>
  <c r="M1812" i="1"/>
  <c r="L1812" i="1" s="1"/>
  <c r="N1812" i="1"/>
  <c r="O1812" i="1" s="1"/>
  <c r="M1813" i="1"/>
  <c r="L1813" i="1" s="1"/>
  <c r="N1813" i="1"/>
  <c r="O1813" i="1" s="1"/>
  <c r="M1814" i="1"/>
  <c r="L1814" i="1" s="1"/>
  <c r="N1814" i="1"/>
  <c r="O1814" i="1" s="1"/>
  <c r="M1815" i="1"/>
  <c r="L1815" i="1" s="1"/>
  <c r="N1815" i="1"/>
  <c r="O1815" i="1" s="1"/>
  <c r="M1816" i="1"/>
  <c r="N1816" i="1"/>
  <c r="O1816" i="1" s="1"/>
  <c r="M1817" i="1"/>
  <c r="L1817" i="1" s="1"/>
  <c r="N1817" i="1"/>
  <c r="O1817" i="1" s="1"/>
  <c r="M1818" i="1"/>
  <c r="N1818" i="1"/>
  <c r="O1818" i="1" s="1"/>
  <c r="M1819" i="1"/>
  <c r="N1819" i="1"/>
  <c r="O1819" i="1" s="1"/>
  <c r="M1820" i="1"/>
  <c r="L1820" i="1" s="1"/>
  <c r="N1820" i="1"/>
  <c r="O1820" i="1" s="1"/>
  <c r="M1821" i="1"/>
  <c r="L1821" i="1" s="1"/>
  <c r="N1821" i="1"/>
  <c r="O1821" i="1" s="1"/>
  <c r="M1822" i="1"/>
  <c r="N1822" i="1"/>
  <c r="O1822" i="1" s="1"/>
  <c r="M1823" i="1"/>
  <c r="L1823" i="1" s="1"/>
  <c r="N1823" i="1"/>
  <c r="O1823" i="1" s="1"/>
  <c r="M1824" i="1"/>
  <c r="N1824" i="1"/>
  <c r="O1824" i="1" s="1"/>
  <c r="M1825" i="1"/>
  <c r="L1825" i="1" s="1"/>
  <c r="N1825" i="1"/>
  <c r="O1825" i="1" s="1"/>
  <c r="M1826" i="1"/>
  <c r="L1826" i="1" s="1"/>
  <c r="N1826" i="1"/>
  <c r="O1826" i="1" s="1"/>
  <c r="M1827" i="1"/>
  <c r="L1827" i="1" s="1"/>
  <c r="N1827" i="1"/>
  <c r="O1827" i="1" s="1"/>
  <c r="M1828" i="1"/>
  <c r="L1828" i="1" s="1"/>
  <c r="N1828" i="1"/>
  <c r="O1828" i="1" s="1"/>
  <c r="M1829" i="1"/>
  <c r="L1829" i="1" s="1"/>
  <c r="N1829" i="1"/>
  <c r="O1829" i="1" s="1"/>
  <c r="M1830" i="1"/>
  <c r="L1830" i="1" s="1"/>
  <c r="N1830" i="1"/>
  <c r="O1830" i="1" s="1"/>
  <c r="M1831" i="1"/>
  <c r="L1831" i="1" s="1"/>
  <c r="N1831" i="1"/>
  <c r="O1831" i="1" s="1"/>
  <c r="M1832" i="1"/>
  <c r="L1832" i="1" s="1"/>
  <c r="N1832" i="1"/>
  <c r="O1832" i="1" s="1"/>
  <c r="M1833" i="1"/>
  <c r="L1833" i="1" s="1"/>
  <c r="N1833" i="1"/>
  <c r="O1833" i="1" s="1"/>
  <c r="M1834" i="1"/>
  <c r="L1834" i="1" s="1"/>
  <c r="N1834" i="1"/>
  <c r="O1834" i="1" s="1"/>
  <c r="M1835" i="1"/>
  <c r="L1835" i="1" s="1"/>
  <c r="N1835" i="1"/>
  <c r="O1835" i="1" s="1"/>
  <c r="M1836" i="1"/>
  <c r="L1836" i="1" s="1"/>
  <c r="N1836" i="1"/>
  <c r="O1836" i="1" s="1"/>
  <c r="M1837" i="1"/>
  <c r="L1837" i="1" s="1"/>
  <c r="N1837" i="1"/>
  <c r="O1837" i="1" s="1"/>
  <c r="M1838" i="1"/>
  <c r="L1838" i="1" s="1"/>
  <c r="N1838" i="1"/>
  <c r="O1838" i="1" s="1"/>
  <c r="M1839" i="1"/>
  <c r="L1839" i="1" s="1"/>
  <c r="N1839" i="1"/>
  <c r="O1839" i="1" s="1"/>
  <c r="M1840" i="1"/>
  <c r="N1840" i="1"/>
  <c r="O1840" i="1" s="1"/>
  <c r="M1841" i="1"/>
  <c r="L1841" i="1" s="1"/>
  <c r="N1841" i="1"/>
  <c r="O1841" i="1" s="1"/>
  <c r="M1842" i="1"/>
  <c r="L1842" i="1" s="1"/>
  <c r="N1842" i="1"/>
  <c r="O1842" i="1" s="1"/>
  <c r="M1843" i="1"/>
  <c r="L1843" i="1" s="1"/>
  <c r="N1843" i="1"/>
  <c r="O1843" i="1" s="1"/>
  <c r="M1844" i="1"/>
  <c r="N1844" i="1"/>
  <c r="O1844" i="1" s="1"/>
  <c r="M1845" i="1"/>
  <c r="L1845" i="1" s="1"/>
  <c r="N1845" i="1"/>
  <c r="O1845" i="1" s="1"/>
  <c r="M1846" i="1"/>
  <c r="L1846" i="1" s="1"/>
  <c r="N1846" i="1"/>
  <c r="O1846" i="1" s="1"/>
  <c r="M1847" i="1"/>
  <c r="L1847" i="1" s="1"/>
  <c r="N1847" i="1"/>
  <c r="O1847" i="1" s="1"/>
  <c r="M1848" i="1"/>
  <c r="N1848" i="1"/>
  <c r="O1848" i="1" s="1"/>
  <c r="M1849" i="1"/>
  <c r="L1849" i="1" s="1"/>
  <c r="N1849" i="1"/>
  <c r="O1849" i="1" s="1"/>
  <c r="M1850" i="1"/>
  <c r="N1850" i="1"/>
  <c r="O1850" i="1" s="1"/>
  <c r="M1851" i="1"/>
  <c r="N1851" i="1"/>
  <c r="O1851" i="1" s="1"/>
  <c r="M1852" i="1"/>
  <c r="N1852" i="1"/>
  <c r="O1852" i="1" s="1"/>
  <c r="M1853" i="1"/>
  <c r="L1853" i="1" s="1"/>
  <c r="N1853" i="1"/>
  <c r="O1853" i="1" s="1"/>
  <c r="M1854" i="1"/>
  <c r="L1854" i="1" s="1"/>
  <c r="N1854" i="1"/>
  <c r="O1854" i="1" s="1"/>
  <c r="M1855" i="1"/>
  <c r="L1855" i="1" s="1"/>
  <c r="N1855" i="1"/>
  <c r="O1855" i="1" s="1"/>
  <c r="M1856" i="1"/>
  <c r="L1856" i="1" s="1"/>
  <c r="N1856" i="1"/>
  <c r="O1856" i="1" s="1"/>
  <c r="M1857" i="1"/>
  <c r="L1857" i="1" s="1"/>
  <c r="N1857" i="1"/>
  <c r="O1857" i="1" s="1"/>
  <c r="M1858" i="1"/>
  <c r="L1858" i="1" s="1"/>
  <c r="N1858" i="1"/>
  <c r="O1858" i="1" s="1"/>
  <c r="M1859" i="1"/>
  <c r="L1859" i="1" s="1"/>
  <c r="N1859" i="1"/>
  <c r="O1859" i="1" s="1"/>
  <c r="M1860" i="1"/>
  <c r="L1860" i="1" s="1"/>
  <c r="N1860" i="1"/>
  <c r="O1860" i="1" s="1"/>
  <c r="M1861" i="1"/>
  <c r="L1861" i="1" s="1"/>
  <c r="N1861" i="1"/>
  <c r="O1861" i="1" s="1"/>
  <c r="M1862" i="1"/>
  <c r="L1862" i="1" s="1"/>
  <c r="N1862" i="1"/>
  <c r="O1862" i="1" s="1"/>
  <c r="M1863" i="1"/>
  <c r="L1863" i="1" s="1"/>
  <c r="N1863" i="1"/>
  <c r="O1863" i="1" s="1"/>
  <c r="M1864" i="1"/>
  <c r="L1864" i="1" s="1"/>
  <c r="N1864" i="1"/>
  <c r="O1864" i="1" s="1"/>
  <c r="M1865" i="1"/>
  <c r="L1865" i="1" s="1"/>
  <c r="N1865" i="1"/>
  <c r="O1865" i="1" s="1"/>
  <c r="M1866" i="1"/>
  <c r="L1866" i="1" s="1"/>
  <c r="N1866" i="1"/>
  <c r="O1866" i="1" s="1"/>
  <c r="M1867" i="1"/>
  <c r="N1867" i="1"/>
  <c r="O1867" i="1" s="1"/>
  <c r="M1868" i="1"/>
  <c r="N1868" i="1"/>
  <c r="O1868" i="1" s="1"/>
  <c r="M1869" i="1"/>
  <c r="L1869" i="1" s="1"/>
  <c r="N1869" i="1"/>
  <c r="O1869" i="1" s="1"/>
  <c r="M1870" i="1"/>
  <c r="L1870" i="1" s="1"/>
  <c r="N1870" i="1"/>
  <c r="O1870" i="1" s="1"/>
  <c r="M1871" i="1"/>
  <c r="L1871" i="1" s="1"/>
  <c r="N1871" i="1"/>
  <c r="O1871" i="1" s="1"/>
  <c r="M372" i="1"/>
  <c r="L372" i="1" s="1"/>
  <c r="N372" i="1"/>
  <c r="O372" i="1" s="1"/>
  <c r="M373" i="1"/>
  <c r="L373" i="1" s="1"/>
  <c r="N373" i="1"/>
  <c r="O373" i="1" s="1"/>
  <c r="M374" i="1"/>
  <c r="L374" i="1" s="1"/>
  <c r="N374" i="1"/>
  <c r="M375" i="1"/>
  <c r="L375" i="1" s="1"/>
  <c r="N375" i="1"/>
  <c r="O375" i="1" s="1"/>
  <c r="M376" i="1"/>
  <c r="L376" i="1" s="1"/>
  <c r="N376" i="1"/>
  <c r="O376" i="1" s="1"/>
  <c r="M377" i="1"/>
  <c r="L377" i="1" s="1"/>
  <c r="N377" i="1"/>
  <c r="O377" i="1" s="1"/>
  <c r="M378" i="1"/>
  <c r="L378" i="1" s="1"/>
  <c r="N378" i="1"/>
  <c r="O378" i="1" s="1"/>
  <c r="M379" i="1"/>
  <c r="L379" i="1" s="1"/>
  <c r="N379" i="1"/>
  <c r="O379" i="1" s="1"/>
  <c r="M380" i="1"/>
  <c r="N380" i="1"/>
  <c r="O380" i="1" s="1"/>
  <c r="M381" i="1"/>
  <c r="N381" i="1"/>
  <c r="O381" i="1" s="1"/>
  <c r="M382" i="1"/>
  <c r="L382" i="1" s="1"/>
  <c r="N382" i="1"/>
  <c r="O382" i="1" s="1"/>
  <c r="M383" i="1"/>
  <c r="N383" i="1"/>
  <c r="O383" i="1" s="1"/>
  <c r="M384" i="1"/>
  <c r="N384" i="1"/>
  <c r="O384" i="1" s="1"/>
  <c r="M385" i="1"/>
  <c r="N385" i="1"/>
  <c r="M386" i="1"/>
  <c r="N386" i="1"/>
  <c r="O386" i="1" s="1"/>
  <c r="M387" i="1"/>
  <c r="L387" i="1" s="1"/>
  <c r="N387" i="1"/>
  <c r="O387" i="1" s="1"/>
  <c r="M388" i="1"/>
  <c r="L388" i="1" s="1"/>
  <c r="N388" i="1"/>
  <c r="O388" i="1" s="1"/>
  <c r="M389" i="1"/>
  <c r="L389" i="1" s="1"/>
  <c r="N389" i="1"/>
  <c r="O389" i="1" s="1"/>
  <c r="M390" i="1"/>
  <c r="L390" i="1" s="1"/>
  <c r="N390" i="1"/>
  <c r="O390" i="1" s="1"/>
  <c r="M391" i="1"/>
  <c r="L391" i="1" s="1"/>
  <c r="N391" i="1"/>
  <c r="O391" i="1" s="1"/>
  <c r="M392" i="1"/>
  <c r="L392" i="1" s="1"/>
  <c r="N392" i="1"/>
  <c r="O392" i="1" s="1"/>
  <c r="M393" i="1"/>
  <c r="L393" i="1" s="1"/>
  <c r="N393" i="1"/>
  <c r="O393" i="1" s="1"/>
  <c r="M394" i="1"/>
  <c r="L394" i="1" s="1"/>
  <c r="N394" i="1"/>
  <c r="O394" i="1" s="1"/>
  <c r="M395" i="1"/>
  <c r="L395" i="1" s="1"/>
  <c r="N395" i="1"/>
  <c r="O395" i="1" s="1"/>
  <c r="M396" i="1"/>
  <c r="L396" i="1" s="1"/>
  <c r="N396" i="1"/>
  <c r="O396" i="1" s="1"/>
  <c r="M397" i="1"/>
  <c r="L397" i="1" s="1"/>
  <c r="N397" i="1"/>
  <c r="O397" i="1" s="1"/>
  <c r="M398" i="1"/>
  <c r="L398" i="1" s="1"/>
  <c r="N398" i="1"/>
  <c r="O398" i="1" s="1"/>
  <c r="M399" i="1"/>
  <c r="L399" i="1" s="1"/>
  <c r="N399" i="1"/>
  <c r="O399" i="1" s="1"/>
  <c r="M400" i="1"/>
  <c r="L400" i="1" s="1"/>
  <c r="N400" i="1"/>
  <c r="O400" i="1" s="1"/>
  <c r="M401" i="1"/>
  <c r="L401" i="1" s="1"/>
  <c r="N401" i="1"/>
  <c r="O401" i="1" s="1"/>
  <c r="M402" i="1"/>
  <c r="L402" i="1" s="1"/>
  <c r="N402" i="1"/>
  <c r="O402" i="1" s="1"/>
  <c r="M403" i="1"/>
  <c r="L403" i="1" s="1"/>
  <c r="N403" i="1"/>
  <c r="O403" i="1" s="1"/>
  <c r="M404" i="1"/>
  <c r="L404" i="1" s="1"/>
  <c r="N404" i="1"/>
  <c r="O404" i="1" s="1"/>
  <c r="M405" i="1"/>
  <c r="L405" i="1" s="1"/>
  <c r="N405" i="1"/>
  <c r="O405" i="1" s="1"/>
  <c r="M406" i="1"/>
  <c r="L406" i="1" s="1"/>
  <c r="N406" i="1"/>
  <c r="O406" i="1" s="1"/>
  <c r="M407" i="1"/>
  <c r="L407" i="1" s="1"/>
  <c r="N407" i="1"/>
  <c r="O407" i="1" s="1"/>
  <c r="M408" i="1"/>
  <c r="L408" i="1" s="1"/>
  <c r="N408" i="1"/>
  <c r="O408" i="1" s="1"/>
  <c r="M409" i="1"/>
  <c r="L409" i="1" s="1"/>
  <c r="N409" i="1"/>
  <c r="O409" i="1" s="1"/>
  <c r="M410" i="1"/>
  <c r="L410" i="1" s="1"/>
  <c r="N410" i="1"/>
  <c r="O410" i="1" s="1"/>
  <c r="M411" i="1"/>
  <c r="L411" i="1" s="1"/>
  <c r="N411" i="1"/>
  <c r="O411" i="1" s="1"/>
  <c r="M412" i="1"/>
  <c r="L412" i="1" s="1"/>
  <c r="N412" i="1"/>
  <c r="O412" i="1" s="1"/>
  <c r="M413" i="1"/>
  <c r="L413" i="1" s="1"/>
  <c r="N413" i="1"/>
  <c r="O413" i="1" s="1"/>
  <c r="M414" i="1"/>
  <c r="L414" i="1" s="1"/>
  <c r="N414" i="1"/>
  <c r="O414" i="1" s="1"/>
  <c r="M415" i="1"/>
  <c r="L415" i="1" s="1"/>
  <c r="N415" i="1"/>
  <c r="O415" i="1" s="1"/>
  <c r="M416" i="1"/>
  <c r="L416" i="1" s="1"/>
  <c r="N416" i="1"/>
  <c r="O416" i="1" s="1"/>
  <c r="M417" i="1"/>
  <c r="L417" i="1" s="1"/>
  <c r="N417" i="1"/>
  <c r="O417" i="1" s="1"/>
  <c r="M418" i="1"/>
  <c r="L418" i="1" s="1"/>
  <c r="N418" i="1"/>
  <c r="O418" i="1" s="1"/>
  <c r="M419" i="1"/>
  <c r="L419" i="1" s="1"/>
  <c r="N419" i="1"/>
  <c r="O419" i="1" s="1"/>
  <c r="M420" i="1"/>
  <c r="L420" i="1" s="1"/>
  <c r="N420" i="1"/>
  <c r="O420" i="1" s="1"/>
  <c r="M421" i="1"/>
  <c r="L421" i="1" s="1"/>
  <c r="N421" i="1"/>
  <c r="O421" i="1" s="1"/>
  <c r="M422" i="1"/>
  <c r="L422" i="1" s="1"/>
  <c r="N422" i="1"/>
  <c r="O422" i="1" s="1"/>
  <c r="M423" i="1"/>
  <c r="L423" i="1" s="1"/>
  <c r="N423" i="1"/>
  <c r="O423" i="1" s="1"/>
  <c r="M424" i="1"/>
  <c r="L424" i="1" s="1"/>
  <c r="N424" i="1"/>
  <c r="O424" i="1" s="1"/>
  <c r="M425" i="1"/>
  <c r="L425" i="1" s="1"/>
  <c r="N425" i="1"/>
  <c r="O425" i="1" s="1"/>
  <c r="M426" i="1"/>
  <c r="L426" i="1" s="1"/>
  <c r="N426" i="1"/>
  <c r="O426" i="1" s="1"/>
  <c r="M427" i="1"/>
  <c r="L427" i="1" s="1"/>
  <c r="N427" i="1"/>
  <c r="O427" i="1" s="1"/>
  <c r="M428" i="1"/>
  <c r="L428" i="1" s="1"/>
  <c r="N428" i="1"/>
  <c r="O428" i="1" s="1"/>
  <c r="M429" i="1"/>
  <c r="L429" i="1" s="1"/>
  <c r="N429" i="1"/>
  <c r="O429" i="1" s="1"/>
  <c r="M430" i="1"/>
  <c r="L430" i="1" s="1"/>
  <c r="N430" i="1"/>
  <c r="O430" i="1" s="1"/>
  <c r="M431" i="1"/>
  <c r="L431" i="1" s="1"/>
  <c r="N431" i="1"/>
  <c r="O431" i="1" s="1"/>
  <c r="M432" i="1"/>
  <c r="L432" i="1" s="1"/>
  <c r="N432" i="1"/>
  <c r="O432" i="1" s="1"/>
  <c r="M433" i="1"/>
  <c r="L433" i="1" s="1"/>
  <c r="N433" i="1"/>
  <c r="M434" i="1"/>
  <c r="L434" i="1" s="1"/>
  <c r="N434" i="1"/>
  <c r="O434" i="1" s="1"/>
  <c r="M435" i="1"/>
  <c r="L435" i="1" s="1"/>
  <c r="N435" i="1"/>
  <c r="O435" i="1" s="1"/>
  <c r="M436" i="1"/>
  <c r="L436" i="1" s="1"/>
  <c r="N436" i="1"/>
  <c r="O436" i="1" s="1"/>
  <c r="M437" i="1"/>
  <c r="L437" i="1" s="1"/>
  <c r="N437" i="1"/>
  <c r="O437" i="1" s="1"/>
  <c r="M438" i="1"/>
  <c r="L438" i="1" s="1"/>
  <c r="N438" i="1"/>
  <c r="M439" i="1"/>
  <c r="L439" i="1" s="1"/>
  <c r="N439" i="1"/>
  <c r="O439" i="1" s="1"/>
  <c r="M440" i="1"/>
  <c r="L440" i="1" s="1"/>
  <c r="N440" i="1"/>
  <c r="O440" i="1" s="1"/>
  <c r="M441" i="1"/>
  <c r="L441" i="1" s="1"/>
  <c r="N441" i="1"/>
  <c r="O441" i="1" s="1"/>
  <c r="M442" i="1"/>
  <c r="L442" i="1" s="1"/>
  <c r="N442" i="1"/>
  <c r="O442" i="1" s="1"/>
  <c r="M443" i="1"/>
  <c r="L443" i="1" s="1"/>
  <c r="N443" i="1"/>
  <c r="O443" i="1" s="1"/>
  <c r="M444" i="1"/>
  <c r="N444" i="1"/>
  <c r="O444" i="1" s="1"/>
  <c r="M445" i="1"/>
  <c r="N445" i="1"/>
  <c r="O445" i="1" s="1"/>
  <c r="M446" i="1"/>
  <c r="L446" i="1" s="1"/>
  <c r="N446" i="1"/>
  <c r="O446" i="1" s="1"/>
  <c r="M447" i="1"/>
  <c r="N447" i="1"/>
  <c r="O447" i="1" s="1"/>
  <c r="M448" i="1"/>
  <c r="N448" i="1"/>
  <c r="O448" i="1" s="1"/>
  <c r="M449" i="1"/>
  <c r="N449" i="1"/>
  <c r="O449" i="1" s="1"/>
  <c r="M450" i="1"/>
  <c r="N450" i="1"/>
  <c r="O450" i="1" s="1"/>
  <c r="M451" i="1"/>
  <c r="L451" i="1" s="1"/>
  <c r="N451" i="1"/>
  <c r="O451" i="1" s="1"/>
  <c r="M452" i="1"/>
  <c r="L452" i="1" s="1"/>
  <c r="N452" i="1"/>
  <c r="O452" i="1" s="1"/>
  <c r="M453" i="1"/>
  <c r="L453" i="1" s="1"/>
  <c r="N453" i="1"/>
  <c r="O453" i="1" s="1"/>
  <c r="M454" i="1"/>
  <c r="L454" i="1" s="1"/>
  <c r="N454" i="1"/>
  <c r="M455" i="1"/>
  <c r="L455" i="1" s="1"/>
  <c r="N455" i="1"/>
  <c r="O455" i="1" s="1"/>
  <c r="M456" i="1"/>
  <c r="L456" i="1" s="1"/>
  <c r="N456" i="1"/>
  <c r="O456" i="1" s="1"/>
  <c r="M457" i="1"/>
  <c r="L457" i="1" s="1"/>
  <c r="N457" i="1"/>
  <c r="O457" i="1" s="1"/>
  <c r="M458" i="1"/>
  <c r="L458" i="1" s="1"/>
  <c r="N458" i="1"/>
  <c r="O458" i="1" s="1"/>
  <c r="M459" i="1"/>
  <c r="L459" i="1" s="1"/>
  <c r="N459" i="1"/>
  <c r="O459" i="1" s="1"/>
  <c r="M460" i="1"/>
  <c r="L460" i="1" s="1"/>
  <c r="N460" i="1"/>
  <c r="O460" i="1" s="1"/>
  <c r="M461" i="1"/>
  <c r="L461" i="1" s="1"/>
  <c r="N461" i="1"/>
  <c r="O461" i="1" s="1"/>
  <c r="M462" i="1"/>
  <c r="L462" i="1" s="1"/>
  <c r="N462" i="1"/>
  <c r="O462" i="1" s="1"/>
  <c r="M463" i="1"/>
  <c r="L463" i="1" s="1"/>
  <c r="N463" i="1"/>
  <c r="O463" i="1" s="1"/>
  <c r="M464" i="1"/>
  <c r="L464" i="1" s="1"/>
  <c r="N464" i="1"/>
  <c r="O464" i="1" s="1"/>
  <c r="M465" i="1"/>
  <c r="L465" i="1" s="1"/>
  <c r="N465" i="1"/>
  <c r="M466" i="1"/>
  <c r="L466" i="1" s="1"/>
  <c r="N466" i="1"/>
  <c r="O466" i="1" s="1"/>
  <c r="M467" i="1"/>
  <c r="L467" i="1" s="1"/>
  <c r="N467" i="1"/>
  <c r="O467" i="1" s="1"/>
  <c r="M468" i="1"/>
  <c r="L468" i="1" s="1"/>
  <c r="N468" i="1"/>
  <c r="O468" i="1" s="1"/>
  <c r="M469" i="1"/>
  <c r="L469" i="1" s="1"/>
  <c r="N469" i="1"/>
  <c r="O469" i="1" s="1"/>
  <c r="M470" i="1"/>
  <c r="L470" i="1" s="1"/>
  <c r="N470" i="1"/>
  <c r="M471" i="1"/>
  <c r="L471" i="1" s="1"/>
  <c r="N471" i="1"/>
  <c r="O471" i="1" s="1"/>
  <c r="M472" i="1"/>
  <c r="L472" i="1" s="1"/>
  <c r="N472" i="1"/>
  <c r="O472" i="1" s="1"/>
  <c r="M473" i="1"/>
  <c r="L473" i="1" s="1"/>
  <c r="N473" i="1"/>
  <c r="O473" i="1" s="1"/>
  <c r="M474" i="1"/>
  <c r="L474" i="1" s="1"/>
  <c r="N474" i="1"/>
  <c r="O474" i="1" s="1"/>
  <c r="M475" i="1"/>
  <c r="L475" i="1" s="1"/>
  <c r="N475" i="1"/>
  <c r="O475" i="1" s="1"/>
  <c r="M476" i="1"/>
  <c r="L476" i="1" s="1"/>
  <c r="N476" i="1"/>
  <c r="O476" i="1" s="1"/>
  <c r="M477" i="1"/>
  <c r="L477" i="1" s="1"/>
  <c r="N477" i="1"/>
  <c r="O477" i="1" s="1"/>
  <c r="M478" i="1"/>
  <c r="L478" i="1" s="1"/>
  <c r="N478" i="1"/>
  <c r="O478" i="1" s="1"/>
  <c r="M479" i="1"/>
  <c r="L479" i="1" s="1"/>
  <c r="N479" i="1"/>
  <c r="O479" i="1" s="1"/>
  <c r="M480" i="1"/>
  <c r="L480" i="1" s="1"/>
  <c r="N480" i="1"/>
  <c r="O480" i="1" s="1"/>
  <c r="M481" i="1"/>
  <c r="L481" i="1" s="1"/>
  <c r="N481" i="1"/>
  <c r="O481" i="1" s="1"/>
  <c r="M482" i="1"/>
  <c r="L482" i="1" s="1"/>
  <c r="N482" i="1"/>
  <c r="O482" i="1" s="1"/>
  <c r="M483" i="1"/>
  <c r="L483" i="1" s="1"/>
  <c r="N483" i="1"/>
  <c r="O483" i="1" s="1"/>
  <c r="M484" i="1"/>
  <c r="L484" i="1" s="1"/>
  <c r="N484" i="1"/>
  <c r="O484" i="1" s="1"/>
  <c r="M485" i="1"/>
  <c r="L485" i="1" s="1"/>
  <c r="N485" i="1"/>
  <c r="O485" i="1" s="1"/>
  <c r="M486" i="1"/>
  <c r="L486" i="1" s="1"/>
  <c r="N486" i="1"/>
  <c r="O486" i="1" s="1"/>
  <c r="M487" i="1"/>
  <c r="L487" i="1" s="1"/>
  <c r="N487" i="1"/>
  <c r="O487" i="1" s="1"/>
  <c r="M488" i="1"/>
  <c r="L488" i="1" s="1"/>
  <c r="N488" i="1"/>
  <c r="O488" i="1" s="1"/>
  <c r="M489" i="1"/>
  <c r="L489" i="1" s="1"/>
  <c r="N489" i="1"/>
  <c r="O489" i="1" s="1"/>
  <c r="M490" i="1"/>
  <c r="L490" i="1" s="1"/>
  <c r="N490" i="1"/>
  <c r="O490" i="1" s="1"/>
  <c r="M491" i="1"/>
  <c r="L491" i="1" s="1"/>
  <c r="N491" i="1"/>
  <c r="O491" i="1" s="1"/>
  <c r="M492" i="1"/>
  <c r="L492" i="1" s="1"/>
  <c r="N492" i="1"/>
  <c r="O492" i="1" s="1"/>
  <c r="M493" i="1"/>
  <c r="L493" i="1" s="1"/>
  <c r="N493" i="1"/>
  <c r="O493" i="1" s="1"/>
  <c r="M494" i="1"/>
  <c r="L494" i="1" s="1"/>
  <c r="N494" i="1"/>
  <c r="O494" i="1" s="1"/>
  <c r="M495" i="1"/>
  <c r="L495" i="1" s="1"/>
  <c r="N495" i="1"/>
  <c r="O495" i="1" s="1"/>
  <c r="M496" i="1"/>
  <c r="L496" i="1" s="1"/>
  <c r="N496" i="1"/>
  <c r="O496" i="1" s="1"/>
  <c r="M497" i="1"/>
  <c r="L497" i="1" s="1"/>
  <c r="N497" i="1"/>
  <c r="O497" i="1" s="1"/>
  <c r="M498" i="1"/>
  <c r="L498" i="1" s="1"/>
  <c r="N498" i="1"/>
  <c r="O498" i="1" s="1"/>
  <c r="M499" i="1"/>
  <c r="L499" i="1" s="1"/>
  <c r="N499" i="1"/>
  <c r="O499" i="1" s="1"/>
  <c r="M500" i="1"/>
  <c r="L500" i="1" s="1"/>
  <c r="N500" i="1"/>
  <c r="O500" i="1" s="1"/>
  <c r="M501" i="1"/>
  <c r="L501" i="1" s="1"/>
  <c r="N501" i="1"/>
  <c r="O501" i="1" s="1"/>
  <c r="M502" i="1"/>
  <c r="N502" i="1"/>
  <c r="O502" i="1" s="1"/>
  <c r="M503" i="1"/>
  <c r="L503" i="1" s="1"/>
  <c r="N503" i="1"/>
  <c r="O503" i="1" s="1"/>
  <c r="M504" i="1"/>
  <c r="L504" i="1" s="1"/>
  <c r="N504" i="1"/>
  <c r="O504" i="1" s="1"/>
  <c r="M505" i="1"/>
  <c r="L505" i="1" s="1"/>
  <c r="N505" i="1"/>
  <c r="O505" i="1" s="1"/>
  <c r="M506" i="1"/>
  <c r="L506" i="1" s="1"/>
  <c r="N506" i="1"/>
  <c r="O506" i="1" s="1"/>
  <c r="M507" i="1"/>
  <c r="L507" i="1" s="1"/>
  <c r="N507" i="1"/>
  <c r="O507" i="1" s="1"/>
  <c r="M508" i="1"/>
  <c r="N508" i="1"/>
  <c r="O508" i="1" s="1"/>
  <c r="M300" i="1"/>
  <c r="L300" i="1" s="1"/>
  <c r="N300" i="1"/>
  <c r="O300" i="1" s="1"/>
  <c r="M301" i="1"/>
  <c r="L301" i="1" s="1"/>
  <c r="N301" i="1"/>
  <c r="O301" i="1" s="1"/>
  <c r="M302" i="1"/>
  <c r="L302" i="1" s="1"/>
  <c r="N302" i="1"/>
  <c r="O302" i="1" s="1"/>
  <c r="M303" i="1"/>
  <c r="L303" i="1" s="1"/>
  <c r="N303" i="1"/>
  <c r="O303" i="1" s="1"/>
  <c r="M304" i="1"/>
  <c r="L304" i="1" s="1"/>
  <c r="N304" i="1"/>
  <c r="M305" i="1"/>
  <c r="L305" i="1" s="1"/>
  <c r="N305" i="1"/>
  <c r="O305" i="1" s="1"/>
  <c r="M306" i="1"/>
  <c r="L306" i="1" s="1"/>
  <c r="N306" i="1"/>
  <c r="O306" i="1" s="1"/>
  <c r="M307" i="1"/>
  <c r="L307" i="1" s="1"/>
  <c r="N307" i="1"/>
  <c r="O307" i="1" s="1"/>
  <c r="M308" i="1"/>
  <c r="L308" i="1" s="1"/>
  <c r="N308" i="1"/>
  <c r="O308" i="1" s="1"/>
  <c r="M309" i="1"/>
  <c r="L309" i="1" s="1"/>
  <c r="N309" i="1"/>
  <c r="O309" i="1" s="1"/>
  <c r="M310" i="1"/>
  <c r="L310" i="1" s="1"/>
  <c r="N310" i="1"/>
  <c r="O310" i="1" s="1"/>
  <c r="M311" i="1"/>
  <c r="L311" i="1" s="1"/>
  <c r="N311" i="1"/>
  <c r="O311" i="1" s="1"/>
  <c r="M312" i="1"/>
  <c r="L312" i="1" s="1"/>
  <c r="N312" i="1"/>
  <c r="O312" i="1" s="1"/>
  <c r="M313" i="1"/>
  <c r="L313" i="1" s="1"/>
  <c r="N313" i="1"/>
  <c r="O313" i="1" s="1"/>
  <c r="M314" i="1"/>
  <c r="L314" i="1" s="1"/>
  <c r="N314" i="1"/>
  <c r="O314" i="1" s="1"/>
  <c r="M315" i="1"/>
  <c r="L315" i="1" s="1"/>
  <c r="N315" i="1"/>
  <c r="O315" i="1" s="1"/>
  <c r="M316" i="1"/>
  <c r="N316" i="1"/>
  <c r="O316" i="1" s="1"/>
  <c r="M317" i="1"/>
  <c r="N317" i="1"/>
  <c r="O317" i="1" s="1"/>
  <c r="M318" i="1"/>
  <c r="L318" i="1" s="1"/>
  <c r="N318" i="1"/>
  <c r="O318" i="1" s="1"/>
  <c r="M319" i="1"/>
  <c r="L319" i="1" s="1"/>
  <c r="N319" i="1"/>
  <c r="O319" i="1" s="1"/>
  <c r="M320" i="1"/>
  <c r="L320" i="1" s="1"/>
  <c r="N320" i="1"/>
  <c r="O320" i="1" s="1"/>
  <c r="M321" i="1"/>
  <c r="N321" i="1"/>
  <c r="O321" i="1" s="1"/>
  <c r="M322" i="1"/>
  <c r="L322" i="1" s="1"/>
  <c r="N322" i="1"/>
  <c r="O322" i="1" s="1"/>
  <c r="M323" i="1"/>
  <c r="L323" i="1" s="1"/>
  <c r="N323" i="1"/>
  <c r="O323" i="1" s="1"/>
  <c r="M324" i="1"/>
  <c r="L324" i="1" s="1"/>
  <c r="N324" i="1"/>
  <c r="O324" i="1" s="1"/>
  <c r="M325" i="1"/>
  <c r="L325" i="1" s="1"/>
  <c r="N325" i="1"/>
  <c r="O325" i="1" s="1"/>
  <c r="M326" i="1"/>
  <c r="L326" i="1" s="1"/>
  <c r="N326" i="1"/>
  <c r="O326" i="1" s="1"/>
  <c r="M327" i="1"/>
  <c r="L327" i="1" s="1"/>
  <c r="N327" i="1"/>
  <c r="O327" i="1" s="1"/>
  <c r="M328" i="1"/>
  <c r="L328" i="1" s="1"/>
  <c r="N328" i="1"/>
  <c r="O328" i="1" s="1"/>
  <c r="M329" i="1"/>
  <c r="L329" i="1" s="1"/>
  <c r="N329" i="1"/>
  <c r="O329" i="1" s="1"/>
  <c r="M330" i="1"/>
  <c r="L330" i="1" s="1"/>
  <c r="N330" i="1"/>
  <c r="O330" i="1" s="1"/>
  <c r="M331" i="1"/>
  <c r="L331" i="1" s="1"/>
  <c r="N331" i="1"/>
  <c r="O331" i="1" s="1"/>
  <c r="M332" i="1"/>
  <c r="L332" i="1" s="1"/>
  <c r="N332" i="1"/>
  <c r="O332" i="1" s="1"/>
  <c r="M333" i="1"/>
  <c r="L333" i="1" s="1"/>
  <c r="N333" i="1"/>
  <c r="O333" i="1" s="1"/>
  <c r="M334" i="1"/>
  <c r="L334" i="1" s="1"/>
  <c r="N334" i="1"/>
  <c r="O334" i="1" s="1"/>
  <c r="M335" i="1"/>
  <c r="L335" i="1" s="1"/>
  <c r="N335" i="1"/>
  <c r="O335" i="1" s="1"/>
  <c r="M336" i="1"/>
  <c r="L336" i="1" s="1"/>
  <c r="N336" i="1"/>
  <c r="O336" i="1" s="1"/>
  <c r="M337" i="1"/>
  <c r="L337" i="1" s="1"/>
  <c r="N337" i="1"/>
  <c r="O337" i="1" s="1"/>
  <c r="M338" i="1"/>
  <c r="L338" i="1" s="1"/>
  <c r="N338" i="1"/>
  <c r="O338" i="1" s="1"/>
  <c r="M339" i="1"/>
  <c r="L339" i="1" s="1"/>
  <c r="N339" i="1"/>
  <c r="O339" i="1" s="1"/>
  <c r="M340" i="1"/>
  <c r="L340" i="1" s="1"/>
  <c r="N340" i="1"/>
  <c r="O340" i="1" s="1"/>
  <c r="M341" i="1"/>
  <c r="L341" i="1" s="1"/>
  <c r="N341" i="1"/>
  <c r="O341" i="1" s="1"/>
  <c r="M342" i="1"/>
  <c r="L342" i="1" s="1"/>
  <c r="N342" i="1"/>
  <c r="O342" i="1" s="1"/>
  <c r="M343" i="1"/>
  <c r="L343" i="1" s="1"/>
  <c r="N343" i="1"/>
  <c r="O343" i="1" s="1"/>
  <c r="M344" i="1"/>
  <c r="L344" i="1" s="1"/>
  <c r="N344" i="1"/>
  <c r="O344" i="1" s="1"/>
  <c r="M345" i="1"/>
  <c r="L345" i="1" s="1"/>
  <c r="N345" i="1"/>
  <c r="O345" i="1" s="1"/>
  <c r="M346" i="1"/>
  <c r="L346" i="1" s="1"/>
  <c r="N346" i="1"/>
  <c r="O346" i="1" s="1"/>
  <c r="M347" i="1"/>
  <c r="L347" i="1" s="1"/>
  <c r="N347" i="1"/>
  <c r="O347" i="1" s="1"/>
  <c r="M348" i="1"/>
  <c r="L348" i="1" s="1"/>
  <c r="N348" i="1"/>
  <c r="O348" i="1" s="1"/>
  <c r="M349" i="1"/>
  <c r="L349" i="1" s="1"/>
  <c r="N349" i="1"/>
  <c r="O349" i="1" s="1"/>
  <c r="M350" i="1"/>
  <c r="L350" i="1" s="1"/>
  <c r="N350" i="1"/>
  <c r="O350" i="1" s="1"/>
  <c r="M351" i="1"/>
  <c r="L351" i="1" s="1"/>
  <c r="N351" i="1"/>
  <c r="O351" i="1" s="1"/>
  <c r="M352" i="1"/>
  <c r="L352" i="1" s="1"/>
  <c r="N352" i="1"/>
  <c r="O352" i="1" s="1"/>
  <c r="M353" i="1"/>
  <c r="L353" i="1" s="1"/>
  <c r="N353" i="1"/>
  <c r="O353" i="1" s="1"/>
  <c r="M354" i="1"/>
  <c r="L354" i="1" s="1"/>
  <c r="N354" i="1"/>
  <c r="O354" i="1" s="1"/>
  <c r="M355" i="1"/>
  <c r="L355" i="1" s="1"/>
  <c r="N355" i="1"/>
  <c r="O355" i="1" s="1"/>
  <c r="M356" i="1"/>
  <c r="L356" i="1" s="1"/>
  <c r="N356" i="1"/>
  <c r="O356" i="1" s="1"/>
  <c r="M357" i="1"/>
  <c r="L357" i="1" s="1"/>
  <c r="N357" i="1"/>
  <c r="M358" i="1"/>
  <c r="L358" i="1" s="1"/>
  <c r="N358" i="1"/>
  <c r="M359" i="1"/>
  <c r="L359" i="1" s="1"/>
  <c r="N359" i="1"/>
  <c r="O359" i="1" s="1"/>
  <c r="M360" i="1"/>
  <c r="L360" i="1" s="1"/>
  <c r="N360" i="1"/>
  <c r="O360" i="1" s="1"/>
  <c r="M361" i="1"/>
  <c r="L361" i="1" s="1"/>
  <c r="N361" i="1"/>
  <c r="O361" i="1" s="1"/>
  <c r="M362" i="1"/>
  <c r="L362" i="1" s="1"/>
  <c r="N362" i="1"/>
  <c r="O362" i="1" s="1"/>
  <c r="M363" i="1"/>
  <c r="L363" i="1" s="1"/>
  <c r="N363" i="1"/>
  <c r="O363" i="1" s="1"/>
  <c r="M364" i="1"/>
  <c r="L364" i="1" s="1"/>
  <c r="N364" i="1"/>
  <c r="O364" i="1" s="1"/>
  <c r="M365" i="1"/>
  <c r="L365" i="1" s="1"/>
  <c r="N365" i="1"/>
  <c r="O365" i="1" s="1"/>
  <c r="M366" i="1"/>
  <c r="L366" i="1" s="1"/>
  <c r="N366" i="1"/>
  <c r="O366" i="1" s="1"/>
  <c r="M367" i="1"/>
  <c r="L367" i="1" s="1"/>
  <c r="N367" i="1"/>
  <c r="O367" i="1" s="1"/>
  <c r="M368" i="1"/>
  <c r="L368" i="1" s="1"/>
  <c r="N368" i="1"/>
  <c r="M369" i="1"/>
  <c r="L369" i="1" s="1"/>
  <c r="N369" i="1"/>
  <c r="O369" i="1" s="1"/>
  <c r="M370" i="1"/>
  <c r="L370" i="1" s="1"/>
  <c r="N370" i="1"/>
  <c r="O370" i="1" s="1"/>
  <c r="M371" i="1"/>
  <c r="L371" i="1" s="1"/>
  <c r="N371" i="1"/>
  <c r="O371" i="1" s="1"/>
  <c r="M228" i="1"/>
  <c r="L228" i="1" s="1"/>
  <c r="N228" i="1"/>
  <c r="O228" i="1" s="1"/>
  <c r="M229" i="1"/>
  <c r="L229" i="1" s="1"/>
  <c r="N229" i="1"/>
  <c r="M230" i="1"/>
  <c r="L230" i="1" s="1"/>
  <c r="N230" i="1"/>
  <c r="O230" i="1" s="1"/>
  <c r="M231" i="1"/>
  <c r="L231" i="1" s="1"/>
  <c r="N231" i="1"/>
  <c r="O231" i="1" s="1"/>
  <c r="M232" i="1"/>
  <c r="L232" i="1" s="1"/>
  <c r="N232" i="1"/>
  <c r="O232" i="1" s="1"/>
  <c r="M233" i="1"/>
  <c r="L233" i="1" s="1"/>
  <c r="N233" i="1"/>
  <c r="O233" i="1" s="1"/>
  <c r="M234" i="1"/>
  <c r="L234" i="1" s="1"/>
  <c r="N234" i="1"/>
  <c r="O234" i="1" s="1"/>
  <c r="M235" i="1"/>
  <c r="L235" i="1" s="1"/>
  <c r="N235" i="1"/>
  <c r="O235" i="1" s="1"/>
  <c r="M236" i="1"/>
  <c r="L236" i="1" s="1"/>
  <c r="N236" i="1"/>
  <c r="O236" i="1" s="1"/>
  <c r="M237" i="1"/>
  <c r="L237" i="1" s="1"/>
  <c r="N237" i="1"/>
  <c r="O237" i="1" s="1"/>
  <c r="M238" i="1"/>
  <c r="L238" i="1" s="1"/>
  <c r="N238" i="1"/>
  <c r="O238" i="1" s="1"/>
  <c r="M239" i="1"/>
  <c r="L239" i="1" s="1"/>
  <c r="N239" i="1"/>
  <c r="O239" i="1" s="1"/>
  <c r="M240" i="1"/>
  <c r="L240" i="1" s="1"/>
  <c r="N240" i="1"/>
  <c r="O240" i="1" s="1"/>
  <c r="M241" i="1"/>
  <c r="L241" i="1" s="1"/>
  <c r="N241" i="1"/>
  <c r="O241" i="1" s="1"/>
  <c r="M242" i="1"/>
  <c r="L242" i="1" s="1"/>
  <c r="N242" i="1"/>
  <c r="O242" i="1" s="1"/>
  <c r="M243" i="1"/>
  <c r="L243" i="1" s="1"/>
  <c r="N243" i="1"/>
  <c r="O243" i="1" s="1"/>
  <c r="M244" i="1"/>
  <c r="L244" i="1" s="1"/>
  <c r="N244" i="1"/>
  <c r="O244" i="1" s="1"/>
  <c r="M245" i="1"/>
  <c r="L245" i="1" s="1"/>
  <c r="N245" i="1"/>
  <c r="O245" i="1" s="1"/>
  <c r="M246" i="1"/>
  <c r="L246" i="1" s="1"/>
  <c r="N246" i="1"/>
  <c r="O246" i="1" s="1"/>
  <c r="M247" i="1"/>
  <c r="L247" i="1" s="1"/>
  <c r="N247" i="1"/>
  <c r="O247" i="1" s="1"/>
  <c r="M248" i="1"/>
  <c r="L248" i="1" s="1"/>
  <c r="N248" i="1"/>
  <c r="O248" i="1" s="1"/>
  <c r="M249" i="1"/>
  <c r="L249" i="1" s="1"/>
  <c r="N249" i="1"/>
  <c r="O249" i="1" s="1"/>
  <c r="M250" i="1"/>
  <c r="L250" i="1" s="1"/>
  <c r="N250" i="1"/>
  <c r="O250" i="1" s="1"/>
  <c r="M251" i="1"/>
  <c r="L251" i="1" s="1"/>
  <c r="N251" i="1"/>
  <c r="O251" i="1" s="1"/>
  <c r="M252" i="1"/>
  <c r="N252" i="1"/>
  <c r="O252" i="1" s="1"/>
  <c r="M253" i="1"/>
  <c r="N253" i="1"/>
  <c r="O253" i="1" s="1"/>
  <c r="M254" i="1"/>
  <c r="L254" i="1" s="1"/>
  <c r="N254" i="1"/>
  <c r="O254" i="1" s="1"/>
  <c r="M255" i="1"/>
  <c r="L255" i="1" s="1"/>
  <c r="N255" i="1"/>
  <c r="O255" i="1" s="1"/>
  <c r="M256" i="1"/>
  <c r="L256" i="1" s="1"/>
  <c r="N256" i="1"/>
  <c r="O256" i="1" s="1"/>
  <c r="M257" i="1"/>
  <c r="N257" i="1"/>
  <c r="O257" i="1" s="1"/>
  <c r="M258" i="1"/>
  <c r="L258" i="1" s="1"/>
  <c r="N258" i="1"/>
  <c r="O258" i="1" s="1"/>
  <c r="M259" i="1"/>
  <c r="L259" i="1" s="1"/>
  <c r="N259" i="1"/>
  <c r="O259" i="1" s="1"/>
  <c r="M260" i="1"/>
  <c r="L260" i="1" s="1"/>
  <c r="N260" i="1"/>
  <c r="O260" i="1" s="1"/>
  <c r="M261" i="1"/>
  <c r="L261" i="1" s="1"/>
  <c r="N261" i="1"/>
  <c r="O261" i="1" s="1"/>
  <c r="M262" i="1"/>
  <c r="L262" i="1" s="1"/>
  <c r="N262" i="1"/>
  <c r="O262" i="1" s="1"/>
  <c r="M263" i="1"/>
  <c r="L263" i="1" s="1"/>
  <c r="N263" i="1"/>
  <c r="O263" i="1" s="1"/>
  <c r="M264" i="1"/>
  <c r="L264" i="1" s="1"/>
  <c r="N264" i="1"/>
  <c r="O264" i="1" s="1"/>
  <c r="M265" i="1"/>
  <c r="L265" i="1" s="1"/>
  <c r="N265" i="1"/>
  <c r="O265" i="1" s="1"/>
  <c r="M266" i="1"/>
  <c r="L266" i="1" s="1"/>
  <c r="N266" i="1"/>
  <c r="O266" i="1" s="1"/>
  <c r="M267" i="1"/>
  <c r="L267" i="1" s="1"/>
  <c r="N267" i="1"/>
  <c r="O267" i="1" s="1"/>
  <c r="M268" i="1"/>
  <c r="L268" i="1" s="1"/>
  <c r="N268" i="1"/>
  <c r="O268" i="1" s="1"/>
  <c r="M269" i="1"/>
  <c r="L269" i="1" s="1"/>
  <c r="N269" i="1"/>
  <c r="O269" i="1" s="1"/>
  <c r="M270" i="1"/>
  <c r="L270" i="1" s="1"/>
  <c r="N270" i="1"/>
  <c r="O270" i="1" s="1"/>
  <c r="M271" i="1"/>
  <c r="L271" i="1" s="1"/>
  <c r="N271" i="1"/>
  <c r="O271" i="1" s="1"/>
  <c r="M272" i="1"/>
  <c r="L272" i="1" s="1"/>
  <c r="N272" i="1"/>
  <c r="O272" i="1" s="1"/>
  <c r="M273" i="1"/>
  <c r="L273" i="1" s="1"/>
  <c r="N273" i="1"/>
  <c r="O273" i="1" s="1"/>
  <c r="M274" i="1"/>
  <c r="L274" i="1" s="1"/>
  <c r="N274" i="1"/>
  <c r="O274" i="1" s="1"/>
  <c r="M275" i="1"/>
  <c r="L275" i="1" s="1"/>
  <c r="N275" i="1"/>
  <c r="O275" i="1" s="1"/>
  <c r="M276" i="1"/>
  <c r="L276" i="1" s="1"/>
  <c r="N276" i="1"/>
  <c r="O276" i="1" s="1"/>
  <c r="M277" i="1"/>
  <c r="L277" i="1" s="1"/>
  <c r="N277" i="1"/>
  <c r="M278" i="1"/>
  <c r="L278" i="1" s="1"/>
  <c r="N278" i="1"/>
  <c r="M279" i="1"/>
  <c r="L279" i="1" s="1"/>
  <c r="N279" i="1"/>
  <c r="O279" i="1" s="1"/>
  <c r="M280" i="1"/>
  <c r="L280" i="1" s="1"/>
  <c r="N280" i="1"/>
  <c r="O280" i="1" s="1"/>
  <c r="M281" i="1"/>
  <c r="L281" i="1" s="1"/>
  <c r="N281" i="1"/>
  <c r="O281" i="1" s="1"/>
  <c r="M282" i="1"/>
  <c r="L282" i="1" s="1"/>
  <c r="N282" i="1"/>
  <c r="O282" i="1" s="1"/>
  <c r="M283" i="1"/>
  <c r="L283" i="1" s="1"/>
  <c r="N283" i="1"/>
  <c r="O283" i="1" s="1"/>
  <c r="M284" i="1"/>
  <c r="L284" i="1" s="1"/>
  <c r="N284" i="1"/>
  <c r="O284" i="1" s="1"/>
  <c r="M285" i="1"/>
  <c r="L285" i="1" s="1"/>
  <c r="N285" i="1"/>
  <c r="O285" i="1" s="1"/>
  <c r="M286" i="1"/>
  <c r="L286" i="1" s="1"/>
  <c r="N286" i="1"/>
  <c r="O286" i="1" s="1"/>
  <c r="M287" i="1"/>
  <c r="L287" i="1" s="1"/>
  <c r="N287" i="1"/>
  <c r="O287" i="1" s="1"/>
  <c r="M288" i="1"/>
  <c r="L288" i="1" s="1"/>
  <c r="N288" i="1"/>
  <c r="M289" i="1"/>
  <c r="L289" i="1" s="1"/>
  <c r="N289" i="1"/>
  <c r="O289" i="1" s="1"/>
  <c r="M290" i="1"/>
  <c r="L290" i="1" s="1"/>
  <c r="N290" i="1"/>
  <c r="O290" i="1" s="1"/>
  <c r="M291" i="1"/>
  <c r="L291" i="1" s="1"/>
  <c r="N291" i="1"/>
  <c r="O291" i="1" s="1"/>
  <c r="M292" i="1"/>
  <c r="L292" i="1" s="1"/>
  <c r="N292" i="1"/>
  <c r="O292" i="1" s="1"/>
  <c r="M293" i="1"/>
  <c r="L293" i="1" s="1"/>
  <c r="N293" i="1"/>
  <c r="O293" i="1" s="1"/>
  <c r="M294" i="1"/>
  <c r="L294" i="1" s="1"/>
  <c r="N294" i="1"/>
  <c r="M295" i="1"/>
  <c r="L295" i="1" s="1"/>
  <c r="N295" i="1"/>
  <c r="O295" i="1" s="1"/>
  <c r="M296" i="1"/>
  <c r="L296" i="1" s="1"/>
  <c r="N296" i="1"/>
  <c r="O296" i="1" s="1"/>
  <c r="M297" i="1"/>
  <c r="L297" i="1" s="1"/>
  <c r="N297" i="1"/>
  <c r="O297" i="1" s="1"/>
  <c r="M298" i="1"/>
  <c r="L298" i="1" s="1"/>
  <c r="N298" i="1"/>
  <c r="O298" i="1" s="1"/>
  <c r="M299" i="1"/>
  <c r="L299" i="1" s="1"/>
  <c r="N299" i="1"/>
  <c r="O299" i="1" s="1"/>
  <c r="N99" i="1"/>
  <c r="O99" i="1" s="1"/>
  <c r="N100" i="1"/>
  <c r="O100" i="1" s="1"/>
  <c r="N101" i="1"/>
  <c r="O101" i="1" s="1"/>
  <c r="N102" i="1"/>
  <c r="O102" i="1" s="1"/>
  <c r="N103" i="1"/>
  <c r="O103" i="1" s="1"/>
  <c r="N104" i="1"/>
  <c r="O104" i="1" s="1"/>
  <c r="N105" i="1"/>
  <c r="O105" i="1" s="1"/>
  <c r="N106" i="1"/>
  <c r="O106" i="1" s="1"/>
  <c r="N107" i="1"/>
  <c r="O107" i="1" s="1"/>
  <c r="N108" i="1"/>
  <c r="O108" i="1" s="1"/>
  <c r="N109" i="1"/>
  <c r="O109" i="1" s="1"/>
  <c r="N110" i="1"/>
  <c r="O110" i="1" s="1"/>
  <c r="N111" i="1"/>
  <c r="O111" i="1" s="1"/>
  <c r="N112" i="1"/>
  <c r="O112" i="1" s="1"/>
  <c r="N113" i="1"/>
  <c r="O113" i="1" s="1"/>
  <c r="N114" i="1"/>
  <c r="O114" i="1" s="1"/>
  <c r="N115" i="1"/>
  <c r="N116" i="1"/>
  <c r="O116" i="1" s="1"/>
  <c r="N117" i="1"/>
  <c r="N118" i="1"/>
  <c r="N119" i="1"/>
  <c r="O119" i="1" s="1"/>
  <c r="N120" i="1"/>
  <c r="O120" i="1" s="1"/>
  <c r="N121" i="1"/>
  <c r="O121" i="1" s="1"/>
  <c r="N122" i="1"/>
  <c r="O122" i="1" s="1"/>
  <c r="N123" i="1"/>
  <c r="O123" i="1" s="1"/>
  <c r="N124" i="1"/>
  <c r="O124" i="1" s="1"/>
  <c r="N125" i="1"/>
  <c r="O125" i="1" s="1"/>
  <c r="N126" i="1"/>
  <c r="O126" i="1" s="1"/>
  <c r="N127" i="1"/>
  <c r="O127" i="1" s="1"/>
  <c r="N128" i="1"/>
  <c r="O128" i="1" s="1"/>
  <c r="N129" i="1"/>
  <c r="O129" i="1" s="1"/>
  <c r="N130" i="1"/>
  <c r="N131" i="1"/>
  <c r="N132" i="1"/>
  <c r="O132" i="1" s="1"/>
  <c r="N133" i="1"/>
  <c r="N134" i="1"/>
  <c r="O134" i="1" s="1"/>
  <c r="N135" i="1"/>
  <c r="O135" i="1" s="1"/>
  <c r="N136" i="1"/>
  <c r="O136" i="1" s="1"/>
  <c r="N137" i="1"/>
  <c r="O137" i="1" s="1"/>
  <c r="N138" i="1"/>
  <c r="O138" i="1" s="1"/>
  <c r="N139" i="1"/>
  <c r="O139" i="1" s="1"/>
  <c r="N140" i="1"/>
  <c r="O140" i="1" s="1"/>
  <c r="N141" i="1"/>
  <c r="O141" i="1" s="1"/>
  <c r="N142" i="1"/>
  <c r="O142" i="1" s="1"/>
  <c r="N143" i="1"/>
  <c r="O143" i="1" s="1"/>
  <c r="N144" i="1"/>
  <c r="O144" i="1" s="1"/>
  <c r="N145" i="1"/>
  <c r="O145" i="1" s="1"/>
  <c r="N146" i="1"/>
  <c r="O146" i="1" s="1"/>
  <c r="N147" i="1"/>
  <c r="O147" i="1" s="1"/>
  <c r="N148" i="1"/>
  <c r="O148" i="1" s="1"/>
  <c r="N149" i="1"/>
  <c r="O149" i="1" s="1"/>
  <c r="N150" i="1"/>
  <c r="O150" i="1" s="1"/>
  <c r="N151" i="1"/>
  <c r="O151" i="1" s="1"/>
  <c r="N152" i="1"/>
  <c r="O152" i="1" s="1"/>
  <c r="N153" i="1"/>
  <c r="O153" i="1" s="1"/>
  <c r="N154" i="1"/>
  <c r="O154" i="1" s="1"/>
  <c r="N155" i="1"/>
  <c r="O155" i="1" s="1"/>
  <c r="N156" i="1"/>
  <c r="O156" i="1" s="1"/>
  <c r="N157" i="1"/>
  <c r="O157" i="1" s="1"/>
  <c r="N158" i="1"/>
  <c r="O158" i="1" s="1"/>
  <c r="N159" i="1"/>
  <c r="O159" i="1" s="1"/>
  <c r="N160" i="1"/>
  <c r="O160" i="1" s="1"/>
  <c r="N161" i="1"/>
  <c r="N162" i="1"/>
  <c r="N163" i="1"/>
  <c r="N164" i="1"/>
  <c r="O164" i="1" s="1"/>
  <c r="N165" i="1"/>
  <c r="N166" i="1"/>
  <c r="O166" i="1" s="1"/>
  <c r="N167" i="1"/>
  <c r="O167" i="1" s="1"/>
  <c r="N168" i="1"/>
  <c r="O168" i="1" s="1"/>
  <c r="N169" i="1"/>
  <c r="O169" i="1" s="1"/>
  <c r="N170" i="1"/>
  <c r="O170" i="1" s="1"/>
  <c r="N171" i="1"/>
  <c r="O171" i="1" s="1"/>
  <c r="N172" i="1"/>
  <c r="O172" i="1" s="1"/>
  <c r="N173" i="1"/>
  <c r="O173" i="1" s="1"/>
  <c r="N174" i="1"/>
  <c r="O174" i="1" s="1"/>
  <c r="N175" i="1"/>
  <c r="O175" i="1" s="1"/>
  <c r="N176" i="1"/>
  <c r="O176" i="1" s="1"/>
  <c r="N177" i="1"/>
  <c r="N178" i="1"/>
  <c r="N179" i="1"/>
  <c r="O179" i="1" s="1"/>
  <c r="N180" i="1"/>
  <c r="O180" i="1" s="1"/>
  <c r="N181" i="1"/>
  <c r="O181" i="1" s="1"/>
  <c r="N182" i="1"/>
  <c r="O182" i="1" s="1"/>
  <c r="N183" i="1"/>
  <c r="O183" i="1" s="1"/>
  <c r="N184" i="1"/>
  <c r="O184" i="1" s="1"/>
  <c r="N185" i="1"/>
  <c r="O185" i="1" s="1"/>
  <c r="N186" i="1"/>
  <c r="O186" i="1" s="1"/>
  <c r="N187" i="1"/>
  <c r="O187" i="1" s="1"/>
  <c r="N188" i="1"/>
  <c r="O188" i="1" s="1"/>
  <c r="N189" i="1"/>
  <c r="O189" i="1" s="1"/>
  <c r="N190" i="1"/>
  <c r="O190" i="1" s="1"/>
  <c r="N191" i="1"/>
  <c r="O191" i="1" s="1"/>
  <c r="N192" i="1"/>
  <c r="O192" i="1" s="1"/>
  <c r="N193" i="1"/>
  <c r="O193" i="1" s="1"/>
  <c r="N194" i="1"/>
  <c r="O194" i="1" s="1"/>
  <c r="N195" i="1"/>
  <c r="O195" i="1" s="1"/>
  <c r="N196" i="1"/>
  <c r="O196" i="1" s="1"/>
  <c r="N197" i="1"/>
  <c r="O197" i="1" s="1"/>
  <c r="N198" i="1"/>
  <c r="N199" i="1"/>
  <c r="O199" i="1" s="1"/>
  <c r="N200" i="1"/>
  <c r="O200" i="1" s="1"/>
  <c r="N201" i="1"/>
  <c r="O201" i="1" s="1"/>
  <c r="N202" i="1"/>
  <c r="O202" i="1" s="1"/>
  <c r="N203" i="1"/>
  <c r="O203" i="1" s="1"/>
  <c r="N204" i="1"/>
  <c r="O204" i="1" s="1"/>
  <c r="N205" i="1"/>
  <c r="O205" i="1" s="1"/>
  <c r="N206" i="1"/>
  <c r="O206" i="1" s="1"/>
  <c r="N207" i="1"/>
  <c r="O207" i="1" s="1"/>
  <c r="N208" i="1"/>
  <c r="O208" i="1" s="1"/>
  <c r="N209" i="1"/>
  <c r="O209" i="1" s="1"/>
  <c r="N210" i="1"/>
  <c r="N211" i="1"/>
  <c r="O211" i="1" s="1"/>
  <c r="N212" i="1"/>
  <c r="O212" i="1" s="1"/>
  <c r="N213" i="1"/>
  <c r="O213" i="1" s="1"/>
  <c r="N214" i="1"/>
  <c r="O214" i="1" s="1"/>
  <c r="N215" i="1"/>
  <c r="O215" i="1" s="1"/>
  <c r="N216" i="1"/>
  <c r="O216" i="1" s="1"/>
  <c r="N217" i="1"/>
  <c r="O217" i="1" s="1"/>
  <c r="N218" i="1"/>
  <c r="O218" i="1" s="1"/>
  <c r="N219" i="1"/>
  <c r="O219" i="1" s="1"/>
  <c r="N220" i="1"/>
  <c r="O220" i="1" s="1"/>
  <c r="N221" i="1"/>
  <c r="O221" i="1" s="1"/>
  <c r="N222" i="1"/>
  <c r="O222" i="1" s="1"/>
  <c r="N223" i="1"/>
  <c r="O223" i="1" s="1"/>
  <c r="N224" i="1"/>
  <c r="O224" i="1" s="1"/>
  <c r="N225" i="1"/>
  <c r="O225" i="1" s="1"/>
  <c r="N226" i="1"/>
  <c r="N227" i="1"/>
  <c r="N2" i="1"/>
  <c r="O2" i="1" s="1"/>
  <c r="N3" i="1"/>
  <c r="O3" i="1" s="1"/>
  <c r="N4" i="1"/>
  <c r="O4" i="1" s="1"/>
  <c r="N5" i="1"/>
  <c r="O5" i="1" s="1"/>
  <c r="N6" i="1"/>
  <c r="N7" i="1"/>
  <c r="O7" i="1" s="1"/>
  <c r="N8" i="1"/>
  <c r="O8" i="1" s="1"/>
  <c r="N9" i="1"/>
  <c r="O9" i="1" s="1"/>
  <c r="N10" i="1"/>
  <c r="O10" i="1" s="1"/>
  <c r="N11" i="1"/>
  <c r="O11" i="1" s="1"/>
  <c r="N12" i="1"/>
  <c r="O12" i="1" s="1"/>
  <c r="N13" i="1"/>
  <c r="O13" i="1" s="1"/>
  <c r="N14" i="1"/>
  <c r="O14" i="1" s="1"/>
  <c r="N15" i="1"/>
  <c r="O15" i="1" s="1"/>
  <c r="N16" i="1"/>
  <c r="O16" i="1" s="1"/>
  <c r="N17" i="1"/>
  <c r="O17" i="1" s="1"/>
  <c r="N18" i="1"/>
  <c r="O18" i="1" s="1"/>
  <c r="N19" i="1"/>
  <c r="O19" i="1" s="1"/>
  <c r="N20" i="1"/>
  <c r="N21" i="1"/>
  <c r="O21" i="1" s="1"/>
  <c r="N22" i="1"/>
  <c r="O22" i="1" s="1"/>
  <c r="N23" i="1"/>
  <c r="O23" i="1" s="1"/>
  <c r="N24" i="1"/>
  <c r="O24" i="1" s="1"/>
  <c r="N25" i="1"/>
  <c r="O25" i="1" s="1"/>
  <c r="N26" i="1"/>
  <c r="O26" i="1" s="1"/>
  <c r="N27" i="1"/>
  <c r="O27" i="1" s="1"/>
  <c r="N28" i="1"/>
  <c r="O28" i="1" s="1"/>
  <c r="N29" i="1"/>
  <c r="O29" i="1" s="1"/>
  <c r="N30" i="1"/>
  <c r="O30" i="1" s="1"/>
  <c r="N31" i="1"/>
  <c r="O31" i="1" s="1"/>
  <c r="N32" i="1"/>
  <c r="O32" i="1" s="1"/>
  <c r="N33" i="1"/>
  <c r="O33" i="1" s="1"/>
  <c r="N34" i="1"/>
  <c r="O34" i="1" s="1"/>
  <c r="N35" i="1"/>
  <c r="O35" i="1" s="1"/>
  <c r="N36" i="1"/>
  <c r="O36" i="1" s="1"/>
  <c r="N37" i="1"/>
  <c r="O37" i="1" s="1"/>
  <c r="N38" i="1"/>
  <c r="O38" i="1" s="1"/>
  <c r="N39" i="1"/>
  <c r="O39" i="1" s="1"/>
  <c r="N40" i="1"/>
  <c r="O40" i="1" s="1"/>
  <c r="N41" i="1"/>
  <c r="O41" i="1" s="1"/>
  <c r="N42" i="1"/>
  <c r="O42" i="1" s="1"/>
  <c r="N43" i="1"/>
  <c r="O43" i="1" s="1"/>
  <c r="N44" i="1"/>
  <c r="O44" i="1" s="1"/>
  <c r="N45" i="1"/>
  <c r="O45" i="1" s="1"/>
  <c r="N46" i="1"/>
  <c r="O46" i="1" s="1"/>
  <c r="N47" i="1"/>
  <c r="O47" i="1" s="1"/>
  <c r="N48" i="1"/>
  <c r="O48" i="1" s="1"/>
  <c r="N49" i="1"/>
  <c r="O49" i="1" s="1"/>
  <c r="N50" i="1"/>
  <c r="O50" i="1" s="1"/>
  <c r="N51" i="1"/>
  <c r="O51" i="1" s="1"/>
  <c r="N52" i="1"/>
  <c r="O52" i="1" s="1"/>
  <c r="N53" i="1"/>
  <c r="O53" i="1" s="1"/>
  <c r="N54" i="1"/>
  <c r="O54" i="1" s="1"/>
  <c r="N55" i="1"/>
  <c r="O55" i="1" s="1"/>
  <c r="N56" i="1"/>
  <c r="O56" i="1" s="1"/>
  <c r="N57" i="1"/>
  <c r="O57" i="1" s="1"/>
  <c r="N58" i="1"/>
  <c r="O58" i="1" s="1"/>
  <c r="N59" i="1"/>
  <c r="O59" i="1" s="1"/>
  <c r="N60" i="1"/>
  <c r="O60" i="1" s="1"/>
  <c r="N61" i="1"/>
  <c r="O61" i="1" s="1"/>
  <c r="N62" i="1"/>
  <c r="O62" i="1" s="1"/>
  <c r="N63" i="1"/>
  <c r="O63" i="1" s="1"/>
  <c r="N64" i="1"/>
  <c r="O64" i="1" s="1"/>
  <c r="N65" i="1"/>
  <c r="O65" i="1" s="1"/>
  <c r="N66" i="1"/>
  <c r="O66" i="1" s="1"/>
  <c r="N67" i="1"/>
  <c r="O67" i="1" s="1"/>
  <c r="N68" i="1"/>
  <c r="O68" i="1" s="1"/>
  <c r="N69" i="1"/>
  <c r="O69" i="1" s="1"/>
  <c r="N70" i="1"/>
  <c r="O70" i="1" s="1"/>
  <c r="N71" i="1"/>
  <c r="O71" i="1" s="1"/>
  <c r="N72" i="1"/>
  <c r="O72" i="1" s="1"/>
  <c r="N73" i="1"/>
  <c r="O73" i="1" s="1"/>
  <c r="N74" i="1"/>
  <c r="O74" i="1" s="1"/>
  <c r="N75" i="1"/>
  <c r="O75" i="1" s="1"/>
  <c r="N76" i="1"/>
  <c r="O76" i="1" s="1"/>
  <c r="N77" i="1"/>
  <c r="O77" i="1" s="1"/>
  <c r="N78" i="1"/>
  <c r="O78" i="1" s="1"/>
  <c r="N79" i="1"/>
  <c r="O79" i="1" s="1"/>
  <c r="N80" i="1"/>
  <c r="O80" i="1" s="1"/>
  <c r="N81" i="1"/>
  <c r="O81" i="1" s="1"/>
  <c r="N82" i="1"/>
  <c r="O82" i="1" s="1"/>
  <c r="N83" i="1"/>
  <c r="O83" i="1" s="1"/>
  <c r="N84" i="1"/>
  <c r="O84" i="1" s="1"/>
  <c r="N85" i="1"/>
  <c r="O85" i="1" s="1"/>
  <c r="N86" i="1"/>
  <c r="O86" i="1" s="1"/>
  <c r="N87" i="1"/>
  <c r="O87" i="1" s="1"/>
  <c r="N88" i="1"/>
  <c r="O88" i="1" s="1"/>
  <c r="N89" i="1"/>
  <c r="O89" i="1" s="1"/>
  <c r="N90" i="1"/>
  <c r="O90" i="1" s="1"/>
  <c r="N91" i="1"/>
  <c r="O91" i="1" s="1"/>
  <c r="N92" i="1"/>
  <c r="O92" i="1" s="1"/>
  <c r="N93" i="1"/>
  <c r="O93" i="1" s="1"/>
  <c r="N94" i="1"/>
  <c r="O94" i="1" s="1"/>
  <c r="N95" i="1"/>
  <c r="O95" i="1" s="1"/>
  <c r="N96" i="1"/>
  <c r="O96" i="1" s="1"/>
  <c r="N97" i="1"/>
  <c r="O97" i="1" s="1"/>
  <c r="N98" i="1"/>
  <c r="O98" i="1" s="1"/>
  <c r="M2" i="1"/>
  <c r="M3" i="1"/>
  <c r="L3" i="1" s="1"/>
  <c r="M4" i="1"/>
  <c r="L4" i="1" s="1"/>
  <c r="M5" i="1"/>
  <c r="L5" i="1" s="1"/>
  <c r="M6" i="1"/>
  <c r="L6" i="1" s="1"/>
  <c r="M7" i="1"/>
  <c r="L7" i="1" s="1"/>
  <c r="M8" i="1"/>
  <c r="L8" i="1" s="1"/>
  <c r="M9" i="1"/>
  <c r="L9" i="1" s="1"/>
  <c r="M10" i="1"/>
  <c r="L10" i="1" s="1"/>
  <c r="M11" i="1"/>
  <c r="L11" i="1" s="1"/>
  <c r="M12" i="1"/>
  <c r="L12" i="1" s="1"/>
  <c r="M13" i="1"/>
  <c r="L13" i="1" s="1"/>
  <c r="M14" i="1"/>
  <c r="L14" i="1" s="1"/>
  <c r="M15" i="1"/>
  <c r="L15" i="1" s="1"/>
  <c r="M16" i="1"/>
  <c r="L16" i="1" s="1"/>
  <c r="M17" i="1"/>
  <c r="L17" i="1" s="1"/>
  <c r="M18" i="1"/>
  <c r="L18" i="1" s="1"/>
  <c r="M19" i="1"/>
  <c r="L19" i="1" s="1"/>
  <c r="M20" i="1"/>
  <c r="L20" i="1" s="1"/>
  <c r="M21" i="1"/>
  <c r="L21" i="1" s="1"/>
  <c r="M22" i="1"/>
  <c r="L22" i="1" s="1"/>
  <c r="M23" i="1"/>
  <c r="L23" i="1" s="1"/>
  <c r="M24" i="1"/>
  <c r="L24" i="1" s="1"/>
  <c r="M25" i="1"/>
  <c r="L25" i="1" s="1"/>
  <c r="M26" i="1"/>
  <c r="L26" i="1" s="1"/>
  <c r="M27" i="1"/>
  <c r="L27" i="1" s="1"/>
  <c r="M28" i="1"/>
  <c r="L28" i="1" s="1"/>
  <c r="M29" i="1"/>
  <c r="L29" i="1" s="1"/>
  <c r="M30" i="1"/>
  <c r="L30" i="1" s="1"/>
  <c r="M31" i="1"/>
  <c r="L31" i="1" s="1"/>
  <c r="M32" i="1"/>
  <c r="L32" i="1" s="1"/>
  <c r="M33" i="1"/>
  <c r="L33" i="1" s="1"/>
  <c r="M34" i="1"/>
  <c r="L34" i="1" s="1"/>
  <c r="M35" i="1"/>
  <c r="L35" i="1" s="1"/>
  <c r="M36" i="1"/>
  <c r="L36" i="1" s="1"/>
  <c r="M37" i="1"/>
  <c r="L37" i="1" s="1"/>
  <c r="M38" i="1"/>
  <c r="L38" i="1" s="1"/>
  <c r="M39" i="1"/>
  <c r="L39" i="1" s="1"/>
  <c r="M40" i="1"/>
  <c r="L40" i="1" s="1"/>
  <c r="M41" i="1"/>
  <c r="L41" i="1" s="1"/>
  <c r="M42" i="1"/>
  <c r="L42" i="1" s="1"/>
  <c r="M43" i="1"/>
  <c r="L43" i="1" s="1"/>
  <c r="M44" i="1"/>
  <c r="L44" i="1" s="1"/>
  <c r="M45" i="1"/>
  <c r="L45" i="1" s="1"/>
  <c r="M46" i="1"/>
  <c r="L46" i="1" s="1"/>
  <c r="M47" i="1"/>
  <c r="L47" i="1" s="1"/>
  <c r="M48" i="1"/>
  <c r="L48" i="1" s="1"/>
  <c r="M49" i="1"/>
  <c r="L49" i="1" s="1"/>
  <c r="M50" i="1"/>
  <c r="M51" i="1"/>
  <c r="L51" i="1" s="1"/>
  <c r="M52" i="1"/>
  <c r="L52" i="1" s="1"/>
  <c r="M53" i="1"/>
  <c r="L53" i="1" s="1"/>
  <c r="M54" i="1"/>
  <c r="L54" i="1" s="1"/>
  <c r="M55" i="1"/>
  <c r="L55" i="1" s="1"/>
  <c r="M56" i="1"/>
  <c r="L56" i="1" s="1"/>
  <c r="M57" i="1"/>
  <c r="L57" i="1" s="1"/>
  <c r="M58" i="1"/>
  <c r="L58" i="1" s="1"/>
  <c r="M59" i="1"/>
  <c r="L59" i="1" s="1"/>
  <c r="M60" i="1"/>
  <c r="L60" i="1" s="1"/>
  <c r="M61" i="1"/>
  <c r="L61" i="1" s="1"/>
  <c r="M62" i="1"/>
  <c r="L62" i="1" s="1"/>
  <c r="M63" i="1"/>
  <c r="M64" i="1"/>
  <c r="M65" i="1"/>
  <c r="M66" i="1"/>
  <c r="M67" i="1"/>
  <c r="L67" i="1" s="1"/>
  <c r="M68" i="1"/>
  <c r="L68" i="1" s="1"/>
  <c r="M69" i="1"/>
  <c r="L69" i="1" s="1"/>
  <c r="M70" i="1"/>
  <c r="L70" i="1" s="1"/>
  <c r="M71" i="1"/>
  <c r="L71" i="1" s="1"/>
  <c r="M72" i="1"/>
  <c r="L72" i="1" s="1"/>
  <c r="M73" i="1"/>
  <c r="L73" i="1" s="1"/>
  <c r="M74" i="1"/>
  <c r="L74" i="1" s="1"/>
  <c r="M75" i="1"/>
  <c r="L75" i="1" s="1"/>
  <c r="M76" i="1"/>
  <c r="L76" i="1" s="1"/>
  <c r="M77" i="1"/>
  <c r="L77" i="1" s="1"/>
  <c r="M78" i="1"/>
  <c r="L78" i="1" s="1"/>
  <c r="M79" i="1"/>
  <c r="L79" i="1" s="1"/>
  <c r="M80" i="1"/>
  <c r="L80" i="1" s="1"/>
  <c r="M81" i="1"/>
  <c r="L81" i="1" s="1"/>
  <c r="M82" i="1"/>
  <c r="L82" i="1" s="1"/>
  <c r="M83" i="1"/>
  <c r="L83" i="1" s="1"/>
  <c r="M84" i="1"/>
  <c r="L84" i="1" s="1"/>
  <c r="M85" i="1"/>
  <c r="L85" i="1" s="1"/>
  <c r="M86" i="1"/>
  <c r="L86" i="1" s="1"/>
  <c r="M87" i="1"/>
  <c r="L87" i="1" s="1"/>
  <c r="M88" i="1"/>
  <c r="L88" i="1" s="1"/>
  <c r="M89" i="1"/>
  <c r="L89" i="1" s="1"/>
  <c r="M90" i="1"/>
  <c r="L90" i="1" s="1"/>
  <c r="M91" i="1"/>
  <c r="L91" i="1" s="1"/>
  <c r="M92" i="1"/>
  <c r="L92" i="1" s="1"/>
  <c r="M93" i="1"/>
  <c r="L93" i="1" s="1"/>
  <c r="M94" i="1"/>
  <c r="L94" i="1" s="1"/>
  <c r="M95" i="1"/>
  <c r="L95" i="1" s="1"/>
  <c r="M96" i="1"/>
  <c r="L96" i="1" s="1"/>
  <c r="M97" i="1"/>
  <c r="L97" i="1" s="1"/>
  <c r="M98" i="1"/>
  <c r="L98" i="1" s="1"/>
  <c r="M99" i="1"/>
  <c r="L99" i="1" s="1"/>
  <c r="M100" i="1"/>
  <c r="L100" i="1" s="1"/>
  <c r="M101" i="1"/>
  <c r="L101" i="1" s="1"/>
  <c r="M102" i="1"/>
  <c r="L102" i="1" s="1"/>
  <c r="M103" i="1"/>
  <c r="L103" i="1" s="1"/>
  <c r="M104" i="1"/>
  <c r="L104" i="1" s="1"/>
  <c r="M105" i="1"/>
  <c r="L105" i="1" s="1"/>
  <c r="M106" i="1"/>
  <c r="L106" i="1" s="1"/>
  <c r="M107" i="1"/>
  <c r="L107" i="1" s="1"/>
  <c r="M108" i="1"/>
  <c r="L108" i="1" s="1"/>
  <c r="M109" i="1"/>
  <c r="L109" i="1" s="1"/>
  <c r="M110" i="1"/>
  <c r="L110" i="1" s="1"/>
  <c r="M111" i="1"/>
  <c r="L111" i="1" s="1"/>
  <c r="M112" i="1"/>
  <c r="L112" i="1" s="1"/>
  <c r="M113" i="1"/>
  <c r="L113" i="1" s="1"/>
  <c r="M114" i="1"/>
  <c r="M115" i="1"/>
  <c r="L115" i="1" s="1"/>
  <c r="M116" i="1"/>
  <c r="L116" i="1" s="1"/>
  <c r="M117" i="1"/>
  <c r="L117" i="1" s="1"/>
  <c r="M118" i="1"/>
  <c r="L118" i="1" s="1"/>
  <c r="M119" i="1"/>
  <c r="L119" i="1" s="1"/>
  <c r="M120" i="1"/>
  <c r="L120" i="1" s="1"/>
  <c r="M121" i="1"/>
  <c r="L121" i="1" s="1"/>
  <c r="M122" i="1"/>
  <c r="L122" i="1" s="1"/>
  <c r="M123" i="1"/>
  <c r="L123" i="1" s="1"/>
  <c r="M124" i="1"/>
  <c r="L124" i="1" s="1"/>
  <c r="M125" i="1"/>
  <c r="L125" i="1" s="1"/>
  <c r="M126" i="1"/>
  <c r="L126" i="1" s="1"/>
  <c r="M127" i="1"/>
  <c r="M128" i="1"/>
  <c r="M129" i="1"/>
  <c r="M130" i="1"/>
  <c r="M131" i="1"/>
  <c r="L131" i="1" s="1"/>
  <c r="M132" i="1"/>
  <c r="L132" i="1" s="1"/>
  <c r="M133" i="1"/>
  <c r="L133" i="1" s="1"/>
  <c r="M134" i="1"/>
  <c r="L134" i="1" s="1"/>
  <c r="M135" i="1"/>
  <c r="L135" i="1" s="1"/>
  <c r="M136" i="1"/>
  <c r="L136" i="1" s="1"/>
  <c r="M137" i="1"/>
  <c r="L137" i="1" s="1"/>
  <c r="M138" i="1"/>
  <c r="L138" i="1" s="1"/>
  <c r="M139" i="1"/>
  <c r="L139" i="1" s="1"/>
  <c r="M140" i="1"/>
  <c r="L140" i="1" s="1"/>
  <c r="M141" i="1"/>
  <c r="L141" i="1" s="1"/>
  <c r="M142" i="1"/>
  <c r="L142" i="1" s="1"/>
  <c r="M143" i="1"/>
  <c r="L143" i="1" s="1"/>
  <c r="M144" i="1"/>
  <c r="L144" i="1" s="1"/>
  <c r="M145" i="1"/>
  <c r="L145" i="1" s="1"/>
  <c r="M146" i="1"/>
  <c r="L146" i="1" s="1"/>
  <c r="M147" i="1"/>
  <c r="L147" i="1" s="1"/>
  <c r="M148" i="1"/>
  <c r="L148" i="1" s="1"/>
  <c r="M149" i="1"/>
  <c r="L149" i="1" s="1"/>
  <c r="M150" i="1"/>
  <c r="L150" i="1" s="1"/>
  <c r="M151" i="1"/>
  <c r="L151" i="1" s="1"/>
  <c r="M152" i="1"/>
  <c r="L152" i="1" s="1"/>
  <c r="M153" i="1"/>
  <c r="L153" i="1" s="1"/>
  <c r="M154" i="1"/>
  <c r="L154" i="1" s="1"/>
  <c r="M155" i="1"/>
  <c r="L155" i="1" s="1"/>
  <c r="M156" i="1"/>
  <c r="L156" i="1" s="1"/>
  <c r="M157" i="1"/>
  <c r="L157" i="1" s="1"/>
  <c r="M158" i="1"/>
  <c r="L158" i="1" s="1"/>
  <c r="M159" i="1"/>
  <c r="L159" i="1" s="1"/>
  <c r="M160" i="1"/>
  <c r="L160" i="1" s="1"/>
  <c r="M161" i="1"/>
  <c r="L161" i="1" s="1"/>
  <c r="M162" i="1"/>
  <c r="L162" i="1" s="1"/>
  <c r="M163" i="1"/>
  <c r="L163" i="1" s="1"/>
  <c r="M164" i="1"/>
  <c r="L164" i="1" s="1"/>
  <c r="M165" i="1"/>
  <c r="L165" i="1" s="1"/>
  <c r="M166" i="1"/>
  <c r="L166" i="1" s="1"/>
  <c r="M167" i="1"/>
  <c r="L167" i="1" s="1"/>
  <c r="M168" i="1"/>
  <c r="L168" i="1" s="1"/>
  <c r="M169" i="1"/>
  <c r="L169" i="1" s="1"/>
  <c r="M170" i="1"/>
  <c r="L170" i="1" s="1"/>
  <c r="M171" i="1"/>
  <c r="L171" i="1" s="1"/>
  <c r="M172" i="1"/>
  <c r="L172" i="1" s="1"/>
  <c r="M173" i="1"/>
  <c r="L173" i="1" s="1"/>
  <c r="M174" i="1"/>
  <c r="L174" i="1" s="1"/>
  <c r="M175" i="1"/>
  <c r="L175" i="1" s="1"/>
  <c r="M176" i="1"/>
  <c r="L176" i="1" s="1"/>
  <c r="M177" i="1"/>
  <c r="L177" i="1" s="1"/>
  <c r="M178" i="1"/>
  <c r="M179" i="1"/>
  <c r="L179" i="1" s="1"/>
  <c r="M180" i="1"/>
  <c r="L180" i="1" s="1"/>
  <c r="M181" i="1"/>
  <c r="L181" i="1" s="1"/>
  <c r="M182" i="1"/>
  <c r="L182" i="1" s="1"/>
  <c r="M183" i="1"/>
  <c r="L183" i="1" s="1"/>
  <c r="M184" i="1"/>
  <c r="L184" i="1" s="1"/>
  <c r="M185" i="1"/>
  <c r="L185" i="1" s="1"/>
  <c r="M186" i="1"/>
  <c r="L186" i="1" s="1"/>
  <c r="M187" i="1"/>
  <c r="L187" i="1" s="1"/>
  <c r="M188" i="1"/>
  <c r="L188" i="1" s="1"/>
  <c r="M189" i="1"/>
  <c r="L189" i="1" s="1"/>
  <c r="M190" i="1"/>
  <c r="L190" i="1" s="1"/>
  <c r="M191" i="1"/>
  <c r="M192" i="1"/>
  <c r="M193" i="1"/>
  <c r="M194" i="1"/>
  <c r="M195" i="1"/>
  <c r="L195" i="1" s="1"/>
  <c r="M196" i="1"/>
  <c r="L196" i="1" s="1"/>
  <c r="M197" i="1"/>
  <c r="L197" i="1" s="1"/>
  <c r="M198" i="1"/>
  <c r="L198" i="1" s="1"/>
  <c r="M199" i="1"/>
  <c r="L199" i="1" s="1"/>
  <c r="M200" i="1"/>
  <c r="L200" i="1" s="1"/>
  <c r="M201" i="1"/>
  <c r="L201" i="1" s="1"/>
  <c r="M202" i="1"/>
  <c r="L202" i="1" s="1"/>
  <c r="M203" i="1"/>
  <c r="L203" i="1" s="1"/>
  <c r="M204" i="1"/>
  <c r="L204" i="1" s="1"/>
  <c r="M205" i="1"/>
  <c r="L205" i="1" s="1"/>
  <c r="M206" i="1"/>
  <c r="L206" i="1" s="1"/>
  <c r="M207" i="1"/>
  <c r="L207" i="1" s="1"/>
  <c r="M208" i="1"/>
  <c r="L208" i="1" s="1"/>
  <c r="M209" i="1"/>
  <c r="L209" i="1" s="1"/>
  <c r="M210" i="1"/>
  <c r="L210" i="1" s="1"/>
  <c r="M211" i="1"/>
  <c r="L211" i="1" s="1"/>
  <c r="M212" i="1"/>
  <c r="L212" i="1" s="1"/>
  <c r="M213" i="1"/>
  <c r="L213" i="1" s="1"/>
  <c r="M214" i="1"/>
  <c r="L214" i="1" s="1"/>
  <c r="M215" i="1"/>
  <c r="L215" i="1" s="1"/>
  <c r="M216" i="1"/>
  <c r="L216" i="1" s="1"/>
  <c r="M217" i="1"/>
  <c r="L217" i="1" s="1"/>
  <c r="M218" i="1"/>
  <c r="L218" i="1" s="1"/>
  <c r="M219" i="1"/>
  <c r="L219" i="1" s="1"/>
  <c r="M220" i="1"/>
  <c r="L220" i="1" s="1"/>
  <c r="M221" i="1"/>
  <c r="L221" i="1" s="1"/>
  <c r="M222" i="1"/>
  <c r="L222" i="1" s="1"/>
  <c r="M223" i="1"/>
  <c r="L223" i="1" s="1"/>
  <c r="M224" i="1"/>
  <c r="L224" i="1" s="1"/>
  <c r="M225" i="1"/>
  <c r="L225" i="1" s="1"/>
  <c r="M226" i="1"/>
  <c r="L226" i="1" s="1"/>
  <c r="M227" i="1"/>
  <c r="L227" i="1" s="1"/>
</calcChain>
</file>

<file path=xl/sharedStrings.xml><?xml version="1.0" encoding="utf-8"?>
<sst xmlns="http://schemas.openxmlformats.org/spreadsheetml/2006/main" count="2288" uniqueCount="2248">
  <si>
    <t>Last Trade Date (EDT)</t>
  </si>
  <si>
    <t>AAPL251010C00110000</t>
  </si>
  <si>
    <t>AAPL251010C00120000</t>
  </si>
  <si>
    <t>9/23/2025 12:28 PM</t>
  </si>
  <si>
    <t>AAPL251010C00135000</t>
  </si>
  <si>
    <t>9/25/2025 2:40 PM</t>
  </si>
  <si>
    <t>AAPL251010C00140000</t>
  </si>
  <si>
    <t>AAPL251010C00150000</t>
  </si>
  <si>
    <t>9/18/2025 10:23 AM</t>
  </si>
  <si>
    <t>AAPL251010C00160000</t>
  </si>
  <si>
    <t>9/30/2025 1:21 PM</t>
  </si>
  <si>
    <t>AAPL251010C00165000</t>
  </si>
  <si>
    <t>AAPL251010C00170000</t>
  </si>
  <si>
    <t>AAPL251010C00175000</t>
  </si>
  <si>
    <t>AAPL251010C00180000</t>
  </si>
  <si>
    <t>9/30/2025 12:45 PM</t>
  </si>
  <si>
    <t>AAPL251010C00185000</t>
  </si>
  <si>
    <t>AAPL251010C00190000</t>
  </si>
  <si>
    <t>AAPL251010C00195000</t>
  </si>
  <si>
    <t>AAPL251010C00200000</t>
  </si>
  <si>
    <t>AAPL251010C00205000</t>
  </si>
  <si>
    <t>AAPL251010C00210000</t>
  </si>
  <si>
    <t>AAPL251010C00215000</t>
  </si>
  <si>
    <t>AAPL251010C00217500</t>
  </si>
  <si>
    <t>AAPL251010C00220000</t>
  </si>
  <si>
    <t>AAPL251010C00222500</t>
  </si>
  <si>
    <t>AAPL251010C00225000</t>
  </si>
  <si>
    <t>AAPL251010C00227500</t>
  </si>
  <si>
    <t>AAPL251010C00230000</t>
  </si>
  <si>
    <t>AAPL251010C00232500</t>
  </si>
  <si>
    <t>AAPL251010C00235000</t>
  </si>
  <si>
    <t>AAPL251010C00237500</t>
  </si>
  <si>
    <t>AAPL251010C00240000</t>
  </si>
  <si>
    <t>AAPL251010C00242500</t>
  </si>
  <si>
    <t>AAPL251010C00245000</t>
  </si>
  <si>
    <t>AAPL251010C00247500</t>
  </si>
  <si>
    <t>AAPL251010C00250000</t>
  </si>
  <si>
    <t>AAPL251010C00252500</t>
  </si>
  <si>
    <t>AAPL251010C00255000</t>
  </si>
  <si>
    <t>AAPL251010C00257500</t>
  </si>
  <si>
    <t>AAPL251010C00260000</t>
  </si>
  <si>
    <t>AAPL251010C00262500</t>
  </si>
  <si>
    <t>AAPL251010C00265000</t>
  </si>
  <si>
    <t>AAPL251010C00267500</t>
  </si>
  <si>
    <t>AAPL251010C00270000</t>
  </si>
  <si>
    <t>AAPL251010C00272500</t>
  </si>
  <si>
    <t>AAPL251010C00275000</t>
  </si>
  <si>
    <t>AAPL251010C00280000</t>
  </si>
  <si>
    <t>AAPL251010C00285000</t>
  </si>
  <si>
    <t>AAPL251010C00290000</t>
  </si>
  <si>
    <t>AAPL251010C00295000</t>
  </si>
  <si>
    <t>AAPL251010C00300000</t>
  </si>
  <si>
    <t>AAPL251010C00305000</t>
  </si>
  <si>
    <t>AAPL251010C00310000</t>
  </si>
  <si>
    <t>AAPL251010C00315000</t>
  </si>
  <si>
    <t>9/23/2025 2:02 PM</t>
  </si>
  <si>
    <t>AAPL251010C00320000</t>
  </si>
  <si>
    <t>9/25/2025 9:47 AM</t>
  </si>
  <si>
    <t>AAPL251010C00325000</t>
  </si>
  <si>
    <t>AAPL251010P00120000</t>
  </si>
  <si>
    <t>9/15/2025 2:36 PM</t>
  </si>
  <si>
    <t>AAPL251010P00125000</t>
  </si>
  <si>
    <t>9/23/2025 9:30 AM</t>
  </si>
  <si>
    <t>AAPL251010P00135000</t>
  </si>
  <si>
    <t>9/16/2025 3:23 PM</t>
  </si>
  <si>
    <t>AAPL251010P00140000</t>
  </si>
  <si>
    <t>9/22/2025 2:48 PM</t>
  </si>
  <si>
    <t>AAPL251010P00145000</t>
  </si>
  <si>
    <t>AAPL251010P00150000</t>
  </si>
  <si>
    <t>9/22/2025 10:24 AM</t>
  </si>
  <si>
    <t>AAPL251010P00155000</t>
  </si>
  <si>
    <t>9/25/2025 11:21 AM</t>
  </si>
  <si>
    <t>AAPL251010P00160000</t>
  </si>
  <si>
    <t>9/26/2025 3:05 PM</t>
  </si>
  <si>
    <t>AAPL251010P00165000</t>
  </si>
  <si>
    <t>AAPL251010P00170000</t>
  </si>
  <si>
    <t>AAPL251010P00175000</t>
  </si>
  <si>
    <t>AAPL251010P00180000</t>
  </si>
  <si>
    <t>AAPL251010P00185000</t>
  </si>
  <si>
    <t>AAPL251010P00190000</t>
  </si>
  <si>
    <t>AAPL251010P00195000</t>
  </si>
  <si>
    <t>AAPL251010P00200000</t>
  </si>
  <si>
    <t>AAPL251010P00205000</t>
  </si>
  <si>
    <t>AAPL251010P00210000</t>
  </si>
  <si>
    <t>AAPL251010P00215000</t>
  </si>
  <si>
    <t>AAPL251010P00217500</t>
  </si>
  <si>
    <t>AAPL251010P00220000</t>
  </si>
  <si>
    <t>AAPL251010P00222500</t>
  </si>
  <si>
    <t>AAPL251010P00225000</t>
  </si>
  <si>
    <t>AAPL251010P00227500</t>
  </si>
  <si>
    <t>AAPL251010P00230000</t>
  </si>
  <si>
    <t>AAPL251010P00232500</t>
  </si>
  <si>
    <t>AAPL251010P00235000</t>
  </si>
  <si>
    <t>AAPL251010P00237500</t>
  </si>
  <si>
    <t>AAPL251010P00240000</t>
  </si>
  <si>
    <t>AAPL251010P00242500</t>
  </si>
  <si>
    <t>AAPL251010P00245000</t>
  </si>
  <si>
    <t>AAPL251010P00247500</t>
  </si>
  <si>
    <t>AAPL251010P00250000</t>
  </si>
  <si>
    <t>AAPL251010P00252500</t>
  </si>
  <si>
    <t>AAPL251010P00255000</t>
  </si>
  <si>
    <t>AAPL251010P00257500</t>
  </si>
  <si>
    <t>AAPL251010P00260000</t>
  </si>
  <si>
    <t>AAPL251010P00262500</t>
  </si>
  <si>
    <t>AAPL251010P00265000</t>
  </si>
  <si>
    <t>AAPL251010P00267500</t>
  </si>
  <si>
    <t>AAPL251010P00270000</t>
  </si>
  <si>
    <t>AAPL251010P00272500</t>
  </si>
  <si>
    <t>AAPL251010P00275000</t>
  </si>
  <si>
    <t>AAPL251010P00280000</t>
  </si>
  <si>
    <t>AAPL251010P00290000</t>
  </si>
  <si>
    <t>9/29/2025 11:48 AM</t>
  </si>
  <si>
    <t>AAPL251010P00295000</t>
  </si>
  <si>
    <t>9/24/2025 3:57 PM</t>
  </si>
  <si>
    <t>AAPL251010P00300000</t>
  </si>
  <si>
    <t>9/22/2025 10:56 AM</t>
  </si>
  <si>
    <t>AAPL251010P00310000</t>
  </si>
  <si>
    <t>9/26/2025 9:31 AM</t>
  </si>
  <si>
    <t>inTheMoney</t>
  </si>
  <si>
    <t>strike</t>
  </si>
  <si>
    <t>lastPrice</t>
  </si>
  <si>
    <t>bid</t>
  </si>
  <si>
    <t>ask</t>
  </si>
  <si>
    <t>change</t>
  </si>
  <si>
    <t>percentChange</t>
  </si>
  <si>
    <t>volume</t>
  </si>
  <si>
    <t>openInterest</t>
  </si>
  <si>
    <t>impliedVolatility</t>
  </si>
  <si>
    <t>contractSymbol</t>
  </si>
  <si>
    <t>type</t>
  </si>
  <si>
    <t>AAPL251017C00105000</t>
  </si>
  <si>
    <t>7/21/2025 10:02 AM</t>
  </si>
  <si>
    <t>AAPL251017C00110000</t>
  </si>
  <si>
    <t>AAPL251017C00115000</t>
  </si>
  <si>
    <t>8/20/2025 3:50 PM</t>
  </si>
  <si>
    <t>AAPL251017C00120000</t>
  </si>
  <si>
    <t>7/16/2025 9:52 AM</t>
  </si>
  <si>
    <t>AAPL251017C00125000</t>
  </si>
  <si>
    <t>9/16/2025 9:52 AM</t>
  </si>
  <si>
    <t>AAPL251017C00130000</t>
  </si>
  <si>
    <t>9/23/2025 3:53 PM</t>
  </si>
  <si>
    <t>AAPL251017C00135000</t>
  </si>
  <si>
    <t>9/30/2025 3:21 PM</t>
  </si>
  <si>
    <t>AAPL251017C00140000</t>
  </si>
  <si>
    <t>9/29/2025 12:31 PM</t>
  </si>
  <si>
    <t>AAPL251017C00145000</t>
  </si>
  <si>
    <t>9/29/2025 9:32 AM</t>
  </si>
  <si>
    <t>AAPL251017C00150000</t>
  </si>
  <si>
    <t>AAPL251017C00155000</t>
  </si>
  <si>
    <t>AAPL251017C00160000</t>
  </si>
  <si>
    <t>AAPL251017C00165000</t>
  </si>
  <si>
    <t>AAPL251017C00170000</t>
  </si>
  <si>
    <t>AAPL251017C00175000</t>
  </si>
  <si>
    <t>AAPL251017C00180000</t>
  </si>
  <si>
    <t>AAPL251017C00185000</t>
  </si>
  <si>
    <t>AAPL251017C00190000</t>
  </si>
  <si>
    <t>AAPL251017C00195000</t>
  </si>
  <si>
    <t>AAPL251017C00200000</t>
  </si>
  <si>
    <t>AAPL251017C00205000</t>
  </si>
  <si>
    <t>AAPL251017C00210000</t>
  </si>
  <si>
    <t>AAPL251017C00215000</t>
  </si>
  <si>
    <t>AAPL251017C00217500</t>
  </si>
  <si>
    <t>AAPL251017C00220000</t>
  </si>
  <si>
    <t>AAPL251017C00222500</t>
  </si>
  <si>
    <t>AAPL251017C00225000</t>
  </si>
  <si>
    <t>AAPL251017C00227500</t>
  </si>
  <si>
    <t>AAPL251017C00230000</t>
  </si>
  <si>
    <t>AAPL251017C00232500</t>
  </si>
  <si>
    <t>AAPL251017C00235000</t>
  </si>
  <si>
    <t>AAPL251017C00237500</t>
  </si>
  <si>
    <t>AAPL251017C00240000</t>
  </si>
  <si>
    <t>AAPL251017C00242500</t>
  </si>
  <si>
    <t>AAPL251017C00245000</t>
  </si>
  <si>
    <t>AAPL251017C00247500</t>
  </si>
  <si>
    <t>AAPL251017C00250000</t>
  </si>
  <si>
    <t>AAPL251017C00252500</t>
  </si>
  <si>
    <t>AAPL251017C00255000</t>
  </si>
  <si>
    <t>AAPL251017C00257500</t>
  </si>
  <si>
    <t>AAPL251017C00260000</t>
  </si>
  <si>
    <t>AAPL251017C00262500</t>
  </si>
  <si>
    <t>AAPL251017C00265000</t>
  </si>
  <si>
    <t>AAPL251017C00267500</t>
  </si>
  <si>
    <t>AAPL251017C00270000</t>
  </si>
  <si>
    <t>AAPL251017C00272500</t>
  </si>
  <si>
    <t>AAPL251017C00275000</t>
  </si>
  <si>
    <t>AAPL251017C00280000</t>
  </si>
  <si>
    <t>AAPL251017C00285000</t>
  </si>
  <si>
    <t>AAPL251017C00290000</t>
  </si>
  <si>
    <t>AAPL251017C00295000</t>
  </si>
  <si>
    <t>AAPL251017C00300000</t>
  </si>
  <si>
    <t>AAPL251017C00305000</t>
  </si>
  <si>
    <t>AAPL251017C00310000</t>
  </si>
  <si>
    <t>AAPL251017C00315000</t>
  </si>
  <si>
    <t>AAPL251017C00320000</t>
  </si>
  <si>
    <t>AAPL251017C00325000</t>
  </si>
  <si>
    <t>AAPL251017C00330000</t>
  </si>
  <si>
    <t>AAPL251017C00335000</t>
  </si>
  <si>
    <t>9/26/2025 10:02 AM</t>
  </si>
  <si>
    <t>AAPL251017C00340000</t>
  </si>
  <si>
    <t>9/24/2025 9:52 AM</t>
  </si>
  <si>
    <t>AAPL251017C00345000</t>
  </si>
  <si>
    <t>9/26/2025 9:30 AM</t>
  </si>
  <si>
    <t>AAPL251017C00350000</t>
  </si>
  <si>
    <t>8/19/2025 2:49 PM</t>
  </si>
  <si>
    <t>AAPL251017C00355000</t>
  </si>
  <si>
    <t>9/22/2025 10:45 AM</t>
  </si>
  <si>
    <t>AAPL251017C00360000</t>
  </si>
  <si>
    <t>AAPL251017C00370000</t>
  </si>
  <si>
    <t>9/29/2025 9:30 AM</t>
  </si>
  <si>
    <t>AAPL251017P00090000</t>
  </si>
  <si>
    <t>AAPL251017P00095000</t>
  </si>
  <si>
    <t>AAPL251017P00100000</t>
  </si>
  <si>
    <t>9/22/2025 9:46 AM</t>
  </si>
  <si>
    <t>AAPL251017P00105000</t>
  </si>
  <si>
    <t>AAPL251017P00110000</t>
  </si>
  <si>
    <t>9/22/2025 9:55 AM</t>
  </si>
  <si>
    <t>AAPL251017P00115000</t>
  </si>
  <si>
    <t>9/19/2025 12:15 PM</t>
  </si>
  <si>
    <t>AAPL251017P00120000</t>
  </si>
  <si>
    <t>9/30/2025 11:44 AM</t>
  </si>
  <si>
    <t>AAPL251017P00125000</t>
  </si>
  <si>
    <t>AAPL251017P00130000</t>
  </si>
  <si>
    <t>AAPL251017P00135000</t>
  </si>
  <si>
    <t>AAPL251017P00140000</t>
  </si>
  <si>
    <t>AAPL251017P00145000</t>
  </si>
  <si>
    <t>AAPL251017P00150000</t>
  </si>
  <si>
    <t>AAPL251017P00155000</t>
  </si>
  <si>
    <t>AAPL251017P00160000</t>
  </si>
  <si>
    <t>AAPL251017P00165000</t>
  </si>
  <si>
    <t>AAPL251017P00170000</t>
  </si>
  <si>
    <t>AAPL251017P00175000</t>
  </si>
  <si>
    <t>AAPL251017P00180000</t>
  </si>
  <si>
    <t>AAPL251017P00185000</t>
  </si>
  <si>
    <t>AAPL251017P00190000</t>
  </si>
  <si>
    <t>AAPL251017P00195000</t>
  </si>
  <si>
    <t>AAPL251017P00200000</t>
  </si>
  <si>
    <t>AAPL251017P00205000</t>
  </si>
  <si>
    <t>AAPL251017P00210000</t>
  </si>
  <si>
    <t>AAPL251017P00215000</t>
  </si>
  <si>
    <t>AAPL251017P00217500</t>
  </si>
  <si>
    <t>AAPL251017P00220000</t>
  </si>
  <si>
    <t>AAPL251017P00222500</t>
  </si>
  <si>
    <t>AAPL251017P00225000</t>
  </si>
  <si>
    <t>AAPL251017P00227500</t>
  </si>
  <si>
    <t>AAPL251017P00230000</t>
  </si>
  <si>
    <t>AAPL251017P00232500</t>
  </si>
  <si>
    <t>AAPL251017P00235000</t>
  </si>
  <si>
    <t>AAPL251017P00237500</t>
  </si>
  <si>
    <t>AAPL251017P00240000</t>
  </si>
  <si>
    <t>AAPL251017P00242500</t>
  </si>
  <si>
    <t>AAPL251017P00245000</t>
  </si>
  <si>
    <t>AAPL251017P00247500</t>
  </si>
  <si>
    <t>AAPL251017P00250000</t>
  </si>
  <si>
    <t>AAPL251017P00252500</t>
  </si>
  <si>
    <t>AAPL251017P00255000</t>
  </si>
  <si>
    <t>AAPL251017P00257500</t>
  </si>
  <si>
    <t>AAPL251017P00260000</t>
  </si>
  <si>
    <t>AAPL251017P00262500</t>
  </si>
  <si>
    <t>AAPL251017P00265000</t>
  </si>
  <si>
    <t>AAPL251017P00267500</t>
  </si>
  <si>
    <t>AAPL251017P00270000</t>
  </si>
  <si>
    <t>AAPL251017P00275000</t>
  </si>
  <si>
    <t>AAPL251017P00280000</t>
  </si>
  <si>
    <t>AAPL251017P00285000</t>
  </si>
  <si>
    <t>AAPL251017P00290000</t>
  </si>
  <si>
    <t>9/18/2025 10:11 AM</t>
  </si>
  <si>
    <t>AAPL251017P00295000</t>
  </si>
  <si>
    <t>AAPL251017P00300000</t>
  </si>
  <si>
    <t>AAPL251017P00305000</t>
  </si>
  <si>
    <t>AAPL251017P00315000</t>
  </si>
  <si>
    <t>9/19/2025 3:50 PM</t>
  </si>
  <si>
    <t>AAPL251017P00320000</t>
  </si>
  <si>
    <t>9/29/2025 3:50 PM</t>
  </si>
  <si>
    <t>AAPL251017P00330000</t>
  </si>
  <si>
    <t>8/15/2025 3:50 PM</t>
  </si>
  <si>
    <t>AAPL251017P00335000</t>
  </si>
  <si>
    <t>9/19/2025 2:25 PM</t>
  </si>
  <si>
    <t>AAPL251017P00355000</t>
  </si>
  <si>
    <t>AAPL251017P00360000</t>
  </si>
  <si>
    <t>AAPL251017P00370000</t>
  </si>
  <si>
    <t>7/18/2025 9:52 AM</t>
  </si>
  <si>
    <t>expiration</t>
  </si>
  <si>
    <t>days_to_exp</t>
  </si>
  <si>
    <t>AAPL251024C00110000</t>
  </si>
  <si>
    <t>9/24/2025 10:15 AM</t>
  </si>
  <si>
    <t>AAPL251024C00120000</t>
  </si>
  <si>
    <t>AAPL251024C00140000</t>
  </si>
  <si>
    <t>AAPL251024C00165000</t>
  </si>
  <si>
    <t>9/30/2025 10:50 AM</t>
  </si>
  <si>
    <t>AAPL251024C00170000</t>
  </si>
  <si>
    <t>9/19/2025 1:31 PM</t>
  </si>
  <si>
    <t>AAPL251024C00175000</t>
  </si>
  <si>
    <t>9/23/2025 1:46 PM</t>
  </si>
  <si>
    <t>AAPL251024C00180000</t>
  </si>
  <si>
    <t>9/22/2025 3:46 PM</t>
  </si>
  <si>
    <t>AAPL251024C00185000</t>
  </si>
  <si>
    <t>9/29/2025 10:33 AM</t>
  </si>
  <si>
    <t>AAPL251024C00190000</t>
  </si>
  <si>
    <t>AAPL251024C00195000</t>
  </si>
  <si>
    <t>9/30/2025 3:00 PM</t>
  </si>
  <si>
    <t>AAPL251024C00200000</t>
  </si>
  <si>
    <t>AAPL251024C00205000</t>
  </si>
  <si>
    <t>AAPL251024C00210000</t>
  </si>
  <si>
    <t>AAPL251024C00215000</t>
  </si>
  <si>
    <t>AAPL251024C00220000</t>
  </si>
  <si>
    <t>AAPL251024C00225000</t>
  </si>
  <si>
    <t>AAPL251024C00230000</t>
  </si>
  <si>
    <t>AAPL251024C00235000</t>
  </si>
  <si>
    <t>AAPL251024C00240000</t>
  </si>
  <si>
    <t>AAPL251024C00245000</t>
  </si>
  <si>
    <t>AAPL251024C00250000</t>
  </si>
  <si>
    <t>AAPL251024C00255000</t>
  </si>
  <si>
    <t>AAPL251024C00260000</t>
  </si>
  <si>
    <t>AAPL251024C00265000</t>
  </si>
  <si>
    <t>AAPL251024C00270000</t>
  </si>
  <si>
    <t>AAPL251024C00275000</t>
  </si>
  <si>
    <t>AAPL251024C00280000</t>
  </si>
  <si>
    <t>AAPL251024C00285000</t>
  </si>
  <si>
    <t>AAPL251024C00290000</t>
  </si>
  <si>
    <t>AAPL251024C00295000</t>
  </si>
  <si>
    <t>AAPL251024C00300000</t>
  </si>
  <si>
    <t>AAPL251024C00305000</t>
  </si>
  <si>
    <t>AAPL251024C00310000</t>
  </si>
  <si>
    <t>AAPL251024C00315000</t>
  </si>
  <si>
    <t>AAPL251024C00320000</t>
  </si>
  <si>
    <t>AAPL251024C00325000</t>
  </si>
  <si>
    <t>AAPL251024P00110000</t>
  </si>
  <si>
    <t>AAPL251024P00130000</t>
  </si>
  <si>
    <t>AAPL251024P00135000</t>
  </si>
  <si>
    <t>AAPL251024P00140000</t>
  </si>
  <si>
    <t>AAPL251024P00145000</t>
  </si>
  <si>
    <t>9/26/2025 11:53 AM</t>
  </si>
  <si>
    <t>AAPL251024P00150000</t>
  </si>
  <si>
    <t>AAPL251024P00155000</t>
  </si>
  <si>
    <t>9/23/2025 2:13 PM</t>
  </si>
  <si>
    <t>AAPL251024P00160000</t>
  </si>
  <si>
    <t>9/30/2025 1:25 PM</t>
  </si>
  <si>
    <t>AAPL251024P00165000</t>
  </si>
  <si>
    <t>9/29/2025 10:25 AM</t>
  </si>
  <si>
    <t>AAPL251024P00170000</t>
  </si>
  <si>
    <t>AAPL251024P00175000</t>
  </si>
  <si>
    <t>AAPL251024P00180000</t>
  </si>
  <si>
    <t>AAPL251024P00185000</t>
  </si>
  <si>
    <t>AAPL251024P00190000</t>
  </si>
  <si>
    <t>AAPL251024P00195000</t>
  </si>
  <si>
    <t>AAPL251024P00200000</t>
  </si>
  <si>
    <t>AAPL251024P00205000</t>
  </si>
  <si>
    <t>AAPL251024P00210000</t>
  </si>
  <si>
    <t>AAPL251024P00215000</t>
  </si>
  <si>
    <t>AAPL251024P00220000</t>
  </si>
  <si>
    <t>AAPL251024P00225000</t>
  </si>
  <si>
    <t>AAPL251024P00230000</t>
  </si>
  <si>
    <t>AAPL251024P00235000</t>
  </si>
  <si>
    <t>AAPL251024P00240000</t>
  </si>
  <si>
    <t>AAPL251024P00245000</t>
  </si>
  <si>
    <t>AAPL251024P00250000</t>
  </si>
  <si>
    <t>AAPL251024P00255000</t>
  </si>
  <si>
    <t>AAPL251024P00260000</t>
  </si>
  <si>
    <t>AAPL251024P00265000</t>
  </si>
  <si>
    <t>AAPL251024P00270000</t>
  </si>
  <si>
    <t>AAPL251024P00275000</t>
  </si>
  <si>
    <t>AAPL251024P00280000</t>
  </si>
  <si>
    <t>AAPL251024P00290000</t>
  </si>
  <si>
    <t>AAPL251024P00295000</t>
  </si>
  <si>
    <t>AAPL251024P00300000</t>
  </si>
  <si>
    <t>9/25/2025 3:49 PM</t>
  </si>
  <si>
    <t>AAPL251024P00325000</t>
  </si>
  <si>
    <t>AAPL251031C00140000</t>
  </si>
  <si>
    <t>AAPL251031C00155000</t>
  </si>
  <si>
    <t>9/29/2025 1:39 PM</t>
  </si>
  <si>
    <t>AAPL251031C00170000</t>
  </si>
  <si>
    <t>9/29/2025 11:11 AM</t>
  </si>
  <si>
    <t>AAPL251031C00180000</t>
  </si>
  <si>
    <t>AAPL251031C00185000</t>
  </si>
  <si>
    <t>9/26/2025 10:05 AM</t>
  </si>
  <si>
    <t>AAPL251031C00190000</t>
  </si>
  <si>
    <t>AAPL251031C00195000</t>
  </si>
  <si>
    <t>AAPL251031C00200000</t>
  </si>
  <si>
    <t>AAPL251031C00205000</t>
  </si>
  <si>
    <t>9/29/2025 9:58 AM</t>
  </si>
  <si>
    <t>AAPL251031C00210000</t>
  </si>
  <si>
    <t>AAPL251031C00215000</t>
  </si>
  <si>
    <t>AAPL251031C00220000</t>
  </si>
  <si>
    <t>AAPL251031C00225000</t>
  </si>
  <si>
    <t>AAPL251031C00230000</t>
  </si>
  <si>
    <t>AAPL251031C00235000</t>
  </si>
  <si>
    <t>AAPL251031C00240000</t>
  </si>
  <si>
    <t>AAPL251031C00245000</t>
  </si>
  <si>
    <t>AAPL251031C00250000</t>
  </si>
  <si>
    <t>AAPL251031C00255000</t>
  </si>
  <si>
    <t>AAPL251031C00260000</t>
  </si>
  <si>
    <t>AAPL251031C00265000</t>
  </si>
  <si>
    <t>AAPL251031C00270000</t>
  </si>
  <si>
    <t>AAPL251031C00275000</t>
  </si>
  <si>
    <t>AAPL251031C00280000</t>
  </si>
  <si>
    <t>AAPL251031C00285000</t>
  </si>
  <si>
    <t>AAPL251031C00290000</t>
  </si>
  <si>
    <t>AAPL251031C00295000</t>
  </si>
  <si>
    <t>AAPL251031C00300000</t>
  </si>
  <si>
    <t>AAPL251031C00305000</t>
  </si>
  <si>
    <t>AAPL251031C00310000</t>
  </si>
  <si>
    <t>AAPL251031C00315000</t>
  </si>
  <si>
    <t>AAPL251031C00320000</t>
  </si>
  <si>
    <t>AAPL251031C00325000</t>
  </si>
  <si>
    <t>AAPL251031P00110000</t>
  </si>
  <si>
    <t>9/30/2025 12:21 PM</t>
  </si>
  <si>
    <t>AAPL251031P00120000</t>
  </si>
  <si>
    <t>9/15/2025 3:38 PM</t>
  </si>
  <si>
    <t>AAPL251031P00130000</t>
  </si>
  <si>
    <t>9/29/2025 12:17 PM</t>
  </si>
  <si>
    <t>AAPL251031P00135000</t>
  </si>
  <si>
    <t>9/24/2025 3:10 PM</t>
  </si>
  <si>
    <t>AAPL251031P00140000</t>
  </si>
  <si>
    <t>AAPL251031P00145000</t>
  </si>
  <si>
    <t>AAPL251031P00150000</t>
  </si>
  <si>
    <t>AAPL251031P00155000</t>
  </si>
  <si>
    <t>AAPL251031P00160000</t>
  </si>
  <si>
    <t>AAPL251031P00165000</t>
  </si>
  <si>
    <t>AAPL251031P00170000</t>
  </si>
  <si>
    <t>AAPL251031P00175000</t>
  </si>
  <si>
    <t>9/29/2025 1:41 PM</t>
  </si>
  <si>
    <t>AAPL251031P00180000</t>
  </si>
  <si>
    <t>AAPL251031P00185000</t>
  </si>
  <si>
    <t>AAPL251031P00190000</t>
  </si>
  <si>
    <t>AAPL251031P00195000</t>
  </si>
  <si>
    <t>AAPL251031P00200000</t>
  </si>
  <si>
    <t>AAPL251031P00205000</t>
  </si>
  <si>
    <t>AAPL251031P00210000</t>
  </si>
  <si>
    <t>AAPL251031P00215000</t>
  </si>
  <si>
    <t>AAPL251031P00220000</t>
  </si>
  <si>
    <t>AAPL251031P00225000</t>
  </si>
  <si>
    <t>AAPL251031P00230000</t>
  </si>
  <si>
    <t>AAPL251031P00235000</t>
  </si>
  <si>
    <t>AAPL251031P00240000</t>
  </si>
  <si>
    <t>AAPL251031P00245000</t>
  </si>
  <si>
    <t>AAPL251031P00250000</t>
  </si>
  <si>
    <t>AAPL251031P00255000</t>
  </si>
  <si>
    <t>AAPL251031P00260000</t>
  </si>
  <si>
    <t>AAPL251031P00265000</t>
  </si>
  <si>
    <t>AAPL251031P00270000</t>
  </si>
  <si>
    <t>AAPL251031P00275000</t>
  </si>
  <si>
    <t>AAPL251031P00280000</t>
  </si>
  <si>
    <t>AAPL251031P00285000</t>
  </si>
  <si>
    <t>AAPL251031P00290000</t>
  </si>
  <si>
    <t>9/30/2025 1:11 PM</t>
  </si>
  <si>
    <t>AAPL251031P00295000</t>
  </si>
  <si>
    <t>9/22/2025 10:06 AM</t>
  </si>
  <si>
    <t>AAPL251031P00300000</t>
  </si>
  <si>
    <t>AAPL251031P00310000</t>
  </si>
  <si>
    <t>9/25/2025 9:30 AM</t>
  </si>
  <si>
    <t>AAPL251031P00315000</t>
  </si>
  <si>
    <t>AAPL251107C00120000</t>
  </si>
  <si>
    <t>9/26/2025 3:26 PM</t>
  </si>
  <si>
    <t>AAPL251107C00200000</t>
  </si>
  <si>
    <t>9/26/2025 3:19 PM</t>
  </si>
  <si>
    <t>AAPL251107C00215000</t>
  </si>
  <si>
    <t>AAPL251107C00220000</t>
  </si>
  <si>
    <t>AAPL251107C00225000</t>
  </si>
  <si>
    <t>AAPL251107C00230000</t>
  </si>
  <si>
    <t>AAPL251107C00235000</t>
  </si>
  <si>
    <t>AAPL251107C00240000</t>
  </si>
  <si>
    <t>AAPL251107C00245000</t>
  </si>
  <si>
    <t>AAPL251107C00250000</t>
  </si>
  <si>
    <t>AAPL251107C00255000</t>
  </si>
  <si>
    <t>AAPL251107C00260000</t>
  </si>
  <si>
    <t>AAPL251107C00265000</t>
  </si>
  <si>
    <t>AAPL251107C00270000</t>
  </si>
  <si>
    <t>AAPL251107C00275000</t>
  </si>
  <si>
    <t>AAPL251107C00280000</t>
  </si>
  <si>
    <t>AAPL251107C00285000</t>
  </si>
  <si>
    <t>AAPL251107C00290000</t>
  </si>
  <si>
    <t>AAPL251107C00295000</t>
  </si>
  <si>
    <t>AAPL251107C00300000</t>
  </si>
  <si>
    <t>AAPL251107C00305000</t>
  </si>
  <si>
    <t>AAPL251107C00320000</t>
  </si>
  <si>
    <t>AAPL251107C00325000</t>
  </si>
  <si>
    <t>AAPL251107P00180000</t>
  </si>
  <si>
    <t>AAPL251107P00185000</t>
  </si>
  <si>
    <t>AAPL251107P00190000</t>
  </si>
  <si>
    <t>AAPL251107P00195000</t>
  </si>
  <si>
    <t>AAPL251107P00200000</t>
  </si>
  <si>
    <t>AAPL251107P00205000</t>
  </si>
  <si>
    <t>AAPL251107P00210000</t>
  </si>
  <si>
    <t>AAPL251107P00215000</t>
  </si>
  <si>
    <t>AAPL251107P00220000</t>
  </si>
  <si>
    <t>AAPL251107P00225000</t>
  </si>
  <si>
    <t>AAPL251107P00230000</t>
  </si>
  <si>
    <t>AAPL251107P00235000</t>
  </si>
  <si>
    <t>AAPL251107P00240000</t>
  </si>
  <si>
    <t>AAPL251107P00245000</t>
  </si>
  <si>
    <t>AAPL251107P00250000</t>
  </si>
  <si>
    <t>AAPL251107P00255000</t>
  </si>
  <si>
    <t>AAPL251107P00260000</t>
  </si>
  <si>
    <t>AAPL251107P00265000</t>
  </si>
  <si>
    <t>AAPL251121C00100000</t>
  </si>
  <si>
    <t>AAPL251121C00105000</t>
  </si>
  <si>
    <t>9/16/2025 9:50 AM</t>
  </si>
  <si>
    <t>AAPL251121C00110000</t>
  </si>
  <si>
    <t>7/31/2025 10:57 AM</t>
  </si>
  <si>
    <t>AAPL251121C00115000</t>
  </si>
  <si>
    <t>AAPL251121C00120000</t>
  </si>
  <si>
    <t>9/19/2025 12:30 PM</t>
  </si>
  <si>
    <t>AAPL251121C00125000</t>
  </si>
  <si>
    <t>9/22/2025 9:49 AM</t>
  </si>
  <si>
    <t>AAPL251121C00130000</t>
  </si>
  <si>
    <t>AAPL251121C00135000</t>
  </si>
  <si>
    <t>AAPL251121C00140000</t>
  </si>
  <si>
    <t>AAPL251121C00145000</t>
  </si>
  <si>
    <t>AAPL251121C00150000</t>
  </si>
  <si>
    <t>AAPL251121C00155000</t>
  </si>
  <si>
    <t>AAPL251121C00160000</t>
  </si>
  <si>
    <t>9/26/2025 1:19 PM</t>
  </si>
  <si>
    <t>AAPL251121C00165000</t>
  </si>
  <si>
    <t>AAPL251121C00170000</t>
  </si>
  <si>
    <t>AAPL251121C00175000</t>
  </si>
  <si>
    <t>AAPL251121C00180000</t>
  </si>
  <si>
    <t>AAPL251121C00185000</t>
  </si>
  <si>
    <t>AAPL251121C00190000</t>
  </si>
  <si>
    <t>AAPL251121C00195000</t>
  </si>
  <si>
    <t>AAPL251121C00200000</t>
  </si>
  <si>
    <t>AAPL251121C00205000</t>
  </si>
  <si>
    <t>AAPL251121C00210000</t>
  </si>
  <si>
    <t>AAPL251121C00215000</t>
  </si>
  <si>
    <t>AAPL251121C00220000</t>
  </si>
  <si>
    <t>AAPL251121C00225000</t>
  </si>
  <si>
    <t>AAPL251121C00230000</t>
  </si>
  <si>
    <t>AAPL251121C00235000</t>
  </si>
  <si>
    <t>AAPL251121C00240000</t>
  </si>
  <si>
    <t>AAPL251121C00245000</t>
  </si>
  <si>
    <t>AAPL251121C00250000</t>
  </si>
  <si>
    <t>AAPL251121C00255000</t>
  </si>
  <si>
    <t>AAPL251121C00260000</t>
  </si>
  <si>
    <t>AAPL251121C00265000</t>
  </si>
  <si>
    <t>AAPL251121C00270000</t>
  </si>
  <si>
    <t>AAPL251121C00275000</t>
  </si>
  <si>
    <t>AAPL251121C00280000</t>
  </si>
  <si>
    <t>AAPL251121C00285000</t>
  </si>
  <si>
    <t>AAPL251121C00290000</t>
  </si>
  <si>
    <t>AAPL251121C00295000</t>
  </si>
  <si>
    <t>AAPL251121C00300000</t>
  </si>
  <si>
    <t>AAPL251121C00305000</t>
  </si>
  <si>
    <t>AAPL251121C00310000</t>
  </si>
  <si>
    <t>AAPL251121C00315000</t>
  </si>
  <si>
    <t>AAPL251121C00320000</t>
  </si>
  <si>
    <t>AAPL251121C00325000</t>
  </si>
  <si>
    <t>AAPL251121C00330000</t>
  </si>
  <si>
    <t>AAPL251121C00335000</t>
  </si>
  <si>
    <t>AAPL251121C00340000</t>
  </si>
  <si>
    <t>AAPL251121C00345000</t>
  </si>
  <si>
    <t>AAPL251121C00350000</t>
  </si>
  <si>
    <t>AAPL251121P00100000</t>
  </si>
  <si>
    <t>AAPL251121P00105000</t>
  </si>
  <si>
    <t>AAPL251121P00110000</t>
  </si>
  <si>
    <t>AAPL251121P00115000</t>
  </si>
  <si>
    <t>AAPL251121P00120000</t>
  </si>
  <si>
    <t>AAPL251121P00125000</t>
  </si>
  <si>
    <t>AAPL251121P00130000</t>
  </si>
  <si>
    <t>AAPL251121P00135000</t>
  </si>
  <si>
    <t>AAPL251121P00140000</t>
  </si>
  <si>
    <t>AAPL251121P00145000</t>
  </si>
  <si>
    <t>AAPL251121P00150000</t>
  </si>
  <si>
    <t>AAPL251121P00155000</t>
  </si>
  <si>
    <t>AAPL251121P00160000</t>
  </si>
  <si>
    <t>AAPL251121P00165000</t>
  </si>
  <si>
    <t>AAPL251121P00170000</t>
  </si>
  <si>
    <t>AAPL251121P00175000</t>
  </si>
  <si>
    <t>AAPL251121P00180000</t>
  </si>
  <si>
    <t>AAPL251121P00185000</t>
  </si>
  <si>
    <t>AAPL251121P00190000</t>
  </si>
  <si>
    <t>AAPL251121P00195000</t>
  </si>
  <si>
    <t>AAPL251121P00200000</t>
  </si>
  <si>
    <t>AAPL251121P00205000</t>
  </si>
  <si>
    <t>AAPL251121P00210000</t>
  </si>
  <si>
    <t>AAPL251121P00215000</t>
  </si>
  <si>
    <t>AAPL251121P00220000</t>
  </si>
  <si>
    <t>AAPL251121P00225000</t>
  </si>
  <si>
    <t>AAPL251121P00230000</t>
  </si>
  <si>
    <t>AAPL251121P00235000</t>
  </si>
  <si>
    <t>AAPL251121P00240000</t>
  </si>
  <si>
    <t>AAPL251121P00245000</t>
  </si>
  <si>
    <t>AAPL251121P00250000</t>
  </si>
  <si>
    <t>AAPL251121P00255000</t>
  </si>
  <si>
    <t>AAPL251121P00260000</t>
  </si>
  <si>
    <t>AAPL251121P00265000</t>
  </si>
  <si>
    <t>AAPL251121P00270000</t>
  </si>
  <si>
    <t>AAPL251121P00275000</t>
  </si>
  <si>
    <t>AAPL251121P00280000</t>
  </si>
  <si>
    <t>AAPL251121P00285000</t>
  </si>
  <si>
    <t>AAPL251121P00290000</t>
  </si>
  <si>
    <t>9/22/2025 1:42 PM</t>
  </si>
  <si>
    <t>AAPL251121P00300000</t>
  </si>
  <si>
    <t>9/25/2025 10:25 AM</t>
  </si>
  <si>
    <t>AAPL251121P00305000</t>
  </si>
  <si>
    <t>AAPL251121P00315000</t>
  </si>
  <si>
    <t>AAPL251121P00325000</t>
  </si>
  <si>
    <t>AAPL251121P00335000</t>
  </si>
  <si>
    <t>8/26/2025 3:54 PM</t>
  </si>
  <si>
    <t>AAPL251121P00345000</t>
  </si>
  <si>
    <t>AAPL260116C00005000</t>
  </si>
  <si>
    <t>AAPL260116C00010000</t>
  </si>
  <si>
    <t>AAPL260116C00015000</t>
  </si>
  <si>
    <t>AAPL260116C00020000</t>
  </si>
  <si>
    <t>AAPL260116C00025000</t>
  </si>
  <si>
    <t>9/18/2025 12:53 PM</t>
  </si>
  <si>
    <t>AAPL260116C00030000</t>
  </si>
  <si>
    <t>7/25/2025 10:00 AM</t>
  </si>
  <si>
    <t>AAPL260116C00035000</t>
  </si>
  <si>
    <t>AAPL260116C00040000</t>
  </si>
  <si>
    <t>AAPL260116C00045000</t>
  </si>
  <si>
    <t>9/19/2025 10:46 AM</t>
  </si>
  <si>
    <t>AAPL260116C00050000</t>
  </si>
  <si>
    <t>8/21/2025 11:18 AM</t>
  </si>
  <si>
    <t>AAPL260116C00055000</t>
  </si>
  <si>
    <t>AAPL260116C00060000</t>
  </si>
  <si>
    <t>AAPL260116C00065000</t>
  </si>
  <si>
    <t>AAPL260116C00070000</t>
  </si>
  <si>
    <t>9/29/2025 9:53 AM</t>
  </si>
  <si>
    <t>AAPL260116C00075000</t>
  </si>
  <si>
    <t>AAPL260116C00080000</t>
  </si>
  <si>
    <t>9/24/2025 2:57 PM</t>
  </si>
  <si>
    <t>AAPL260116C00085000</t>
  </si>
  <si>
    <t>AAPL260116C00090000</t>
  </si>
  <si>
    <t>9/19/2025 10:11 AM</t>
  </si>
  <si>
    <t>AAPL260116C00095000</t>
  </si>
  <si>
    <t>9/30/2025 2:53 PM</t>
  </si>
  <si>
    <t>AAPL260116C00100000</t>
  </si>
  <si>
    <t>AAPL260116C00105000</t>
  </si>
  <si>
    <t>9/17/2025 10:56 AM</t>
  </si>
  <si>
    <t>AAPL260116C00110000</t>
  </si>
  <si>
    <t>AAPL260116C00115000</t>
  </si>
  <si>
    <t>AAPL260116C00120000</t>
  </si>
  <si>
    <t>AAPL260116C00125000</t>
  </si>
  <si>
    <t>AAPL260116C00130000</t>
  </si>
  <si>
    <t>AAPL260116C00135000</t>
  </si>
  <si>
    <t>9/30/2025 9:30 AM</t>
  </si>
  <si>
    <t>AAPL260116C00140000</t>
  </si>
  <si>
    <t>9/26/2025 3:54 PM</t>
  </si>
  <si>
    <t>AAPL260116C00145000</t>
  </si>
  <si>
    <t>9/26/2025 1:39 PM</t>
  </si>
  <si>
    <t>AAPL260116C00150000</t>
  </si>
  <si>
    <t>AAPL260116C00155000</t>
  </si>
  <si>
    <t>AAPL260116C00160000</t>
  </si>
  <si>
    <t>AAPL260116C00165000</t>
  </si>
  <si>
    <t>AAPL260116C00170000</t>
  </si>
  <si>
    <t>AAPL260116C00175000</t>
  </si>
  <si>
    <t>AAPL260116C00180000</t>
  </si>
  <si>
    <t>AAPL260116C00185000</t>
  </si>
  <si>
    <t>AAPL260116C00190000</t>
  </si>
  <si>
    <t>AAPL260116C00195000</t>
  </si>
  <si>
    <t>AAPL260116C00200000</t>
  </si>
  <si>
    <t>AAPL260116C00205000</t>
  </si>
  <si>
    <t>AAPL260116C00210000</t>
  </si>
  <si>
    <t>AAPL260116C00215000</t>
  </si>
  <si>
    <t>AAPL260116C00220000</t>
  </si>
  <si>
    <t>AAPL260116C00225000</t>
  </si>
  <si>
    <t>AAPL260116C00230000</t>
  </si>
  <si>
    <t>AAPL260116C00235000</t>
  </si>
  <si>
    <t>AAPL260116C00240000</t>
  </si>
  <si>
    <t>AAPL260116C00245000</t>
  </si>
  <si>
    <t>AAPL260116C00250000</t>
  </si>
  <si>
    <t>AAPL260116C00255000</t>
  </si>
  <si>
    <t>AAPL260116C00260000</t>
  </si>
  <si>
    <t>AAPL260116C00265000</t>
  </si>
  <si>
    <t>AAPL260116C00270000</t>
  </si>
  <si>
    <t>AAPL260116C00275000</t>
  </si>
  <si>
    <t>AAPL260116C00280000</t>
  </si>
  <si>
    <t>AAPL260116C00285000</t>
  </si>
  <si>
    <t>AAPL260116C00290000</t>
  </si>
  <si>
    <t>AAPL260116C00295000</t>
  </si>
  <si>
    <t>AAPL260116C00300000</t>
  </si>
  <si>
    <t>AAPL260116C00305000</t>
  </si>
  <si>
    <t>AAPL260116C00310000</t>
  </si>
  <si>
    <t>AAPL260116C00315000</t>
  </si>
  <si>
    <t>AAPL260116C00320000</t>
  </si>
  <si>
    <t>AAPL260116C00330000</t>
  </si>
  <si>
    <t>AAPL260116C00340000</t>
  </si>
  <si>
    <t>AAPL260116C00350000</t>
  </si>
  <si>
    <t>AAPL260116C00360000</t>
  </si>
  <si>
    <t>AAPL260116C00370000</t>
  </si>
  <si>
    <t>AAPL260116C00380000</t>
  </si>
  <si>
    <t>AAPL260116C00390000</t>
  </si>
  <si>
    <t>AAPL260116P00005000</t>
  </si>
  <si>
    <t>AAPL260116P00010000</t>
  </si>
  <si>
    <t>7/25/2025 2:31 PM</t>
  </si>
  <si>
    <t>AAPL260116P00015000</t>
  </si>
  <si>
    <t>AAPL260116P00020000</t>
  </si>
  <si>
    <t>AAPL260116P00025000</t>
  </si>
  <si>
    <t>6/24/2025 2:28 PM</t>
  </si>
  <si>
    <t>AAPL260116P00030000</t>
  </si>
  <si>
    <t>AAPL260116P00035000</t>
  </si>
  <si>
    <t>7/25/2025 3:45 PM</t>
  </si>
  <si>
    <t>AAPL260116P00040000</t>
  </si>
  <si>
    <t>8/27/2025 2:51 PM</t>
  </si>
  <si>
    <t>AAPL260116P00045000</t>
  </si>
  <si>
    <t>AAPL260116P00050000</t>
  </si>
  <si>
    <t>AAPL260116P00055000</t>
  </si>
  <si>
    <t>8/27/2025 12:00 PM</t>
  </si>
  <si>
    <t>AAPL260116P00060000</t>
  </si>
  <si>
    <t>9/24/2025 11:20 AM</t>
  </si>
  <si>
    <t>AAPL260116P00065000</t>
  </si>
  <si>
    <t>8/27/2025 10:04 AM</t>
  </si>
  <si>
    <t>AAPL260116P00070000</t>
  </si>
  <si>
    <t>AAPL260116P00075000</t>
  </si>
  <si>
    <t>AAPL260116P00080000</t>
  </si>
  <si>
    <t>AAPL260116P00085000</t>
  </si>
  <si>
    <t>AAPL260116P00090000</t>
  </si>
  <si>
    <t>AAPL260116P00095000</t>
  </si>
  <si>
    <t>AAPL260116P00100000</t>
  </si>
  <si>
    <t>AAPL260116P00105000</t>
  </si>
  <si>
    <t>9/24/2025 1:58 PM</t>
  </si>
  <si>
    <t>AAPL260116P00110000</t>
  </si>
  <si>
    <t>9/29/2025 12:37 PM</t>
  </si>
  <si>
    <t>AAPL260116P00115000</t>
  </si>
  <si>
    <t>AAPL260116P00120000</t>
  </si>
  <si>
    <t>9/30/2025 10:00 AM</t>
  </si>
  <si>
    <t>AAPL260116P00125000</t>
  </si>
  <si>
    <t>AAPL260116P00130000</t>
  </si>
  <si>
    <t>AAPL260116P00135000</t>
  </si>
  <si>
    <t>AAPL260116P00140000</t>
  </si>
  <si>
    <t>AAPL260116P00145000</t>
  </si>
  <si>
    <t>AAPL260116P00150000</t>
  </si>
  <si>
    <t>AAPL260116P00155000</t>
  </si>
  <si>
    <t>AAPL260116P00160000</t>
  </si>
  <si>
    <t>AAPL260116P00165000</t>
  </si>
  <si>
    <t>AAPL260116P00170000</t>
  </si>
  <si>
    <t>AAPL260116P00175000</t>
  </si>
  <si>
    <t>AAPL260116P00180000</t>
  </si>
  <si>
    <t>AAPL260116P00185000</t>
  </si>
  <si>
    <t>AAPL260116P00190000</t>
  </si>
  <si>
    <t>AAPL260116P00195000</t>
  </si>
  <si>
    <t>AAPL260116P00200000</t>
  </si>
  <si>
    <t>AAPL260116P00205000</t>
  </si>
  <si>
    <t>AAPL260116P00210000</t>
  </si>
  <si>
    <t>AAPL260116P00215000</t>
  </si>
  <si>
    <t>AAPL260116P00220000</t>
  </si>
  <si>
    <t>AAPL260116P00225000</t>
  </si>
  <si>
    <t>AAPL260116P00230000</t>
  </si>
  <si>
    <t>AAPL260116P00235000</t>
  </si>
  <si>
    <t>AAPL260116P00240000</t>
  </si>
  <si>
    <t>AAPL260116P00245000</t>
  </si>
  <si>
    <t>AAPL260116P00250000</t>
  </si>
  <si>
    <t>AAPL260116P00255000</t>
  </si>
  <si>
    <t>AAPL260116P00260000</t>
  </si>
  <si>
    <t>AAPL260116P00265000</t>
  </si>
  <si>
    <t>AAPL260116P00270000</t>
  </si>
  <si>
    <t>AAPL260116P00275000</t>
  </si>
  <si>
    <t>AAPL260116P00280000</t>
  </si>
  <si>
    <t>AAPL260116P00285000</t>
  </si>
  <si>
    <t>AAPL260116P00290000</t>
  </si>
  <si>
    <t>AAPL260116P00295000</t>
  </si>
  <si>
    <t>9/26/2025 3:21 PM</t>
  </si>
  <si>
    <t>AAPL260116P00300000</t>
  </si>
  <si>
    <t>9/24/2025 12:06 PM</t>
  </si>
  <si>
    <t>AAPL260116P00305000</t>
  </si>
  <si>
    <t>AAPL260116P00310000</t>
  </si>
  <si>
    <t>9/18/2025 3:48 PM</t>
  </si>
  <si>
    <t>AAPL260116P00315000</t>
  </si>
  <si>
    <t>AAPL260116P00320000</t>
  </si>
  <si>
    <t>AAPL260116P00330000</t>
  </si>
  <si>
    <t>AAPL260116P00340000</t>
  </si>
  <si>
    <t>AAPL260116P00350000</t>
  </si>
  <si>
    <t>9/22/2025 3:06 PM</t>
  </si>
  <si>
    <t>AAPL260116P00360000</t>
  </si>
  <si>
    <t>AAPL260116P00370000</t>
  </si>
  <si>
    <t>AAPL260116P00390000</t>
  </si>
  <si>
    <t>AAPL260220C00100000</t>
  </si>
  <si>
    <t>9/24/2025 12:59 PM</t>
  </si>
  <si>
    <t>AAPL260220C00105000</t>
  </si>
  <si>
    <t>AAPL260220C00110000</t>
  </si>
  <si>
    <t>9/22/2025 3:58 PM</t>
  </si>
  <si>
    <t>AAPL260220C00120000</t>
  </si>
  <si>
    <t>AAPL260220C00125000</t>
  </si>
  <si>
    <t>AAPL260220C00130000</t>
  </si>
  <si>
    <t>AAPL260220C00135000</t>
  </si>
  <si>
    <t>9/29/2025 11:47 AM</t>
  </si>
  <si>
    <t>AAPL260220C00140000</t>
  </si>
  <si>
    <t>AAPL260220C00145000</t>
  </si>
  <si>
    <t>AAPL260220C00150000</t>
  </si>
  <si>
    <t>9/19/2025 2:01 PM</t>
  </si>
  <si>
    <t>AAPL260220C00155000</t>
  </si>
  <si>
    <t>AAPL260220C00160000</t>
  </si>
  <si>
    <t>9/19/2025 1:33 PM</t>
  </si>
  <si>
    <t>AAPL260220C00165000</t>
  </si>
  <si>
    <t>9/22/2025 3:32 PM</t>
  </si>
  <si>
    <t>AAPL260220C00170000</t>
  </si>
  <si>
    <t>9/26/2025 10:12 AM</t>
  </si>
  <si>
    <t>AAPL260220C00175000</t>
  </si>
  <si>
    <t>9/26/2025 10:35 AM</t>
  </si>
  <si>
    <t>AAPL260220C00180000</t>
  </si>
  <si>
    <t>AAPL260220C00185000</t>
  </si>
  <si>
    <t>AAPL260220C00190000</t>
  </si>
  <si>
    <t>AAPL260220C00195000</t>
  </si>
  <si>
    <t>9/26/2025 12:08 PM</t>
  </si>
  <si>
    <t>AAPL260220C00200000</t>
  </si>
  <si>
    <t>AAPL260220C00205000</t>
  </si>
  <si>
    <t>AAPL260220C00210000</t>
  </si>
  <si>
    <t>AAPL260220C00215000</t>
  </si>
  <si>
    <t>AAPL260220C00220000</t>
  </si>
  <si>
    <t>AAPL260220C00225000</t>
  </si>
  <si>
    <t>AAPL260220C00230000</t>
  </si>
  <si>
    <t>AAPL260220C00235000</t>
  </si>
  <si>
    <t>AAPL260220C00240000</t>
  </si>
  <si>
    <t>AAPL260220C00245000</t>
  </si>
  <si>
    <t>AAPL260220C00250000</t>
  </si>
  <si>
    <t>AAPL260220C00255000</t>
  </si>
  <si>
    <t>AAPL260220C00260000</t>
  </si>
  <si>
    <t>AAPL260220C00265000</t>
  </si>
  <si>
    <t>AAPL260220C00270000</t>
  </si>
  <si>
    <t>AAPL260220C00275000</t>
  </si>
  <si>
    <t>AAPL260220C00280000</t>
  </si>
  <si>
    <t>AAPL260220C00285000</t>
  </si>
  <si>
    <t>AAPL260220C00290000</t>
  </si>
  <si>
    <t>AAPL260220C00295000</t>
  </si>
  <si>
    <t>AAPL260220C00300000</t>
  </si>
  <si>
    <t>AAPL260220C00310000</t>
  </si>
  <si>
    <t>AAPL260220C00320000</t>
  </si>
  <si>
    <t>AAPL260220C00330000</t>
  </si>
  <si>
    <t>AAPL260220C00340000</t>
  </si>
  <si>
    <t>AAPL260220C00350000</t>
  </si>
  <si>
    <t>AAPL260220C00360000</t>
  </si>
  <si>
    <t>AAPL260220C00370000</t>
  </si>
  <si>
    <t>AAPL260220C00380000</t>
  </si>
  <si>
    <t>AAPL260220C00390000</t>
  </si>
  <si>
    <t>AAPL260220C00400000</t>
  </si>
  <si>
    <t>AAPL260220P00100000</t>
  </si>
  <si>
    <t>AAPL260220P00105000</t>
  </si>
  <si>
    <t>9/22/2025 1:19 PM</t>
  </si>
  <si>
    <t>AAPL260220P00110000</t>
  </si>
  <si>
    <t>AAPL260220P00115000</t>
  </si>
  <si>
    <t>AAPL260220P00120000</t>
  </si>
  <si>
    <t>9/23/2025 2:41 PM</t>
  </si>
  <si>
    <t>AAPL260220P00125000</t>
  </si>
  <si>
    <t>AAPL260220P00130000</t>
  </si>
  <si>
    <t>AAPL260220P00135000</t>
  </si>
  <si>
    <t>9/30/2025 2:46 PM</t>
  </si>
  <si>
    <t>AAPL260220P00140000</t>
  </si>
  <si>
    <t>AAPL260220P00145000</t>
  </si>
  <si>
    <t>9/22/2025 10:21 AM</t>
  </si>
  <si>
    <t>AAPL260220P00150000</t>
  </si>
  <si>
    <t>AAPL260220P00155000</t>
  </si>
  <si>
    <t>9/29/2025 11:22 AM</t>
  </si>
  <si>
    <t>AAPL260220P00160000</t>
  </si>
  <si>
    <t>9/30/2025 12:32 PM</t>
  </si>
  <si>
    <t>AAPL260220P00165000</t>
  </si>
  <si>
    <t>AAPL260220P00170000</t>
  </si>
  <si>
    <t>AAPL260220P00175000</t>
  </si>
  <si>
    <t>AAPL260220P00180000</t>
  </si>
  <si>
    <t>AAPL260220P00185000</t>
  </si>
  <si>
    <t>AAPL260220P00190000</t>
  </si>
  <si>
    <t>AAPL260220P00195000</t>
  </si>
  <si>
    <t>AAPL260220P00200000</t>
  </si>
  <si>
    <t>AAPL260220P00205000</t>
  </si>
  <si>
    <t>AAPL260220P00210000</t>
  </si>
  <si>
    <t>AAPL260220P00215000</t>
  </si>
  <si>
    <t>AAPL260220P00220000</t>
  </si>
  <si>
    <t>AAPL260220P00225000</t>
  </si>
  <si>
    <t>AAPL260220P00230000</t>
  </si>
  <si>
    <t>AAPL260220P00235000</t>
  </si>
  <si>
    <t>AAPL260220P00240000</t>
  </si>
  <si>
    <t>AAPL260220P00245000</t>
  </si>
  <si>
    <t>AAPL260220P00250000</t>
  </si>
  <si>
    <t>AAPL260220P00255000</t>
  </si>
  <si>
    <t>AAPL260220P00260000</t>
  </si>
  <si>
    <t>AAPL260220P00265000</t>
  </si>
  <si>
    <t>AAPL260220P00270000</t>
  </si>
  <si>
    <t>AAPL260220P00275000</t>
  </si>
  <si>
    <t>AAPL260220P00280000</t>
  </si>
  <si>
    <t>AAPL260220P00285000</t>
  </si>
  <si>
    <t>AAPL260220P00290000</t>
  </si>
  <si>
    <t>AAPL260220P00295000</t>
  </si>
  <si>
    <t>AAPL260220P00300000</t>
  </si>
  <si>
    <t>AAPL260220P00310000</t>
  </si>
  <si>
    <t>9/26/2025 2:43 PM</t>
  </si>
  <si>
    <t>AAPL260320C00090000</t>
  </si>
  <si>
    <t>AAPL260320C00095000</t>
  </si>
  <si>
    <t>AAPL260320C00100000</t>
  </si>
  <si>
    <t>9/22/2025 11:27 AM</t>
  </si>
  <si>
    <t>AAPL260320C00105000</t>
  </si>
  <si>
    <t>AAPL260320C00110000</t>
  </si>
  <si>
    <t>AAPL260320C00115000</t>
  </si>
  <si>
    <t>AAPL260320C00120000</t>
  </si>
  <si>
    <t>9/24/2025 10:32 AM</t>
  </si>
  <si>
    <t>AAPL260320C00125000</t>
  </si>
  <si>
    <t>9/29/2025 12:05 PM</t>
  </si>
  <si>
    <t>AAPL260320C00130000</t>
  </si>
  <si>
    <t>9/19/2025 1:05 PM</t>
  </si>
  <si>
    <t>AAPL260320C00135000</t>
  </si>
  <si>
    <t>AAPL260320C00140000</t>
  </si>
  <si>
    <t>AAPL260320C00145000</t>
  </si>
  <si>
    <t>AAPL260320C00150000</t>
  </si>
  <si>
    <t>AAPL260320C00155000</t>
  </si>
  <si>
    <t>9/30/2025 10:46 AM</t>
  </si>
  <si>
    <t>AAPL260320C00160000</t>
  </si>
  <si>
    <t>AAPL260320C00165000</t>
  </si>
  <si>
    <t>AAPL260320C00170000</t>
  </si>
  <si>
    <t>AAPL260320C00175000</t>
  </si>
  <si>
    <t>AAPL260320C00180000</t>
  </si>
  <si>
    <t>AAPL260320C00185000</t>
  </si>
  <si>
    <t>AAPL260320C00190000</t>
  </si>
  <si>
    <t>AAPL260320C00195000</t>
  </si>
  <si>
    <t>AAPL260320C00200000</t>
  </si>
  <si>
    <t>AAPL260320C00210000</t>
  </si>
  <si>
    <t>AAPL260320C00220000</t>
  </si>
  <si>
    <t>AAPL260320C00230000</t>
  </si>
  <si>
    <t>AAPL260320C00240000</t>
  </si>
  <si>
    <t>AAPL260320C00250000</t>
  </si>
  <si>
    <t>AAPL260320C00260000</t>
  </si>
  <si>
    <t>AAPL260320C00270000</t>
  </si>
  <si>
    <t>AAPL260320C00280000</t>
  </si>
  <si>
    <t>AAPL260320C00290000</t>
  </si>
  <si>
    <t>AAPL260320C00300000</t>
  </si>
  <si>
    <t>AAPL260320C00310000</t>
  </si>
  <si>
    <t>AAPL260320C00320000</t>
  </si>
  <si>
    <t>AAPL260320C00330000</t>
  </si>
  <si>
    <t>AAPL260320C00340000</t>
  </si>
  <si>
    <t>AAPL260320C00350000</t>
  </si>
  <si>
    <t>AAPL260320C00360000</t>
  </si>
  <si>
    <t>AAPL260320C00370000</t>
  </si>
  <si>
    <t>AAPL260320P00090000</t>
  </si>
  <si>
    <t>AAPL260320P00095000</t>
  </si>
  <si>
    <t>AAPL260320P00100000</t>
  </si>
  <si>
    <t>AAPL260320P00105000</t>
  </si>
  <si>
    <t>9/22/2025 12:32 PM</t>
  </si>
  <si>
    <t>AAPL260320P00110000</t>
  </si>
  <si>
    <t>9/23/2025 2:38 PM</t>
  </si>
  <si>
    <t>AAPL260320P00115000</t>
  </si>
  <si>
    <t>AAPL260320P00120000</t>
  </si>
  <si>
    <t>AAPL260320P00125000</t>
  </si>
  <si>
    <t>AAPL260320P00130000</t>
  </si>
  <si>
    <t>AAPL260320P00135000</t>
  </si>
  <si>
    <t>AAPL260320P00140000</t>
  </si>
  <si>
    <t>AAPL260320P00145000</t>
  </si>
  <si>
    <t>AAPL260320P00150000</t>
  </si>
  <si>
    <t>AAPL260320P00155000</t>
  </si>
  <si>
    <t>AAPL260320P00160000</t>
  </si>
  <si>
    <t>AAPL260320P00165000</t>
  </si>
  <si>
    <t>AAPL260320P00170000</t>
  </si>
  <si>
    <t>AAPL260320P00175000</t>
  </si>
  <si>
    <t>AAPL260320P00180000</t>
  </si>
  <si>
    <t>AAPL260320P00185000</t>
  </si>
  <si>
    <t>AAPL260320P00190000</t>
  </si>
  <si>
    <t>AAPL260320P00195000</t>
  </si>
  <si>
    <t>AAPL260320P00200000</t>
  </si>
  <si>
    <t>AAPL260320P00210000</t>
  </si>
  <si>
    <t>AAPL260320P00220000</t>
  </si>
  <si>
    <t>AAPL260320P00230000</t>
  </si>
  <si>
    <t>AAPL260320P00240000</t>
  </si>
  <si>
    <t>AAPL260320P00250000</t>
  </si>
  <si>
    <t>AAPL260320P00260000</t>
  </si>
  <si>
    <t>AAPL260320P00270000</t>
  </si>
  <si>
    <t>AAPL260320P00280000</t>
  </si>
  <si>
    <t>AAPL260320P00290000</t>
  </si>
  <si>
    <t>AAPL260320P00300000</t>
  </si>
  <si>
    <t>AAPL260320P00310000</t>
  </si>
  <si>
    <t>9/26/2025 12:07 PM</t>
  </si>
  <si>
    <t>AAPL260320P00320000</t>
  </si>
  <si>
    <t>2/14/2025 2:56 PM</t>
  </si>
  <si>
    <t>AAPL260320P00350000</t>
  </si>
  <si>
    <t>5/13/2025 10:39 AM</t>
  </si>
  <si>
    <t>AAPL260320P00360000</t>
  </si>
  <si>
    <t>3/19/2025 10:18 AM</t>
  </si>
  <si>
    <t>AAPL260320P00370000</t>
  </si>
  <si>
    <t>AAPL260417C00120000</t>
  </si>
  <si>
    <t>9/18/2025 2:11 PM</t>
  </si>
  <si>
    <t>AAPL260417C00125000</t>
  </si>
  <si>
    <t>9/24/2025 10:28 AM</t>
  </si>
  <si>
    <t>AAPL260417C00140000</t>
  </si>
  <si>
    <t>AAPL260417C00150000</t>
  </si>
  <si>
    <t>9/29/2025 11:23 AM</t>
  </si>
  <si>
    <t>AAPL260417C00155000</t>
  </si>
  <si>
    <t>9/15/2025 9:30 AM</t>
  </si>
  <si>
    <t>AAPL260417C00160000</t>
  </si>
  <si>
    <t>9/22/2025 3:37 PM</t>
  </si>
  <si>
    <t>AAPL260417C00165000</t>
  </si>
  <si>
    <t>9/18/2025 2:35 PM</t>
  </si>
  <si>
    <t>AAPL260417C00170000</t>
  </si>
  <si>
    <t>9/18/2025 2:36 PM</t>
  </si>
  <si>
    <t>AAPL260417C00175000</t>
  </si>
  <si>
    <t>9/29/2025 11:34 AM</t>
  </si>
  <si>
    <t>AAPL260417C00180000</t>
  </si>
  <si>
    <t>9/29/2025 10:47 AM</t>
  </si>
  <si>
    <t>AAPL260417C00185000</t>
  </si>
  <si>
    <t>9/26/2025 10:39 AM</t>
  </si>
  <si>
    <t>AAPL260417C00190000</t>
  </si>
  <si>
    <t>9/23/2025 11:14 AM</t>
  </si>
  <si>
    <t>AAPL260417C00195000</t>
  </si>
  <si>
    <t>AAPL260417C00200000</t>
  </si>
  <si>
    <t>AAPL260417C00205000</t>
  </si>
  <si>
    <t>AAPL260417C00210000</t>
  </si>
  <si>
    <t>AAPL260417C00215000</t>
  </si>
  <si>
    <t>AAPL260417C00220000</t>
  </si>
  <si>
    <t>AAPL260417C00225000</t>
  </si>
  <si>
    <t>AAPL260417C00230000</t>
  </si>
  <si>
    <t>AAPL260417C00235000</t>
  </si>
  <si>
    <t>AAPL260417C00240000</t>
  </si>
  <si>
    <t>AAPL260417C00245000</t>
  </si>
  <si>
    <t>AAPL260417C00250000</t>
  </si>
  <si>
    <t>AAPL260417C00255000</t>
  </si>
  <si>
    <t>AAPL260417C00260000</t>
  </si>
  <si>
    <t>AAPL260417C00265000</t>
  </si>
  <si>
    <t>AAPL260417C00270000</t>
  </si>
  <si>
    <t>AAPL260417C00275000</t>
  </si>
  <si>
    <t>AAPL260417C00280000</t>
  </si>
  <si>
    <t>AAPL260417C00285000</t>
  </si>
  <si>
    <t>AAPL260417C00290000</t>
  </si>
  <si>
    <t>AAPL260417C00295000</t>
  </si>
  <si>
    <t>AAPL260417C00300000</t>
  </si>
  <si>
    <t>AAPL260417C00305000</t>
  </si>
  <si>
    <t>AAPL260417C00310000</t>
  </si>
  <si>
    <t>AAPL260417C00315000</t>
  </si>
  <si>
    <t>AAPL260417C00320000</t>
  </si>
  <si>
    <t>AAPL260417C00325000</t>
  </si>
  <si>
    <t>AAPL260417C00330000</t>
  </si>
  <si>
    <t>AAPL260417C00340000</t>
  </si>
  <si>
    <t>AAPL260417C00350000</t>
  </si>
  <si>
    <t>AAPL260417C00370000</t>
  </si>
  <si>
    <t>AAPL260417P00120000</t>
  </si>
  <si>
    <t>AAPL260417P00125000</t>
  </si>
  <si>
    <t>AAPL260417P00130000</t>
  </si>
  <si>
    <t>AAPL260417P00135000</t>
  </si>
  <si>
    <t>9/19/2025 12:42 PM</t>
  </si>
  <si>
    <t>AAPL260417P00140000</t>
  </si>
  <si>
    <t>9/29/2025 10:17 AM</t>
  </si>
  <si>
    <t>AAPL260417P00145000</t>
  </si>
  <si>
    <t>9/22/2025 12:39 PM</t>
  </si>
  <si>
    <t>AAPL260417P00150000</t>
  </si>
  <si>
    <t>9/29/2025 2:16 PM</t>
  </si>
  <si>
    <t>AAPL260417P00155000</t>
  </si>
  <si>
    <t>AAPL260417P00160000</t>
  </si>
  <si>
    <t>AAPL260417P00165000</t>
  </si>
  <si>
    <t>AAPL260417P00170000</t>
  </si>
  <si>
    <t>AAPL260417P00175000</t>
  </si>
  <si>
    <t>AAPL260417P00180000</t>
  </si>
  <si>
    <t>AAPL260417P00185000</t>
  </si>
  <si>
    <t>AAPL260417P00190000</t>
  </si>
  <si>
    <t>AAPL260417P00195000</t>
  </si>
  <si>
    <t>AAPL260417P00200000</t>
  </si>
  <si>
    <t>AAPL260417P00205000</t>
  </si>
  <si>
    <t>AAPL260417P00210000</t>
  </si>
  <si>
    <t>AAPL260417P00215000</t>
  </si>
  <si>
    <t>AAPL260417P00220000</t>
  </si>
  <si>
    <t>AAPL260417P00225000</t>
  </si>
  <si>
    <t>AAPL260417P00230000</t>
  </si>
  <si>
    <t>AAPL260417P00235000</t>
  </si>
  <si>
    <t>AAPL260417P00240000</t>
  </si>
  <si>
    <t>AAPL260417P00245000</t>
  </si>
  <si>
    <t>AAPL260417P00250000</t>
  </si>
  <si>
    <t>AAPL260417P00255000</t>
  </si>
  <si>
    <t>AAPL260417P00260000</t>
  </si>
  <si>
    <t>AAPL260417P00265000</t>
  </si>
  <si>
    <t>AAPL260417P00270000</t>
  </si>
  <si>
    <t>AAPL260417P00275000</t>
  </si>
  <si>
    <t>AAPL260417P00280000</t>
  </si>
  <si>
    <t>AAPL260417P00285000</t>
  </si>
  <si>
    <t>AAPL260417P00290000</t>
  </si>
  <si>
    <t>AAPL260417P00300000</t>
  </si>
  <si>
    <t>AAPL260417P00305000</t>
  </si>
  <si>
    <t>9/23/2025 9:57 AM</t>
  </si>
  <si>
    <t>AAPL260515C00005000</t>
  </si>
  <si>
    <t>9/29/2025 12:28 PM</t>
  </si>
  <si>
    <t>AAPL260515C00030000</t>
  </si>
  <si>
    <t>AAPL260515C00060000</t>
  </si>
  <si>
    <t>AAPL260515C00090000</t>
  </si>
  <si>
    <t>9/22/2025 2:37 PM</t>
  </si>
  <si>
    <t>AAPL260515C00095000</t>
  </si>
  <si>
    <t>AAPL260515C00100000</t>
  </si>
  <si>
    <t>AAPL260515C00120000</t>
  </si>
  <si>
    <t>AAPL260515C00125000</t>
  </si>
  <si>
    <t>7/22/2025 11:24 AM</t>
  </si>
  <si>
    <t>AAPL260515C00130000</t>
  </si>
  <si>
    <t>AAPL260515C00135000</t>
  </si>
  <si>
    <t>8/22/2025 2:31 PM</t>
  </si>
  <si>
    <t>AAPL260515C00140000</t>
  </si>
  <si>
    <t>9/22/2025 2:39 PM</t>
  </si>
  <si>
    <t>AAPL260515C00145000</t>
  </si>
  <si>
    <t>9/24/2025 9:37 AM</t>
  </si>
  <si>
    <t>AAPL260515C00150000</t>
  </si>
  <si>
    <t>AAPL260515C00155000</t>
  </si>
  <si>
    <t>9/23/2025 12:08 PM</t>
  </si>
  <si>
    <t>AAPL260515C00160000</t>
  </si>
  <si>
    <t>AAPL260515C00165000</t>
  </si>
  <si>
    <t>9/26/2025 9:35 AM</t>
  </si>
  <si>
    <t>AAPL260515C00170000</t>
  </si>
  <si>
    <t>AAPL260515C00175000</t>
  </si>
  <si>
    <t>9/22/2025 10:10 AM</t>
  </si>
  <si>
    <t>AAPL260515C00180000</t>
  </si>
  <si>
    <t>AAPL260515C00185000</t>
  </si>
  <si>
    <t>AAPL260515C00190000</t>
  </si>
  <si>
    <t>AAPL260515C00195000</t>
  </si>
  <si>
    <t>AAPL260515C00200000</t>
  </si>
  <si>
    <t>AAPL260515C00210000</t>
  </si>
  <si>
    <t>AAPL260515C00220000</t>
  </si>
  <si>
    <t>AAPL260515C00230000</t>
  </si>
  <si>
    <t>AAPL260515C00240000</t>
  </si>
  <si>
    <t>AAPL260515C00250000</t>
  </si>
  <si>
    <t>AAPL260515C00260000</t>
  </si>
  <si>
    <t>AAPL260515C00270000</t>
  </si>
  <si>
    <t>AAPL260515C00280000</t>
  </si>
  <si>
    <t>AAPL260515C00290000</t>
  </si>
  <si>
    <t>AAPL260515C00300000</t>
  </si>
  <si>
    <t>AAPL260515C00310000</t>
  </si>
  <si>
    <t>AAPL260515C00320000</t>
  </si>
  <si>
    <t>AAPL260515C00330000</t>
  </si>
  <si>
    <t>AAPL260515C00340000</t>
  </si>
  <si>
    <t>AAPL260515C00350000</t>
  </si>
  <si>
    <t>AAPL260515C00360000</t>
  </si>
  <si>
    <t>AAPL260515C00370000</t>
  </si>
  <si>
    <t>AAPL260515C00380000</t>
  </si>
  <si>
    <t>AAPL260515C00390000</t>
  </si>
  <si>
    <t>AAPL260515C00400000</t>
  </si>
  <si>
    <t>AAPL260515P00005000</t>
  </si>
  <si>
    <t>AAPL260515P00010000</t>
  </si>
  <si>
    <t>AAPL260515P00015000</t>
  </si>
  <si>
    <t>AAPL260515P00035000</t>
  </si>
  <si>
    <t>AAPL260515P00045000</t>
  </si>
  <si>
    <t>AAPL260515P00050000</t>
  </si>
  <si>
    <t>9/17/2025 3:52 PM</t>
  </si>
  <si>
    <t>AAPL260515P00060000</t>
  </si>
  <si>
    <t>9/17/2025 11:54 AM</t>
  </si>
  <si>
    <t>AAPL260515P00070000</t>
  </si>
  <si>
    <t>AAPL260515P00080000</t>
  </si>
  <si>
    <t>8/21/2025 11:26 AM</t>
  </si>
  <si>
    <t>AAPL260515P00085000</t>
  </si>
  <si>
    <t>9/17/2025 11:51 AM</t>
  </si>
  <si>
    <t>AAPL260515P00090000</t>
  </si>
  <si>
    <t>AAPL260515P00095000</t>
  </si>
  <si>
    <t>AAPL260515P00100000</t>
  </si>
  <si>
    <t>9/26/2025 2:27 PM</t>
  </si>
  <si>
    <t>AAPL260515P00105000</t>
  </si>
  <si>
    <t>9/15/2025 9:43 AM</t>
  </si>
  <si>
    <t>AAPL260515P00110000</t>
  </si>
  <si>
    <t>AAPL260515P00115000</t>
  </si>
  <si>
    <t>9/17/2025 1:51 PM</t>
  </si>
  <si>
    <t>AAPL260515P00120000</t>
  </si>
  <si>
    <t>9/16/2025 9:44 AM</t>
  </si>
  <si>
    <t>AAPL260515P00125000</t>
  </si>
  <si>
    <t>AAPL260515P00130000</t>
  </si>
  <si>
    <t>9/29/2025 10:13 AM</t>
  </si>
  <si>
    <t>AAPL260515P00135000</t>
  </si>
  <si>
    <t>AAPL260515P00140000</t>
  </si>
  <si>
    <t>AAPL260515P00145000</t>
  </si>
  <si>
    <t>9/29/2025 2:44 PM</t>
  </si>
  <si>
    <t>AAPL260515P00150000</t>
  </si>
  <si>
    <t>AAPL260515P00155000</t>
  </si>
  <si>
    <t>AAPL260515P00160000</t>
  </si>
  <si>
    <t>AAPL260515P00165000</t>
  </si>
  <si>
    <t>AAPL260515P00170000</t>
  </si>
  <si>
    <t>AAPL260515P00175000</t>
  </si>
  <si>
    <t>AAPL260515P00180000</t>
  </si>
  <si>
    <t>AAPL260515P00185000</t>
  </si>
  <si>
    <t>AAPL260515P00190000</t>
  </si>
  <si>
    <t>AAPL260515P00195000</t>
  </si>
  <si>
    <t>AAPL260515P00200000</t>
  </si>
  <si>
    <t>AAPL260515P00210000</t>
  </si>
  <si>
    <t>AAPL260515P00220000</t>
  </si>
  <si>
    <t>AAPL260515P00230000</t>
  </si>
  <si>
    <t>AAPL260515P00240000</t>
  </si>
  <si>
    <t>AAPL260515P00250000</t>
  </si>
  <si>
    <t>AAPL260515P00260000</t>
  </si>
  <si>
    <t>AAPL260515P00270000</t>
  </si>
  <si>
    <t>AAPL260515P00280000</t>
  </si>
  <si>
    <t>AAPL260515P00290000</t>
  </si>
  <si>
    <t>9/29/2025 1:50 PM</t>
  </si>
  <si>
    <t>AAPL260515P00300000</t>
  </si>
  <si>
    <t>9/29/2025 1:55 PM</t>
  </si>
  <si>
    <t>AAPL260515P00310000</t>
  </si>
  <si>
    <t>9/23/2025 1:40 PM</t>
  </si>
  <si>
    <t>AAPL260515P00400000</t>
  </si>
  <si>
    <t>AAPL260618C00005000</t>
  </si>
  <si>
    <t>AAPL260618C00010000</t>
  </si>
  <si>
    <t>AAPL260618C00015000</t>
  </si>
  <si>
    <t>AAPL260618C00020000</t>
  </si>
  <si>
    <t>AAPL260618C00025000</t>
  </si>
  <si>
    <t>7/30/2025 1:49 PM</t>
  </si>
  <si>
    <t>AAPL260618C00030000</t>
  </si>
  <si>
    <t>AAPL260618C00035000</t>
  </si>
  <si>
    <t>AAPL260618C00040000</t>
  </si>
  <si>
    <t>5/23/2025 1:03 PM</t>
  </si>
  <si>
    <t>AAPL260618C00045000</t>
  </si>
  <si>
    <t>5/27/2025 1:01 PM</t>
  </si>
  <si>
    <t>AAPL260618C00050000</t>
  </si>
  <si>
    <t>9/19/2025 10:18 AM</t>
  </si>
  <si>
    <t>AAPL260618C00055000</t>
  </si>
  <si>
    <t>9/22/2025 10:35 AM</t>
  </si>
  <si>
    <t>AAPL260618C00060000</t>
  </si>
  <si>
    <t>9/19/2025 9:48 AM</t>
  </si>
  <si>
    <t>AAPL260618C00065000</t>
  </si>
  <si>
    <t>AAPL260618C00070000</t>
  </si>
  <si>
    <t>9/19/2025 10:15 AM</t>
  </si>
  <si>
    <t>AAPL260618C00075000</t>
  </si>
  <si>
    <t>9/19/2025 9:49 AM</t>
  </si>
  <si>
    <t>AAPL260618C00080000</t>
  </si>
  <si>
    <t>AAPL260618C00085000</t>
  </si>
  <si>
    <t>AAPL260618C00090000</t>
  </si>
  <si>
    <t>AAPL260618C00095000</t>
  </si>
  <si>
    <t>AAPL260618C00100000</t>
  </si>
  <si>
    <t>AAPL260618C00105000</t>
  </si>
  <si>
    <t>AAPL260618C00110000</t>
  </si>
  <si>
    <t>9/19/2025 12:17 PM</t>
  </si>
  <si>
    <t>AAPL260618C00115000</t>
  </si>
  <si>
    <t>9/22/2025 11:57 AM</t>
  </si>
  <si>
    <t>AAPL260618C00120000</t>
  </si>
  <si>
    <t>9/19/2025 2:16 PM</t>
  </si>
  <si>
    <t>AAPL260618C00125000</t>
  </si>
  <si>
    <t>9/22/2025 1:31 PM</t>
  </si>
  <si>
    <t>AAPL260618C00130000</t>
  </si>
  <si>
    <t>AAPL260618C00135000</t>
  </si>
  <si>
    <t>AAPL260618C00140000</t>
  </si>
  <si>
    <t>9/25/2025 9:51 AM</t>
  </si>
  <si>
    <t>AAPL260618C00145000</t>
  </si>
  <si>
    <t>9/30/2025 3:36 PM</t>
  </si>
  <si>
    <t>AAPL260618C00150000</t>
  </si>
  <si>
    <t>9/29/2025 11:28 AM</t>
  </si>
  <si>
    <t>AAPL260618C00155000</t>
  </si>
  <si>
    <t>9/29/2025 10:41 AM</t>
  </si>
  <si>
    <t>AAPL260618C00160000</t>
  </si>
  <si>
    <t>9/29/2025 11:55 AM</t>
  </si>
  <si>
    <t>AAPL260618C00165000</t>
  </si>
  <si>
    <t>AAPL260618C00170000</t>
  </si>
  <si>
    <t>AAPL260618C00175000</t>
  </si>
  <si>
    <t>AAPL260618C00180000</t>
  </si>
  <si>
    <t>AAPL260618C00185000</t>
  </si>
  <si>
    <t>AAPL260618C00190000</t>
  </si>
  <si>
    <t>AAPL260618C00195000</t>
  </si>
  <si>
    <t>AAPL260618C00200000</t>
  </si>
  <si>
    <t>AAPL260618C00205000</t>
  </si>
  <si>
    <t>AAPL260618C00210000</t>
  </si>
  <si>
    <t>AAPL260618C00215000</t>
  </si>
  <si>
    <t>AAPL260618C00220000</t>
  </si>
  <si>
    <t>AAPL260618C00225000</t>
  </si>
  <si>
    <t>AAPL260618C00230000</t>
  </si>
  <si>
    <t>AAPL260618C00235000</t>
  </si>
  <si>
    <t>AAPL260618C00240000</t>
  </si>
  <si>
    <t>AAPL260618C00245000</t>
  </si>
  <si>
    <t>AAPL260618C00250000</t>
  </si>
  <si>
    <t>AAPL260618C00255000</t>
  </si>
  <si>
    <t>AAPL260618C00260000</t>
  </si>
  <si>
    <t>AAPL260618C00265000</t>
  </si>
  <si>
    <t>AAPL260618C00270000</t>
  </si>
  <si>
    <t>AAPL260618C00275000</t>
  </si>
  <si>
    <t>AAPL260618C00280000</t>
  </si>
  <si>
    <t>AAPL260618C00285000</t>
  </si>
  <si>
    <t>AAPL260618C00290000</t>
  </si>
  <si>
    <t>AAPL260618C00300000</t>
  </si>
  <si>
    <t>AAPL260618C00310000</t>
  </si>
  <si>
    <t>AAPL260618C00320000</t>
  </si>
  <si>
    <t>AAPL260618C00330000</t>
  </si>
  <si>
    <t>AAPL260618C00340000</t>
  </si>
  <si>
    <t>AAPL260618C00350000</t>
  </si>
  <si>
    <t>AAPL260618C00360000</t>
  </si>
  <si>
    <t>AAPL260618C00370000</t>
  </si>
  <si>
    <t>AAPL260618C00380000</t>
  </si>
  <si>
    <t>AAPL260618C00390000</t>
  </si>
  <si>
    <t>AAPL260618P00005000</t>
  </si>
  <si>
    <t>AAPL260618P00010000</t>
  </si>
  <si>
    <t>AAPL260618P00015000</t>
  </si>
  <si>
    <t>AAPL260618P00020000</t>
  </si>
  <si>
    <t>AAPL260618P00025000</t>
  </si>
  <si>
    <t>AAPL260618P00030000</t>
  </si>
  <si>
    <t>AAPL260618P00035000</t>
  </si>
  <si>
    <t>AAPL260618P00040000</t>
  </si>
  <si>
    <t>AAPL260618P00045000</t>
  </si>
  <si>
    <t>AAPL260618P00050000</t>
  </si>
  <si>
    <t>AAPL260618P00055000</t>
  </si>
  <si>
    <t>AAPL260618P00060000</t>
  </si>
  <si>
    <t>9/29/2025 11:10 AM</t>
  </si>
  <si>
    <t>AAPL260618P00065000</t>
  </si>
  <si>
    <t>AAPL260618P00070000</t>
  </si>
  <si>
    <t>AAPL260618P00075000</t>
  </si>
  <si>
    <t>8/28/2025 9:30 AM</t>
  </si>
  <si>
    <t>AAPL260618P00080000</t>
  </si>
  <si>
    <t>AAPL260618P00085000</t>
  </si>
  <si>
    <t>9/26/2025 9:59 AM</t>
  </si>
  <si>
    <t>AAPL260618P00090000</t>
  </si>
  <si>
    <t>8/27/2025 3:56 PM</t>
  </si>
  <si>
    <t>AAPL260618P00095000</t>
  </si>
  <si>
    <t>9/23/2025 11:40 AM</t>
  </si>
  <si>
    <t>AAPL260618P00100000</t>
  </si>
  <si>
    <t>AAPL260618P00105000</t>
  </si>
  <si>
    <t>AAPL260618P00110000</t>
  </si>
  <si>
    <t>9/26/2025 3:44 PM</t>
  </si>
  <si>
    <t>AAPL260618P00115000</t>
  </si>
  <si>
    <t>9/15/2025 10:49 AM</t>
  </si>
  <si>
    <t>AAPL260618P00120000</t>
  </si>
  <si>
    <t>AAPL260618P00125000</t>
  </si>
  <si>
    <t>AAPL260618P00130000</t>
  </si>
  <si>
    <t>AAPL260618P00135000</t>
  </si>
  <si>
    <t>AAPL260618P00140000</t>
  </si>
  <si>
    <t>AAPL260618P00145000</t>
  </si>
  <si>
    <t>AAPL260618P00150000</t>
  </si>
  <si>
    <t>AAPL260618P00155000</t>
  </si>
  <si>
    <t>AAPL260618P00160000</t>
  </si>
  <si>
    <t>AAPL260618P00165000</t>
  </si>
  <si>
    <t>AAPL260618P00170000</t>
  </si>
  <si>
    <t>AAPL260618P00175000</t>
  </si>
  <si>
    <t>AAPL260618P00180000</t>
  </si>
  <si>
    <t>AAPL260618P00185000</t>
  </si>
  <si>
    <t>AAPL260618P00190000</t>
  </si>
  <si>
    <t>AAPL260618P00195000</t>
  </si>
  <si>
    <t>AAPL260618P00200000</t>
  </si>
  <si>
    <t>AAPL260618P00205000</t>
  </si>
  <si>
    <t>AAPL260618P00210000</t>
  </si>
  <si>
    <t>AAPL260618P00215000</t>
  </si>
  <si>
    <t>AAPL260618P00220000</t>
  </si>
  <si>
    <t>AAPL260618P00225000</t>
  </si>
  <si>
    <t>AAPL260618P00230000</t>
  </si>
  <si>
    <t>AAPL260618P00235000</t>
  </si>
  <si>
    <t>AAPL260618P00240000</t>
  </si>
  <si>
    <t>AAPL260618P00245000</t>
  </si>
  <si>
    <t>AAPL260618P00250000</t>
  </si>
  <si>
    <t>AAPL260618P00255000</t>
  </si>
  <si>
    <t>AAPL260618P00260000</t>
  </si>
  <si>
    <t>AAPL260618P00265000</t>
  </si>
  <si>
    <t>AAPL260618P00270000</t>
  </si>
  <si>
    <t>AAPL260618P00275000</t>
  </si>
  <si>
    <t>AAPL260618P00280000</t>
  </si>
  <si>
    <t>AAPL260618P00285000</t>
  </si>
  <si>
    <t>AAPL260618P00290000</t>
  </si>
  <si>
    <t>AAPL260618P00300000</t>
  </si>
  <si>
    <t>AAPL260618P00310000</t>
  </si>
  <si>
    <t>AAPL260618P00320000</t>
  </si>
  <si>
    <t>AAPL260618P00330000</t>
  </si>
  <si>
    <t>7/31/2025 1:20 PM</t>
  </si>
  <si>
    <t>AAPL260618P00340000</t>
  </si>
  <si>
    <t>AAPL260618P00350000</t>
  </si>
  <si>
    <t>11/29/2024 10:43 AM</t>
  </si>
  <si>
    <t>AAPL260618P00360000</t>
  </si>
  <si>
    <t>3/14/2025 10:46 AM</t>
  </si>
  <si>
    <t>AAPL260618P00370000</t>
  </si>
  <si>
    <t>AAPL260618P00380000</t>
  </si>
  <si>
    <t>AAPL260618P00390000</t>
  </si>
  <si>
    <t>AAPL260821C00115000</t>
  </si>
  <si>
    <t>AAPL260821C00120000</t>
  </si>
  <si>
    <t>9/29/2025 3:42 PM</t>
  </si>
  <si>
    <t>AAPL260821C00125000</t>
  </si>
  <si>
    <t>AAPL260821C00130000</t>
  </si>
  <si>
    <t>9/22/2025 1:21 PM</t>
  </si>
  <si>
    <t>AAPL260821C00135000</t>
  </si>
  <si>
    <t>AAPL260821C00140000</t>
  </si>
  <si>
    <t>9/22/2025 11:32 AM</t>
  </si>
  <si>
    <t>AAPL260821C00145000</t>
  </si>
  <si>
    <t>AAPL260821C00150000</t>
  </si>
  <si>
    <t>9/25/2025 9:53 AM</t>
  </si>
  <si>
    <t>AAPL260821C00155000</t>
  </si>
  <si>
    <t>9/26/2025 3:22 PM</t>
  </si>
  <si>
    <t>AAPL260821C00160000</t>
  </si>
  <si>
    <t>9/25/2025 3:17 PM</t>
  </si>
  <si>
    <t>AAPL260821C00165000</t>
  </si>
  <si>
    <t>AAPL260821C00170000</t>
  </si>
  <si>
    <t>9/24/2025 3:32 PM</t>
  </si>
  <si>
    <t>AAPL260821C00175000</t>
  </si>
  <si>
    <t>9/24/2025 3:31 PM</t>
  </si>
  <si>
    <t>AAPL260821C00180000</t>
  </si>
  <si>
    <t>AAPL260821C00185000</t>
  </si>
  <si>
    <t>AAPL260821C00190000</t>
  </si>
  <si>
    <t>AAPL260821C00195000</t>
  </si>
  <si>
    <t>AAPL260821C00200000</t>
  </si>
  <si>
    <t>AAPL260821C00210000</t>
  </si>
  <si>
    <t>AAPL260821C00220000</t>
  </si>
  <si>
    <t>AAPL260821C00230000</t>
  </si>
  <si>
    <t>AAPL260821C00240000</t>
  </si>
  <si>
    <t>AAPL260821C00250000</t>
  </si>
  <si>
    <t>AAPL260821C00260000</t>
  </si>
  <si>
    <t>AAPL260821C00270000</t>
  </si>
  <si>
    <t>AAPL260821C00280000</t>
  </si>
  <si>
    <t>AAPL260821C00290000</t>
  </si>
  <si>
    <t>AAPL260821C00300000</t>
  </si>
  <si>
    <t>AAPL260821C00310000</t>
  </si>
  <si>
    <t>AAPL260821C00320000</t>
  </si>
  <si>
    <t>AAPL260821C00330000</t>
  </si>
  <si>
    <t>AAPL260821C00340000</t>
  </si>
  <si>
    <t>AAPL260821C00350000</t>
  </si>
  <si>
    <t>AAPL260821P00110000</t>
  </si>
  <si>
    <t>9/22/2025 12:11 PM</t>
  </si>
  <si>
    <t>AAPL260821P00115000</t>
  </si>
  <si>
    <t>9/18/2025 10:27 AM</t>
  </si>
  <si>
    <t>AAPL260821P00120000</t>
  </si>
  <si>
    <t>9/29/2025 10:14 AM</t>
  </si>
  <si>
    <t>AAPL260821P00125000</t>
  </si>
  <si>
    <t>AAPL260821P00130000</t>
  </si>
  <si>
    <t>9/22/2025 11:13 AM</t>
  </si>
  <si>
    <t>AAPL260821P00135000</t>
  </si>
  <si>
    <t>9/24/2025 12:48 PM</t>
  </si>
  <si>
    <t>AAPL260821P00140000</t>
  </si>
  <si>
    <t>AAPL260821P00145000</t>
  </si>
  <si>
    <t>9/29/2025 3:20 PM</t>
  </si>
  <si>
    <t>AAPL260821P00150000</t>
  </si>
  <si>
    <t>9/29/2025 3:34 PM</t>
  </si>
  <si>
    <t>AAPL260821P00155000</t>
  </si>
  <si>
    <t>AAPL260821P00160000</t>
  </si>
  <si>
    <t>AAPL260821P00165000</t>
  </si>
  <si>
    <t>AAPL260821P00170000</t>
  </si>
  <si>
    <t>9/29/2025 2:40 PM</t>
  </si>
  <si>
    <t>AAPL260821P00175000</t>
  </si>
  <si>
    <t>AAPL260821P00180000</t>
  </si>
  <si>
    <t>9/30/2025 11:40 AM</t>
  </si>
  <si>
    <t>AAPL260821P00185000</t>
  </si>
  <si>
    <t>9/26/2025 10:01 AM</t>
  </si>
  <si>
    <t>AAPL260821P00190000</t>
  </si>
  <si>
    <t>AAPL260821P00195000</t>
  </si>
  <si>
    <t>AAPL260821P00200000</t>
  </si>
  <si>
    <t>AAPL260821P00210000</t>
  </si>
  <si>
    <t>AAPL260821P00220000</t>
  </si>
  <si>
    <t>AAPL260821P00230000</t>
  </si>
  <si>
    <t>AAPL260821P00240000</t>
  </si>
  <si>
    <t>AAPL260821P00250000</t>
  </si>
  <si>
    <t>AAPL260821P00260000</t>
  </si>
  <si>
    <t>AAPL260821P00270000</t>
  </si>
  <si>
    <t>AAPL260821P00280000</t>
  </si>
  <si>
    <t>AAPL260821P00290000</t>
  </si>
  <si>
    <t>AAPL260821P00300000</t>
  </si>
  <si>
    <t>AAPL260821P00310000</t>
  </si>
  <si>
    <t>9/30/2025 1:00 PM</t>
  </si>
  <si>
    <t>AAPL260821P00320000</t>
  </si>
  <si>
    <t>AAPL260821P00330000</t>
  </si>
  <si>
    <t>AAPL260821P00340000</t>
  </si>
  <si>
    <t>AAPL260918C00050000</t>
  </si>
  <si>
    <t>AAPL260918C00055000</t>
  </si>
  <si>
    <t>AAPL260918C00060000</t>
  </si>
  <si>
    <t>8/21/2025 11:55 AM</t>
  </si>
  <si>
    <t>AAPL260918C00065000</t>
  </si>
  <si>
    <t>8/25/2025 2:54 PM</t>
  </si>
  <si>
    <t>AAPL260918C00070000</t>
  </si>
  <si>
    <t>AAPL260918C00075000</t>
  </si>
  <si>
    <t>6/13/2025 9:52 AM</t>
  </si>
  <si>
    <t>AAPL260918C00080000</t>
  </si>
  <si>
    <t>9/24/2025 2:06 PM</t>
  </si>
  <si>
    <t>AAPL260918C00085000</t>
  </si>
  <si>
    <t>9/19/2025 9:50 AM</t>
  </si>
  <si>
    <t>AAPL260918C00090000</t>
  </si>
  <si>
    <t>9/26/2025 1:11 PM</t>
  </si>
  <si>
    <t>AAPL260918C00095000</t>
  </si>
  <si>
    <t>AAPL260918C00100000</t>
  </si>
  <si>
    <t>AAPL260918C00105000</t>
  </si>
  <si>
    <t>AAPL260918C00110000</t>
  </si>
  <si>
    <t>AAPL260918C00115000</t>
  </si>
  <si>
    <t>AAPL260918C00120000</t>
  </si>
  <si>
    <t>9/15/2025 12:15 PM</t>
  </si>
  <si>
    <t>AAPL260918C00125000</t>
  </si>
  <si>
    <t>9/26/2025 2:56 PM</t>
  </si>
  <si>
    <t>AAPL260918C00130000</t>
  </si>
  <si>
    <t>AAPL260918C00135000</t>
  </si>
  <si>
    <t>AAPL260918C00140000</t>
  </si>
  <si>
    <t>9/19/2025 12:26 PM</t>
  </si>
  <si>
    <t>AAPL260918C00145000</t>
  </si>
  <si>
    <t>9/22/2025 9:30 AM</t>
  </si>
  <si>
    <t>AAPL260918C00150000</t>
  </si>
  <si>
    <t>AAPL260918C00155000</t>
  </si>
  <si>
    <t>9/22/2025 12:19 PM</t>
  </si>
  <si>
    <t>AAPL260918C00160000</t>
  </si>
  <si>
    <t>9/24/2025 10:35 AM</t>
  </si>
  <si>
    <t>AAPL260918C00165000</t>
  </si>
  <si>
    <t>AAPL260918C00170000</t>
  </si>
  <si>
    <t>AAPL260918C00175000</t>
  </si>
  <si>
    <t>AAPL260918C00180000</t>
  </si>
  <si>
    <t>AAPL260918C00185000</t>
  </si>
  <si>
    <t>AAPL260918C00190000</t>
  </si>
  <si>
    <t>AAPL260918C00195000</t>
  </si>
  <si>
    <t>AAPL260918C00200000</t>
  </si>
  <si>
    <t>AAPL260918C00205000</t>
  </si>
  <si>
    <t>AAPL260918C00210000</t>
  </si>
  <si>
    <t>AAPL260918C00215000</t>
  </si>
  <si>
    <t>AAPL260918C00220000</t>
  </si>
  <si>
    <t>AAPL260918C00225000</t>
  </si>
  <si>
    <t>AAPL260918C00230000</t>
  </si>
  <si>
    <t>AAPL260918C00235000</t>
  </si>
  <si>
    <t>AAPL260918C00240000</t>
  </si>
  <si>
    <t>AAPL260918C00245000</t>
  </si>
  <si>
    <t>AAPL260918C00250000</t>
  </si>
  <si>
    <t>AAPL260918C00255000</t>
  </si>
  <si>
    <t>AAPL260918C00260000</t>
  </si>
  <si>
    <t>AAPL260918C00265000</t>
  </si>
  <si>
    <t>AAPL260918C00270000</t>
  </si>
  <si>
    <t>AAPL260918C00275000</t>
  </si>
  <si>
    <t>AAPL260918C00280000</t>
  </si>
  <si>
    <t>AAPL260918C00285000</t>
  </si>
  <si>
    <t>AAPL260918C00290000</t>
  </si>
  <si>
    <t>AAPL260918C00295000</t>
  </si>
  <si>
    <t>AAPL260918C00300000</t>
  </si>
  <si>
    <t>AAPL260918C00310000</t>
  </si>
  <si>
    <t>AAPL260918C00320000</t>
  </si>
  <si>
    <t>AAPL260918C00330000</t>
  </si>
  <si>
    <t>AAPL260918C00340000</t>
  </si>
  <si>
    <t>AAPL260918C00350000</t>
  </si>
  <si>
    <t>AAPL260918C00360000</t>
  </si>
  <si>
    <t>AAPL260918C00370000</t>
  </si>
  <si>
    <t>AAPL260918C00380000</t>
  </si>
  <si>
    <t>AAPL260918C00390000</t>
  </si>
  <si>
    <t>AAPL260918C00400000</t>
  </si>
  <si>
    <t>AAPL260918P00050000</t>
  </si>
  <si>
    <t>AAPL260918P00055000</t>
  </si>
  <si>
    <t>AAPL260918P00060000</t>
  </si>
  <si>
    <t>8/13/2025 9:30 AM</t>
  </si>
  <si>
    <t>AAPL260918P00065000</t>
  </si>
  <si>
    <t>AAPL260918P00070000</t>
  </si>
  <si>
    <t>9/17/2025 11:57 AM</t>
  </si>
  <si>
    <t>AAPL260918P00075000</t>
  </si>
  <si>
    <t>8/20/2025 9:30 AM</t>
  </si>
  <si>
    <t>AAPL260918P00080000</t>
  </si>
  <si>
    <t>9/18/2025 1:03 PM</t>
  </si>
  <si>
    <t>AAPL260918P00085000</t>
  </si>
  <si>
    <t>7/23/2025 10:05 AM</t>
  </si>
  <si>
    <t>AAPL260918P00090000</t>
  </si>
  <si>
    <t>8/21/2025 12:35 PM</t>
  </si>
  <si>
    <t>AAPL260918P00095000</t>
  </si>
  <si>
    <t>AAPL260918P00100000</t>
  </si>
  <si>
    <t>9/16/2025 10:09 AM</t>
  </si>
  <si>
    <t>AAPL260918P00105000</t>
  </si>
  <si>
    <t>AAPL260918P00110000</t>
  </si>
  <si>
    <t>AAPL260918P00115000</t>
  </si>
  <si>
    <t>AAPL260918P00120000</t>
  </si>
  <si>
    <t>9/25/2025 2:47 PM</t>
  </si>
  <si>
    <t>AAPL260918P00125000</t>
  </si>
  <si>
    <t>AAPL260918P00130000</t>
  </si>
  <si>
    <t>AAPL260918P00135000</t>
  </si>
  <si>
    <t>9/30/2025 2:28 PM</t>
  </si>
  <si>
    <t>AAPL260918P00140000</t>
  </si>
  <si>
    <t>AAPL260918P00145000</t>
  </si>
  <si>
    <t>AAPL260918P00150000</t>
  </si>
  <si>
    <t>AAPL260918P00155000</t>
  </si>
  <si>
    <t>AAPL260918P00160000</t>
  </si>
  <si>
    <t>AAPL260918P00165000</t>
  </si>
  <si>
    <t>AAPL260918P00170000</t>
  </si>
  <si>
    <t>AAPL260918P00175000</t>
  </si>
  <si>
    <t>AAPL260918P00180000</t>
  </si>
  <si>
    <t>AAPL260918P00185000</t>
  </si>
  <si>
    <t>AAPL260918P00190000</t>
  </si>
  <si>
    <t>AAPL260918P00195000</t>
  </si>
  <si>
    <t>AAPL260918P00200000</t>
  </si>
  <si>
    <t>AAPL260918P00205000</t>
  </si>
  <si>
    <t>AAPL260918P00210000</t>
  </si>
  <si>
    <t>AAPL260918P00215000</t>
  </si>
  <si>
    <t>AAPL260918P00220000</t>
  </si>
  <si>
    <t>AAPL260918P00225000</t>
  </si>
  <si>
    <t>AAPL260918P00230000</t>
  </si>
  <si>
    <t>AAPL260918P00235000</t>
  </si>
  <si>
    <t>AAPL260918P00240000</t>
  </si>
  <si>
    <t>AAPL260918P00245000</t>
  </si>
  <si>
    <t>AAPL260918P00250000</t>
  </si>
  <si>
    <t>AAPL260918P00255000</t>
  </si>
  <si>
    <t>AAPL260918P00260000</t>
  </si>
  <si>
    <t>AAPL260918P00265000</t>
  </si>
  <si>
    <t>AAPL260918P00270000</t>
  </si>
  <si>
    <t>AAPL260918P00275000</t>
  </si>
  <si>
    <t>AAPL260918P00280000</t>
  </si>
  <si>
    <t>AAPL260918P00285000</t>
  </si>
  <si>
    <t>AAPL260918P00290000</t>
  </si>
  <si>
    <t>AAPL260918P00295000</t>
  </si>
  <si>
    <t>AAPL260918P00300000</t>
  </si>
  <si>
    <t>AAPL260918P00310000</t>
  </si>
  <si>
    <t>AAPL260918P00320000</t>
  </si>
  <si>
    <t>AAPL260918P00350000</t>
  </si>
  <si>
    <t>AAPL260918P00360000</t>
  </si>
  <si>
    <t>9/22/2025 12:02 PM</t>
  </si>
  <si>
    <t>AAPL260918P00400000</t>
  </si>
  <si>
    <t>9/16/2025 2:15 PM</t>
  </si>
  <si>
    <t>AAPL261218C00005000</t>
  </si>
  <si>
    <t>9/22/2025 2:19 PM</t>
  </si>
  <si>
    <t>AAPL261218C00010000</t>
  </si>
  <si>
    <t>9/25/2025 2:39 PM</t>
  </si>
  <si>
    <t>AAPL261218C00015000</t>
  </si>
  <si>
    <t>6/23/2025 9:37 AM</t>
  </si>
  <si>
    <t>AAPL261218C00020000</t>
  </si>
  <si>
    <t>AAPL261218C00025000</t>
  </si>
  <si>
    <t>AAPL261218C00030000</t>
  </si>
  <si>
    <t>AAPL261218C00035000</t>
  </si>
  <si>
    <t>AAPL261218C00040000</t>
  </si>
  <si>
    <t>AAPL261218C00045000</t>
  </si>
  <si>
    <t>AAPL261218C00050000</t>
  </si>
  <si>
    <t>AAPL261218C00060000</t>
  </si>
  <si>
    <t>AAPL261218C00070000</t>
  </si>
  <si>
    <t>8/20/2025 10:59 AM</t>
  </si>
  <si>
    <t>AAPL261218C00080000</t>
  </si>
  <si>
    <t>AAPL261218C00085000</t>
  </si>
  <si>
    <t>AAPL261218C00090000</t>
  </si>
  <si>
    <t>5/29/2025 3:16 PM</t>
  </si>
  <si>
    <t>AAPL261218C00095000</t>
  </si>
  <si>
    <t>AAPL261218C00100000</t>
  </si>
  <si>
    <t>AAPL261218C00105000</t>
  </si>
  <si>
    <t>AAPL261218C00110000</t>
  </si>
  <si>
    <t>9/29/2025 2:26 PM</t>
  </si>
  <si>
    <t>AAPL261218C00115000</t>
  </si>
  <si>
    <t>8/27/2025 10:49 AM</t>
  </si>
  <si>
    <t>AAPL261218C00120000</t>
  </si>
  <si>
    <t>9/26/2025 11:15 AM</t>
  </si>
  <si>
    <t>AAPL261218C00125000</t>
  </si>
  <si>
    <t>9/22/2025 10:04 AM</t>
  </si>
  <si>
    <t>AAPL261218C00130000</t>
  </si>
  <si>
    <t>AAPL261218C00135000</t>
  </si>
  <si>
    <t>AAPL261218C00140000</t>
  </si>
  <si>
    <t>AAPL261218C00145000</t>
  </si>
  <si>
    <t>AAPL261218C00150000</t>
  </si>
  <si>
    <t>AAPL261218C00155000</t>
  </si>
  <si>
    <t>9/25/2025 10:02 AM</t>
  </si>
  <si>
    <t>AAPL261218C00160000</t>
  </si>
  <si>
    <t>9/30/2025 11:30 AM</t>
  </si>
  <si>
    <t>AAPL261218C00165000</t>
  </si>
  <si>
    <t>AAPL261218C00170000</t>
  </si>
  <si>
    <t>AAPL261218C00175000</t>
  </si>
  <si>
    <t>AAPL261218C00180000</t>
  </si>
  <si>
    <t>AAPL261218C00185000</t>
  </si>
  <si>
    <t>AAPL261218C00190000</t>
  </si>
  <si>
    <t>AAPL261218C00195000</t>
  </si>
  <si>
    <t>AAPL261218C00200000</t>
  </si>
  <si>
    <t>AAPL261218C00210000</t>
  </si>
  <si>
    <t>AAPL261218C00220000</t>
  </si>
  <si>
    <t>AAPL261218C00230000</t>
  </si>
  <si>
    <t>AAPL261218C00240000</t>
  </si>
  <si>
    <t>AAPL261218C00250000</t>
  </si>
  <si>
    <t>AAPL261218C00260000</t>
  </si>
  <si>
    <t>AAPL261218C00270000</t>
  </si>
  <si>
    <t>AAPL261218C00280000</t>
  </si>
  <si>
    <t>AAPL261218C00290000</t>
  </si>
  <si>
    <t>AAPL261218C00300000</t>
  </si>
  <si>
    <t>AAPL261218C00310000</t>
  </si>
  <si>
    <t>AAPL261218C00320000</t>
  </si>
  <si>
    <t>AAPL261218C00330000</t>
  </si>
  <si>
    <t>AAPL261218C00340000</t>
  </si>
  <si>
    <t>AAPL261218C00350000</t>
  </si>
  <si>
    <t>AAPL261218C00360000</t>
  </si>
  <si>
    <t>AAPL261218C00370000</t>
  </si>
  <si>
    <t>AAPL261218C00380000</t>
  </si>
  <si>
    <t>9/25/2025 3:20 PM</t>
  </si>
  <si>
    <t>AAPL261218C00390000</t>
  </si>
  <si>
    <t>AAPL261218C00400000</t>
  </si>
  <si>
    <t>AAPL261218C00410000</t>
  </si>
  <si>
    <t>AAPL261218C00420000</t>
  </si>
  <si>
    <t>AAPL261218C00430000</t>
  </si>
  <si>
    <t>AAPL261218C00440000</t>
  </si>
  <si>
    <t>AAPL261218C00450000</t>
  </si>
  <si>
    <t>AAPL261218P00005000</t>
  </si>
  <si>
    <t>9/29/2025 11:14 AM</t>
  </si>
  <si>
    <t>AAPL261218P00010000</t>
  </si>
  <si>
    <t>9/17/2025 12:08 PM</t>
  </si>
  <si>
    <t>AAPL261218P00015000</t>
  </si>
  <si>
    <t>9/30/2025 12:56 PM</t>
  </si>
  <si>
    <t>AAPL261218P00020000</t>
  </si>
  <si>
    <t>AAPL261218P00025000</t>
  </si>
  <si>
    <t>AAPL261218P00030000</t>
  </si>
  <si>
    <t>AAPL261218P00035000</t>
  </si>
  <si>
    <t>AAPL261218P00040000</t>
  </si>
  <si>
    <t>9/17/2025 12:10 PM</t>
  </si>
  <si>
    <t>AAPL261218P00045000</t>
  </si>
  <si>
    <t>9/17/2025 12:11 PM</t>
  </si>
  <si>
    <t>AAPL261218P00050000</t>
  </si>
  <si>
    <t>AAPL261218P00060000</t>
  </si>
  <si>
    <t>9/18/2025 9:33 AM</t>
  </si>
  <si>
    <t>AAPL261218P00070000</t>
  </si>
  <si>
    <t>9/17/2025 12:13 PM</t>
  </si>
  <si>
    <t>AAPL261218P00080000</t>
  </si>
  <si>
    <t>AAPL261218P00085000</t>
  </si>
  <si>
    <t>9/29/2025 10:46 AM</t>
  </si>
  <si>
    <t>AAPL261218P00090000</t>
  </si>
  <si>
    <t>9/22/2025 3:43 PM</t>
  </si>
  <si>
    <t>AAPL261218P00095000</t>
  </si>
  <si>
    <t>AAPL261218P00100000</t>
  </si>
  <si>
    <t>AAPL261218P00105000</t>
  </si>
  <si>
    <t>AAPL261218P00110000</t>
  </si>
  <si>
    <t>AAPL261218P00115000</t>
  </si>
  <si>
    <t>AAPL261218P00120000</t>
  </si>
  <si>
    <t>AAPL261218P00125000</t>
  </si>
  <si>
    <t>AAPL261218P00130000</t>
  </si>
  <si>
    <t>AAPL261218P00135000</t>
  </si>
  <si>
    <t>AAPL261218P00140000</t>
  </si>
  <si>
    <t>AAPL261218P00145000</t>
  </si>
  <si>
    <t>AAPL261218P00150000</t>
  </si>
  <si>
    <t>AAPL261218P00155000</t>
  </si>
  <si>
    <t>AAPL261218P00160000</t>
  </si>
  <si>
    <t>AAPL261218P00165000</t>
  </si>
  <si>
    <t>AAPL261218P00170000</t>
  </si>
  <si>
    <t>AAPL261218P00175000</t>
  </si>
  <si>
    <t>9/30/2025 1:29 PM</t>
  </si>
  <si>
    <t>AAPL261218P00180000</t>
  </si>
  <si>
    <t>AAPL261218P00185000</t>
  </si>
  <si>
    <t>AAPL261218P00190000</t>
  </si>
  <si>
    <t>AAPL261218P00195000</t>
  </si>
  <si>
    <t>AAPL261218P00200000</t>
  </si>
  <si>
    <t>AAPL261218P00210000</t>
  </si>
  <si>
    <t>AAPL261218P00220000</t>
  </si>
  <si>
    <t>AAPL261218P00230000</t>
  </si>
  <si>
    <t>AAPL261218P00240000</t>
  </si>
  <si>
    <t>AAPL261218P00250000</t>
  </si>
  <si>
    <t>AAPL261218P00260000</t>
  </si>
  <si>
    <t>AAPL261218P00270000</t>
  </si>
  <si>
    <t>AAPL261218P00280000</t>
  </si>
  <si>
    <t>AAPL261218P00290000</t>
  </si>
  <si>
    <t>AAPL261218P00300000</t>
  </si>
  <si>
    <t>AAPL261218P00310000</t>
  </si>
  <si>
    <t>AAPL261218P00320000</t>
  </si>
  <si>
    <t>AAPL261218P00330000</t>
  </si>
  <si>
    <t>9/30/2025 12:55 PM</t>
  </si>
  <si>
    <t>AAPL261218P00340000</t>
  </si>
  <si>
    <t>9/19/2025 10:56 AM</t>
  </si>
  <si>
    <t>AAPL261218P00350000</t>
  </si>
  <si>
    <t>9/19/2025 12:54 PM</t>
  </si>
  <si>
    <t>AAPL261218P00360000</t>
  </si>
  <si>
    <t>AAPL261218P00380000</t>
  </si>
  <si>
    <t>AAPL261218P00390000</t>
  </si>
  <si>
    <t>AAPL261218P00400000</t>
  </si>
  <si>
    <t>9/22/2025 10:47 AM</t>
  </si>
  <si>
    <t>AAPL261218P00410000</t>
  </si>
  <si>
    <t>AAPL261218P00440000</t>
  </si>
  <si>
    <t>AAPL261218P00450000</t>
  </si>
  <si>
    <t>9/25/2025 3:24 PM</t>
  </si>
  <si>
    <t>AAPL270115C00005000</t>
  </si>
  <si>
    <t>AAPL270115C00010000</t>
  </si>
  <si>
    <t>9/15/2025 2:16 PM</t>
  </si>
  <si>
    <t>AAPL270115C00015000</t>
  </si>
  <si>
    <t>AAPL270115C00020000</t>
  </si>
  <si>
    <t>8/14/2025 11:05 AM</t>
  </si>
  <si>
    <t>AAPL270115C00025000</t>
  </si>
  <si>
    <t>5/23/2025 1:36 PM</t>
  </si>
  <si>
    <t>AAPL270115C00030000</t>
  </si>
  <si>
    <t>AAPL270115C00035000</t>
  </si>
  <si>
    <t>AAPL270115C00040000</t>
  </si>
  <si>
    <t>AAPL270115C00045000</t>
  </si>
  <si>
    <t>AAPL270115C00050000</t>
  </si>
  <si>
    <t>9/22/2025 1:58 PM</t>
  </si>
  <si>
    <t>AAPL270115C00060000</t>
  </si>
  <si>
    <t>9/26/2025 1:13 PM</t>
  </si>
  <si>
    <t>AAPL270115C00070000</t>
  </si>
  <si>
    <t>9/16/2025 3:48 PM</t>
  </si>
  <si>
    <t>AAPL270115C00080000</t>
  </si>
  <si>
    <t>9/18/2025 11:48 AM</t>
  </si>
  <si>
    <t>AAPL270115C00085000</t>
  </si>
  <si>
    <t>6/18/2025 12:08 PM</t>
  </si>
  <si>
    <t>AAPL270115C00090000</t>
  </si>
  <si>
    <t>9/18/2025 1:14 PM</t>
  </si>
  <si>
    <t>AAPL270115C00095000</t>
  </si>
  <si>
    <t>AAPL270115C00100000</t>
  </si>
  <si>
    <t>AAPL270115C00105000</t>
  </si>
  <si>
    <t>9/25/2025 12:05 PM</t>
  </si>
  <si>
    <t>AAPL270115C00110000</t>
  </si>
  <si>
    <t>AAPL270115C00115000</t>
  </si>
  <si>
    <t>9/29/2025 1:28 PM</t>
  </si>
  <si>
    <t>AAPL270115C00120000</t>
  </si>
  <si>
    <t>9/22/2025 2:44 PM</t>
  </si>
  <si>
    <t>AAPL270115C00125000</t>
  </si>
  <si>
    <t>9/23/2025 1:09 PM</t>
  </si>
  <si>
    <t>AAPL270115C00130000</t>
  </si>
  <si>
    <t>9/26/2025 9:46 AM</t>
  </si>
  <si>
    <t>AAPL270115C00135000</t>
  </si>
  <si>
    <t>9/26/2025 11:07 AM</t>
  </si>
  <si>
    <t>AAPL270115C00140000</t>
  </si>
  <si>
    <t>9/24/2025 2:14 PM</t>
  </si>
  <si>
    <t>AAPL270115C00145000</t>
  </si>
  <si>
    <t>AAPL270115C00150000</t>
  </si>
  <si>
    <t>AAPL270115C00155000</t>
  </si>
  <si>
    <t>AAPL270115C00160000</t>
  </si>
  <si>
    <t>AAPL270115C00165000</t>
  </si>
  <si>
    <t>AAPL270115C00170000</t>
  </si>
  <si>
    <t>AAPL270115C00175000</t>
  </si>
  <si>
    <t>AAPL270115C00180000</t>
  </si>
  <si>
    <t>AAPL270115C00185000</t>
  </si>
  <si>
    <t>AAPL270115C00190000</t>
  </si>
  <si>
    <t>AAPL270115C00195000</t>
  </si>
  <si>
    <t>AAPL270115C00200000</t>
  </si>
  <si>
    <t>AAPL270115C00210000</t>
  </si>
  <si>
    <t>AAPL270115C00220000</t>
  </si>
  <si>
    <t>AAPL270115C00230000</t>
  </si>
  <si>
    <t>AAPL270115C00240000</t>
  </si>
  <si>
    <t>AAPL270115C00250000</t>
  </si>
  <si>
    <t>AAPL270115C00260000</t>
  </si>
  <si>
    <t>AAPL270115C00270000</t>
  </si>
  <si>
    <t>AAPL270115C00280000</t>
  </si>
  <si>
    <t>AAPL270115C00290000</t>
  </si>
  <si>
    <t>AAPL270115C00300000</t>
  </si>
  <si>
    <t>AAPL270115C00310000</t>
  </si>
  <si>
    <t>AAPL270115C00320000</t>
  </si>
  <si>
    <t>AAPL270115C00330000</t>
  </si>
  <si>
    <t>AAPL270115C00340000</t>
  </si>
  <si>
    <t>AAPL270115C00350000</t>
  </si>
  <si>
    <t>AAPL270115C00360000</t>
  </si>
  <si>
    <t>AAPL270115C00370000</t>
  </si>
  <si>
    <t>AAPL270115C00380000</t>
  </si>
  <si>
    <t>AAPL270115C00390000</t>
  </si>
  <si>
    <t>AAPL270115C00400000</t>
  </si>
  <si>
    <t>AAPL270115C00410000</t>
  </si>
  <si>
    <t>AAPL270115C00420000</t>
  </si>
  <si>
    <t>AAPL270115C00430000</t>
  </si>
  <si>
    <t>AAPL270115C00440000</t>
  </si>
  <si>
    <t>AAPL270115C00450000</t>
  </si>
  <si>
    <t>AAPL270115P00005000</t>
  </si>
  <si>
    <t>9/30/2025 11:45 AM</t>
  </si>
  <si>
    <t>AAPL270115P00010000</t>
  </si>
  <si>
    <t>AAPL270115P00015000</t>
  </si>
  <si>
    <t>AAPL270115P00020000</t>
  </si>
  <si>
    <t>AAPL270115P00025000</t>
  </si>
  <si>
    <t>AAPL270115P00030000</t>
  </si>
  <si>
    <t>9/18/2025 2:28 PM</t>
  </si>
  <si>
    <t>AAPL270115P00035000</t>
  </si>
  <si>
    <t>AAPL270115P00040000</t>
  </si>
  <si>
    <t>9/23/2025 10:35 AM</t>
  </si>
  <si>
    <t>AAPL270115P00045000</t>
  </si>
  <si>
    <t>9/18/2025 2:29 PM</t>
  </si>
  <si>
    <t>AAPL270115P00050000</t>
  </si>
  <si>
    <t>9/23/2025 1:19 PM</t>
  </si>
  <si>
    <t>AAPL270115P00060000</t>
  </si>
  <si>
    <t>9/23/2025 12:11 PM</t>
  </si>
  <si>
    <t>AAPL270115P00070000</t>
  </si>
  <si>
    <t>9/25/2025 3:36 PM</t>
  </si>
  <si>
    <t>AAPL270115P00080000</t>
  </si>
  <si>
    <t>9/24/2025 12:32 PM</t>
  </si>
  <si>
    <t>AAPL270115P00085000</t>
  </si>
  <si>
    <t>9/24/2025 12:33 PM</t>
  </si>
  <si>
    <t>AAPL270115P00090000</t>
  </si>
  <si>
    <t>9/29/2025 10:15 AM</t>
  </si>
  <si>
    <t>AAPL270115P00095000</t>
  </si>
  <si>
    <t>9/18/2025 2:32 PM</t>
  </si>
  <si>
    <t>AAPL270115P00100000</t>
  </si>
  <si>
    <t>AAPL270115P00105000</t>
  </si>
  <si>
    <t>AAPL270115P00110000</t>
  </si>
  <si>
    <t>9/26/2025 10:38 AM</t>
  </si>
  <si>
    <t>AAPL270115P00115000</t>
  </si>
  <si>
    <t>9/29/2025 9:50 AM</t>
  </si>
  <si>
    <t>AAPL270115P00120000</t>
  </si>
  <si>
    <t>AAPL270115P00125000</t>
  </si>
  <si>
    <t>AAPL270115P00130000</t>
  </si>
  <si>
    <t>AAPL270115P00135000</t>
  </si>
  <si>
    <t>AAPL270115P00140000</t>
  </si>
  <si>
    <t>AAPL270115P00145000</t>
  </si>
  <si>
    <t>AAPL270115P00150000</t>
  </si>
  <si>
    <t>AAPL270115P00155000</t>
  </si>
  <si>
    <t>AAPL270115P00160000</t>
  </si>
  <si>
    <t>AAPL270115P00165000</t>
  </si>
  <si>
    <t>AAPL270115P00170000</t>
  </si>
  <si>
    <t>AAPL270115P00175000</t>
  </si>
  <si>
    <t>AAPL270115P00180000</t>
  </si>
  <si>
    <t>AAPL270115P00185000</t>
  </si>
  <si>
    <t>AAPL270115P00190000</t>
  </si>
  <si>
    <t>AAPL270115P00195000</t>
  </si>
  <si>
    <t>AAPL270115P00200000</t>
  </si>
  <si>
    <t>AAPL270115P00210000</t>
  </si>
  <si>
    <t>AAPL270115P00220000</t>
  </si>
  <si>
    <t>AAPL270115P00230000</t>
  </si>
  <si>
    <t>AAPL270115P00240000</t>
  </si>
  <si>
    <t>AAPL270115P00250000</t>
  </si>
  <si>
    <t>AAPL270115P00260000</t>
  </si>
  <si>
    <t>AAPL270115P00270000</t>
  </si>
  <si>
    <t>AAPL270115P00280000</t>
  </si>
  <si>
    <t>AAPL270115P00290000</t>
  </si>
  <si>
    <t>AAPL270115P00300000</t>
  </si>
  <si>
    <t>AAPL270115P00310000</t>
  </si>
  <si>
    <t>AAPL270115P00320000</t>
  </si>
  <si>
    <t>AAPL270115P00330000</t>
  </si>
  <si>
    <t>AAPL270115P00340000</t>
  </si>
  <si>
    <t>AAPL270115P00350000</t>
  </si>
  <si>
    <t>AAPL270115P00370000</t>
  </si>
  <si>
    <t>AAPL270115P00390000</t>
  </si>
  <si>
    <t>AAPL270115P00400000</t>
  </si>
  <si>
    <t>AAPL270115P00410000</t>
  </si>
  <si>
    <t>AAPL270115P00420000</t>
  </si>
  <si>
    <t>9/22/2025 11:20 AM</t>
  </si>
  <si>
    <t>AAPL270115P00430000</t>
  </si>
  <si>
    <t>11/14/2024 11:22 AM</t>
  </si>
  <si>
    <t>AAPL270115P00440000</t>
  </si>
  <si>
    <t>7/31/2025 9:57 AM</t>
  </si>
  <si>
    <t>AAPL270115P00450000</t>
  </si>
  <si>
    <t>AAPL270617C00050000</t>
  </si>
  <si>
    <t>9/24/2025 10:05 AM</t>
  </si>
  <si>
    <t>AAPL270617C00055000</t>
  </si>
  <si>
    <t>AAPL270617C00060000</t>
  </si>
  <si>
    <t>8/21/2025 12:52 PM</t>
  </si>
  <si>
    <t>AAPL270617C00065000</t>
  </si>
  <si>
    <t>9/29/2025 3:37 PM</t>
  </si>
  <si>
    <t>AAPL270617C00070000</t>
  </si>
  <si>
    <t>AAPL270617C00075000</t>
  </si>
  <si>
    <t>7/21/2025 12:21 PM</t>
  </si>
  <si>
    <t>AAPL270617C00080000</t>
  </si>
  <si>
    <t>9/23/2025 12:22 PM</t>
  </si>
  <si>
    <t>AAPL270617C00085000</t>
  </si>
  <si>
    <t>AAPL270617C00090000</t>
  </si>
  <si>
    <t>7/30/2025 1:14 PM</t>
  </si>
  <si>
    <t>AAPL270617C00095000</t>
  </si>
  <si>
    <t>9/22/2025 2:01 PM</t>
  </si>
  <si>
    <t>AAPL270617C00100000</t>
  </si>
  <si>
    <t>AAPL270617C00105000</t>
  </si>
  <si>
    <t>9/22/2025 10:51 AM</t>
  </si>
  <si>
    <t>AAPL270617C00110000</t>
  </si>
  <si>
    <t>AAPL270617C00115000</t>
  </si>
  <si>
    <t>9/23/2025 11:26 AM</t>
  </si>
  <si>
    <t>AAPL270617C00120000</t>
  </si>
  <si>
    <t>AAPL270617C00125000</t>
  </si>
  <si>
    <t>9/22/2025 3:57 PM</t>
  </si>
  <si>
    <t>AAPL270617C00130000</t>
  </si>
  <si>
    <t>9/26/2025 11:36 AM</t>
  </si>
  <si>
    <t>AAPL270617C00135000</t>
  </si>
  <si>
    <t>9/25/2025 1:13 PM</t>
  </si>
  <si>
    <t>AAPL270617C00140000</t>
  </si>
  <si>
    <t>9/22/2025 2:02 PM</t>
  </si>
  <si>
    <t>AAPL270617C00145000</t>
  </si>
  <si>
    <t>AAPL270617C00150000</t>
  </si>
  <si>
    <t>AAPL270617C00155000</t>
  </si>
  <si>
    <t>AAPL270617C00160000</t>
  </si>
  <si>
    <t>9/25/2025 11:17 AM</t>
  </si>
  <si>
    <t>AAPL270617C00165000</t>
  </si>
  <si>
    <t>AAPL270617C00170000</t>
  </si>
  <si>
    <t>AAPL270617C00175000</t>
  </si>
  <si>
    <t>AAPL270617C00180000</t>
  </si>
  <si>
    <t>AAPL270617C00185000</t>
  </si>
  <si>
    <t>AAPL270617C00190000</t>
  </si>
  <si>
    <t>AAPL270617C00195000</t>
  </si>
  <si>
    <t>AAPL270617C00200000</t>
  </si>
  <si>
    <t>AAPL270617C00210000</t>
  </si>
  <si>
    <t>AAPL270617C00220000</t>
  </si>
  <si>
    <t>AAPL270617C00230000</t>
  </si>
  <si>
    <t>AAPL270617C00240000</t>
  </si>
  <si>
    <t>AAPL270617C00250000</t>
  </si>
  <si>
    <t>AAPL270617C00260000</t>
  </si>
  <si>
    <t>AAPL270617C00270000</t>
  </si>
  <si>
    <t>AAPL270617C00280000</t>
  </si>
  <si>
    <t>AAPL270617C00290000</t>
  </si>
  <si>
    <t>AAPL270617C00300000</t>
  </si>
  <si>
    <t>AAPL270617C00310000</t>
  </si>
  <si>
    <t>AAPL270617C00320000</t>
  </si>
  <si>
    <t>AAPL270617C00330000</t>
  </si>
  <si>
    <t>AAPL270617C00340000</t>
  </si>
  <si>
    <t>AAPL270617C00350000</t>
  </si>
  <si>
    <t>AAPL270617C00360000</t>
  </si>
  <si>
    <t>AAPL270617C00370000</t>
  </si>
  <si>
    <t>AAPL270617C00380000</t>
  </si>
  <si>
    <t>AAPL270617C00390000</t>
  </si>
  <si>
    <t>AAPL270617C00400000</t>
  </si>
  <si>
    <t>AAPL270617C00410000</t>
  </si>
  <si>
    <t>AAPL270617C00420000</t>
  </si>
  <si>
    <t>AAPL270617C00430000</t>
  </si>
  <si>
    <t>AAPL270617C00440000</t>
  </si>
  <si>
    <t>AAPL270617C00450000</t>
  </si>
  <si>
    <t>AAPL270617P00050000</t>
  </si>
  <si>
    <t>9/30/2025 11:29 AM</t>
  </si>
  <si>
    <t>AAPL270617P00055000</t>
  </si>
  <si>
    <t>AAPL270617P00060000</t>
  </si>
  <si>
    <t>9/24/2025 10:08 AM</t>
  </si>
  <si>
    <t>AAPL270617P00065000</t>
  </si>
  <si>
    <t>8/25/2025 1:07 PM</t>
  </si>
  <si>
    <t>AAPL270617P00070000</t>
  </si>
  <si>
    <t>9/24/2025 10:33 AM</t>
  </si>
  <si>
    <t>AAPL270617P00075000</t>
  </si>
  <si>
    <t>AAPL270617P00080000</t>
  </si>
  <si>
    <t>9/26/2025 11:50 AM</t>
  </si>
  <si>
    <t>AAPL270617P00085000</t>
  </si>
  <si>
    <t>9/23/2025 1:23 PM</t>
  </si>
  <si>
    <t>AAPL270617P00090000</t>
  </si>
  <si>
    <t>9/25/2025 11:00 AM</t>
  </si>
  <si>
    <t>AAPL270617P00095000</t>
  </si>
  <si>
    <t>9/24/2025 9:59 AM</t>
  </si>
  <si>
    <t>AAPL270617P00100000</t>
  </si>
  <si>
    <t>AAPL270617P00105000</t>
  </si>
  <si>
    <t>9/29/2025 10:08 AM</t>
  </si>
  <si>
    <t>AAPL270617P00110000</t>
  </si>
  <si>
    <t>AAPL270617P00115000</t>
  </si>
  <si>
    <t>AAPL270617P00120000</t>
  </si>
  <si>
    <t>AAPL270617P00125000</t>
  </si>
  <si>
    <t>9/30/2025 2:16 PM</t>
  </si>
  <si>
    <t>AAPL270617P00130000</t>
  </si>
  <si>
    <t>9/30/2025 2:23 PM</t>
  </si>
  <si>
    <t>AAPL270617P00135000</t>
  </si>
  <si>
    <t>AAPL270617P00140000</t>
  </si>
  <si>
    <t>AAPL270617P00145000</t>
  </si>
  <si>
    <t>AAPL270617P00150000</t>
  </si>
  <si>
    <t>9/29/2025 3:40 PM</t>
  </si>
  <si>
    <t>AAPL270617P00155000</t>
  </si>
  <si>
    <t>AAPL270617P00160000</t>
  </si>
  <si>
    <t>AAPL270617P00165000</t>
  </si>
  <si>
    <t>AAPL270617P00170000</t>
  </si>
  <si>
    <t>AAPL270617P00175000</t>
  </si>
  <si>
    <t>AAPL270617P00180000</t>
  </si>
  <si>
    <t>AAPL270617P00185000</t>
  </si>
  <si>
    <t>AAPL270617P00190000</t>
  </si>
  <si>
    <t>AAPL270617P00195000</t>
  </si>
  <si>
    <t>AAPL270617P00200000</t>
  </si>
  <si>
    <t>AAPL270617P00210000</t>
  </si>
  <si>
    <t>AAPL270617P00220000</t>
  </si>
  <si>
    <t>AAPL270617P00230000</t>
  </si>
  <si>
    <t>AAPL270617P00240000</t>
  </si>
  <si>
    <t>AAPL270617P00250000</t>
  </si>
  <si>
    <t>AAPL270617P00260000</t>
  </si>
  <si>
    <t>AAPL270617P00270000</t>
  </si>
  <si>
    <t>AAPL270617P00280000</t>
  </si>
  <si>
    <t>AAPL270617P00290000</t>
  </si>
  <si>
    <t>AAPL270617P00300000</t>
  </si>
  <si>
    <t>AAPL270617P00310000</t>
  </si>
  <si>
    <t>AAPL270617P00320000</t>
  </si>
  <si>
    <t>AAPL270617P00330000</t>
  </si>
  <si>
    <t>AAPL270617P00340000</t>
  </si>
  <si>
    <t>9/26/2025 11:35 AM</t>
  </si>
  <si>
    <t>AAPL270617P00350000</t>
  </si>
  <si>
    <t>2/21/2025 10:53 AM</t>
  </si>
  <si>
    <t>AAPL270617P00360000</t>
  </si>
  <si>
    <t>AAPL270617P00380000</t>
  </si>
  <si>
    <t>5/22/2025 2:40 PM</t>
  </si>
  <si>
    <t>AAPL270617P00390000</t>
  </si>
  <si>
    <t>2/19/2025 12:07 PM</t>
  </si>
  <si>
    <t>AAPL270617P00400000</t>
  </si>
  <si>
    <t>6/23/2025 2:14 PM</t>
  </si>
  <si>
    <t>AAPL270617P00410000</t>
  </si>
  <si>
    <t>2/14/2025 9:39 AM</t>
  </si>
  <si>
    <t>AAPL270617P00420000</t>
  </si>
  <si>
    <t>9/22/2025 12:00 PM</t>
  </si>
  <si>
    <t>AAPL270617P00430000</t>
  </si>
  <si>
    <t>AAPL270617P00440000</t>
  </si>
  <si>
    <t>AAPL270617P00450000</t>
  </si>
  <si>
    <t>AAPL271217C00050000</t>
  </si>
  <si>
    <t>9/23/2025 9:49 AM</t>
  </si>
  <si>
    <t>AAPL271217C00055000</t>
  </si>
  <si>
    <t>9/22/2025 2:32 PM</t>
  </si>
  <si>
    <t>AAPL271217C00060000</t>
  </si>
  <si>
    <t>9/22/2025 2:43 PM</t>
  </si>
  <si>
    <t>AAPL271217C00065000</t>
  </si>
  <si>
    <t>AAPL271217C00070000</t>
  </si>
  <si>
    <t>AAPL271217C00075000</t>
  </si>
  <si>
    <t>AAPL271217C00080000</t>
  </si>
  <si>
    <t>9/26/2025 9:44 AM</t>
  </si>
  <si>
    <t>AAPL271217C00085000</t>
  </si>
  <si>
    <t>9/19/2025 12:43 PM</t>
  </si>
  <si>
    <t>AAPL271217C00090000</t>
  </si>
  <si>
    <t>AAPL271217C00095000</t>
  </si>
  <si>
    <t>AAPL271217C00100000</t>
  </si>
  <si>
    <t>AAPL271217C00105000</t>
  </si>
  <si>
    <t>9/30/2025 9:55 AM</t>
  </si>
  <si>
    <t>AAPL271217C00110000</t>
  </si>
  <si>
    <t>9/22/2025 3:04 PM</t>
  </si>
  <si>
    <t>AAPL271217C00115000</t>
  </si>
  <si>
    <t>9/24/2025 2:38 PM</t>
  </si>
  <si>
    <t>AAPL271217C00120000</t>
  </si>
  <si>
    <t>AAPL271217C00125000</t>
  </si>
  <si>
    <t>AAPL271217C00130000</t>
  </si>
  <si>
    <t>AAPL271217C00135000</t>
  </si>
  <si>
    <t>AAPL271217C00140000</t>
  </si>
  <si>
    <t>AAPL271217C00145000</t>
  </si>
  <si>
    <t>9/29/2025 3:59 PM</t>
  </si>
  <si>
    <t>AAPL271217C00150000</t>
  </si>
  <si>
    <t>AAPL271217C00155000</t>
  </si>
  <si>
    <t>AAPL271217C00160000</t>
  </si>
  <si>
    <t>AAPL271217C00165000</t>
  </si>
  <si>
    <t>AAPL271217C00170000</t>
  </si>
  <si>
    <t>9/29/2025 10:23 AM</t>
  </si>
  <si>
    <t>AAPL271217C00175000</t>
  </si>
  <si>
    <t>AAPL271217C00180000</t>
  </si>
  <si>
    <t>AAPL271217C00185000</t>
  </si>
  <si>
    <t>AAPL271217C00190000</t>
  </si>
  <si>
    <t>AAPL271217C00195000</t>
  </si>
  <si>
    <t>AAPL271217C00200000</t>
  </si>
  <si>
    <t>AAPL271217C00205000</t>
  </si>
  <si>
    <t>AAPL271217C00210000</t>
  </si>
  <si>
    <t>AAPL271217C00215000</t>
  </si>
  <si>
    <t>AAPL271217C00220000</t>
  </si>
  <si>
    <t>AAPL271217C00225000</t>
  </si>
  <si>
    <t>AAPL271217C00230000</t>
  </si>
  <si>
    <t>AAPL271217C00235000</t>
  </si>
  <si>
    <t>AAPL271217C00240000</t>
  </si>
  <si>
    <t>AAPL271217C00245000</t>
  </si>
  <si>
    <t>AAPL271217C00250000</t>
  </si>
  <si>
    <t>AAPL271217C00255000</t>
  </si>
  <si>
    <t>AAPL271217C00260000</t>
  </si>
  <si>
    <t>AAPL271217C00265000</t>
  </si>
  <si>
    <t>AAPL271217C00270000</t>
  </si>
  <si>
    <t>AAPL271217C00275000</t>
  </si>
  <si>
    <t>AAPL271217C00280000</t>
  </si>
  <si>
    <t>AAPL271217C00285000</t>
  </si>
  <si>
    <t>AAPL271217C00290000</t>
  </si>
  <si>
    <t>AAPL271217C00295000</t>
  </si>
  <si>
    <t>AAPL271217C00300000</t>
  </si>
  <si>
    <t>AAPL271217C00305000</t>
  </si>
  <si>
    <t>AAPL271217C00310000</t>
  </si>
  <si>
    <t>AAPL271217C00315000</t>
  </si>
  <si>
    <t>AAPL271217C00320000</t>
  </si>
  <si>
    <t>AAPL271217C00325000</t>
  </si>
  <si>
    <t>AAPL271217C00330000</t>
  </si>
  <si>
    <t>AAPL271217C00335000</t>
  </si>
  <si>
    <t>AAPL271217C00340000</t>
  </si>
  <si>
    <t>AAPL271217C00345000</t>
  </si>
  <si>
    <t>AAPL271217C00350000</t>
  </si>
  <si>
    <t>AAPL271217C00355000</t>
  </si>
  <si>
    <t>AAPL271217C00360000</t>
  </si>
  <si>
    <t>AAPL271217C00365000</t>
  </si>
  <si>
    <t>9/30/2025 11:26 AM</t>
  </si>
  <si>
    <t>AAPL271217C00370000</t>
  </si>
  <si>
    <t>AAPL271217C00375000</t>
  </si>
  <si>
    <t>AAPL271217C00380000</t>
  </si>
  <si>
    <t>AAPL271217C00385000</t>
  </si>
  <si>
    <t>AAPL271217C00390000</t>
  </si>
  <si>
    <t>AAPL271217C00395000</t>
  </si>
  <si>
    <t>AAPL271217C00400000</t>
  </si>
  <si>
    <t>AAPL271217C00405000</t>
  </si>
  <si>
    <t>AAPL271217C00410000</t>
  </si>
  <si>
    <t>AAPL271217C00415000</t>
  </si>
  <si>
    <t>AAPL271217C00420000</t>
  </si>
  <si>
    <t>AAPL271217C00425000</t>
  </si>
  <si>
    <t>AAPL271217C00430000</t>
  </si>
  <si>
    <t>AAPL271217C00435000</t>
  </si>
  <si>
    <t>AAPL271217C00440000</t>
  </si>
  <si>
    <t>AAPL271217P00050000</t>
  </si>
  <si>
    <t>AAPL271217P00055000</t>
  </si>
  <si>
    <t>AAPL271217P00060000</t>
  </si>
  <si>
    <t>9/18/2025 10:29 AM</t>
  </si>
  <si>
    <t>AAPL271217P00065000</t>
  </si>
  <si>
    <t>9/29/2025 10:16 AM</t>
  </si>
  <si>
    <t>AAPL271217P00070000</t>
  </si>
  <si>
    <t>9/22/2025 11:33 AM</t>
  </si>
  <si>
    <t>AAPL271217P00075000</t>
  </si>
  <si>
    <t>9/23/2025 3:33 PM</t>
  </si>
  <si>
    <t>AAPL271217P00080000</t>
  </si>
  <si>
    <t>9/29/2025 12:55 PM</t>
  </si>
  <si>
    <t>AAPL271217P00085000</t>
  </si>
  <si>
    <t>AAPL271217P00090000</t>
  </si>
  <si>
    <t>9/24/2025 12:55 PM</t>
  </si>
  <si>
    <t>AAPL271217P00095000</t>
  </si>
  <si>
    <t>9/18/2025 11:20 AM</t>
  </si>
  <si>
    <t>AAPL271217P00100000</t>
  </si>
  <si>
    <t>AAPL271217P00105000</t>
  </si>
  <si>
    <t>9/24/2025 12:28 PM</t>
  </si>
  <si>
    <t>AAPL271217P00110000</t>
  </si>
  <si>
    <t>AAPL271217P00115000</t>
  </si>
  <si>
    <t>AAPL271217P00120000</t>
  </si>
  <si>
    <t>AAPL271217P00125000</t>
  </si>
  <si>
    <t>AAPL271217P00130000</t>
  </si>
  <si>
    <t>AAPL271217P00135000</t>
  </si>
  <si>
    <t>AAPL271217P00140000</t>
  </si>
  <si>
    <t>AAPL271217P00145000</t>
  </si>
  <si>
    <t>AAPL271217P00150000</t>
  </si>
  <si>
    <t>AAPL271217P00155000</t>
  </si>
  <si>
    <t>9/22/2025 11:03 AM</t>
  </si>
  <si>
    <t>AAPL271217P00160000</t>
  </si>
  <si>
    <t>AAPL271217P00165000</t>
  </si>
  <si>
    <t>AAPL271217P00170000</t>
  </si>
  <si>
    <t>AAPL271217P00175000</t>
  </si>
  <si>
    <t>AAPL271217P00180000</t>
  </si>
  <si>
    <t>AAPL271217P00185000</t>
  </si>
  <si>
    <t>AAPL271217P00190000</t>
  </si>
  <si>
    <t>AAPL271217P00195000</t>
  </si>
  <si>
    <t>AAPL271217P00200000</t>
  </si>
  <si>
    <t>AAPL271217P00205000</t>
  </si>
  <si>
    <t>AAPL271217P00210000</t>
  </si>
  <si>
    <t>AAPL271217P00215000</t>
  </si>
  <si>
    <t>AAPL271217P00220000</t>
  </si>
  <si>
    <t>AAPL271217P00225000</t>
  </si>
  <si>
    <t>AAPL271217P00230000</t>
  </si>
  <si>
    <t>AAPL271217P00235000</t>
  </si>
  <si>
    <t>AAPL271217P00240000</t>
  </si>
  <si>
    <t>AAPL271217P00245000</t>
  </si>
  <si>
    <t>AAPL271217P00250000</t>
  </si>
  <si>
    <t>AAPL271217P00255000</t>
  </si>
  <si>
    <t>AAPL271217P00260000</t>
  </si>
  <si>
    <t>AAPL271217P00265000</t>
  </si>
  <si>
    <t>AAPL271217P00270000</t>
  </si>
  <si>
    <t>AAPL271217P00275000</t>
  </si>
  <si>
    <t>AAPL271217P00280000</t>
  </si>
  <si>
    <t>AAPL271217P00285000</t>
  </si>
  <si>
    <t>AAPL271217P00290000</t>
  </si>
  <si>
    <t>AAPL271217P00295000</t>
  </si>
  <si>
    <t>AAPL271217P00300000</t>
  </si>
  <si>
    <t>AAPL271217P00305000</t>
  </si>
  <si>
    <t>9/30/2025 1:06 PM</t>
  </si>
  <si>
    <t>AAPL271217P00310000</t>
  </si>
  <si>
    <t>AAPL271217P00315000</t>
  </si>
  <si>
    <t>9/30/2025 1:01 PM</t>
  </si>
  <si>
    <t>AAPL271217P00320000</t>
  </si>
  <si>
    <t>AAPL271217P00325000</t>
  </si>
  <si>
    <t>4/29/2025 2:29 PM</t>
  </si>
  <si>
    <t>AAPL271217P00330000</t>
  </si>
  <si>
    <t>AAPL271217P00350000</t>
  </si>
  <si>
    <t>9/25/2025 11:04 AM</t>
  </si>
  <si>
    <t>AAPL271217P00370000</t>
  </si>
  <si>
    <t>4/15/2025 12:23 PM</t>
  </si>
  <si>
    <t>AAPL271217P00380000</t>
  </si>
  <si>
    <t>9/15/2025 3:37 PM</t>
  </si>
  <si>
    <t>AAPL271217P00400000</t>
  </si>
  <si>
    <t>9/24/2025 9:44 AM</t>
  </si>
  <si>
    <t>AAPL271217P00435000</t>
  </si>
  <si>
    <t>5/14/2025 10:15 AM</t>
  </si>
  <si>
    <t>AAPL271217P00440000</t>
  </si>
  <si>
    <t>AAPL280121C00050000</t>
  </si>
  <si>
    <t>AAPL280121C00080000</t>
  </si>
  <si>
    <t>AAPL280121C00110000</t>
  </si>
  <si>
    <t>AAPL280121C00120000</t>
  </si>
  <si>
    <t>9/26/2025 2:03 PM</t>
  </si>
  <si>
    <t>AAPL280121C00135000</t>
  </si>
  <si>
    <t>AAPL280121C00150000</t>
  </si>
  <si>
    <t>AAPL280121C00155000</t>
  </si>
  <si>
    <t>9/24/2025 10:41 AM</t>
  </si>
  <si>
    <t>AAPL280121C00160000</t>
  </si>
  <si>
    <t>AAPL280121C00170000</t>
  </si>
  <si>
    <t>AAPL280121C00175000</t>
  </si>
  <si>
    <t>AAPL280121C00180000</t>
  </si>
  <si>
    <t>AAPL280121C00185000</t>
  </si>
  <si>
    <t>9/24/2025 10:37 AM</t>
  </si>
  <si>
    <t>AAPL280121C00190000</t>
  </si>
  <si>
    <t>AAPL280121C00195000</t>
  </si>
  <si>
    <t>AAPL280121C00200000</t>
  </si>
  <si>
    <t>AAPL280121C00210000</t>
  </si>
  <si>
    <t>AAPL280121C00220000</t>
  </si>
  <si>
    <t>AAPL280121C00230000</t>
  </si>
  <si>
    <t>AAPL280121C00240000</t>
  </si>
  <si>
    <t>AAPL280121C00250000</t>
  </si>
  <si>
    <t>AAPL280121C00260000</t>
  </si>
  <si>
    <t>AAPL280121C00270000</t>
  </si>
  <si>
    <t>AAPL280121C00280000</t>
  </si>
  <si>
    <t>AAPL280121C00290000</t>
  </si>
  <si>
    <t>AAPL280121C00300000</t>
  </si>
  <si>
    <t>AAPL280121C00310000</t>
  </si>
  <si>
    <t>AAPL280121C00320000</t>
  </si>
  <si>
    <t>AAPL280121C00330000</t>
  </si>
  <si>
    <t>AAPL280121C00340000</t>
  </si>
  <si>
    <t>AAPL280121C00350000</t>
  </si>
  <si>
    <t>AAPL280121C00360000</t>
  </si>
  <si>
    <t>AAPL280121C00370000</t>
  </si>
  <si>
    <t>AAPL280121C00380000</t>
  </si>
  <si>
    <t>AAPL280121C00390000</t>
  </si>
  <si>
    <t>AAPL280121C00400000</t>
  </si>
  <si>
    <t>AAPL280121C00420000</t>
  </si>
  <si>
    <t>AAPL280121C00440000</t>
  </si>
  <si>
    <t>AAPL280121C00450000</t>
  </si>
  <si>
    <t>AAPL280121P00060000</t>
  </si>
  <si>
    <t>9/29/2025 12:33 PM</t>
  </si>
  <si>
    <t>AAPL280121P00090000</t>
  </si>
  <si>
    <t>AAPL280121P00100000</t>
  </si>
  <si>
    <t>AAPL280121P00110000</t>
  </si>
  <si>
    <t>AAPL280121P00120000</t>
  </si>
  <si>
    <t>AAPL280121P00130000</t>
  </si>
  <si>
    <t>AAPL280121P00135000</t>
  </si>
  <si>
    <t>9/26/2025 1:50 PM</t>
  </si>
  <si>
    <t>AAPL280121P00140000</t>
  </si>
  <si>
    <t>AAPL280121P00145000</t>
  </si>
  <si>
    <t>9/29/2025 10:01 AM</t>
  </si>
  <si>
    <t>AAPL280121P00150000</t>
  </si>
  <si>
    <t>AAPL280121P00160000</t>
  </si>
  <si>
    <t>AAPL280121P00170000</t>
  </si>
  <si>
    <t>AAPL280121P00175000</t>
  </si>
  <si>
    <t>AAPL280121P00180000</t>
  </si>
  <si>
    <t>AAPL280121P00185000</t>
  </si>
  <si>
    <t>AAPL280121P00190000</t>
  </si>
  <si>
    <t>AAPL280121P00195000</t>
  </si>
  <si>
    <t>AAPL280121P00200000</t>
  </si>
  <si>
    <t>AAPL280121P00210000</t>
  </si>
  <si>
    <t>AAPL280121P00220000</t>
  </si>
  <si>
    <t>AAPL280121P00230000</t>
  </si>
  <si>
    <t>AAPL280121P00240000</t>
  </si>
  <si>
    <t>AAPL280121P00250000</t>
  </si>
  <si>
    <t>AAPL280121P00260000</t>
  </si>
  <si>
    <t>AAPL280121P00270000</t>
  </si>
  <si>
    <t>AAPL280121P00280000</t>
  </si>
  <si>
    <t>AAPL280121P00290000</t>
  </si>
  <si>
    <t>AAPL280121P00300000</t>
  </si>
  <si>
    <t>AAPL280121P00310000</t>
  </si>
  <si>
    <t>AAPL280121P00320000</t>
  </si>
  <si>
    <t>9/26/2025 10:36 AM</t>
  </si>
  <si>
    <t>AAPL280121P00330000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</si>
</sst>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rgb="FF00AA76"/>
      <name val="Arial"/>
      <family val="2"/>
    </font>
    <font>
      <sz val="11"/>
      <color rgb="FFFF4143"/>
      <name val="Arial"/>
      <family val="2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44766"/>
        <bgColor indexed="64"/>
      </patternFill>
    </fill>
    <fill>
      <patternFill patternType="solid">
        <fgColor rgb="FF363F44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5">
    <xf numFmtId="0" fontId="0" fillId="0" borderId="0" xfId="0"/>
    <xf numFmtId="0" fontId="4" fillId="2" borderId="0" xfId="1" applyFill="1" applyAlignment="1">
      <alignment horizontal="left" vertical="center" wrapText="1"/>
    </xf>
    <xf numFmtId="22" fontId="1" fillId="2" borderId="0" xfId="0" applyNumberFormat="1" applyFont="1" applyFill="1" applyAlignment="1">
      <alignment horizontal="right" vertical="center" wrapText="1"/>
    </xf>
    <xf numFmtId="0" fontId="4" fillId="2" borderId="0" xfId="1" applyFill="1" applyAlignment="1">
      <alignment horizontal="right" vertical="center" wrapText="1"/>
    </xf>
    <xf numFmtId="0" fontId="1" fillId="2" borderId="0" xfId="0" applyFont="1" applyFill="1" applyAlignment="1">
      <alignment horizontal="right" vertical="center" wrapText="1"/>
    </xf>
    <xf numFmtId="10" fontId="1" fillId="2" borderId="0" xfId="0" applyNumberFormat="1" applyFont="1" applyFill="1" applyAlignment="1">
      <alignment horizontal="right" vertical="center" wrapText="1"/>
    </xf>
    <xf numFmtId="0" fontId="2" fillId="2" borderId="0" xfId="0" applyFont="1" applyFill="1" applyAlignment="1">
      <alignment horizontal="right" vertical="center" wrapText="1"/>
    </xf>
    <xf numFmtId="10" fontId="2" fillId="2" borderId="0" xfId="0" applyNumberFormat="1" applyFont="1" applyFill="1" applyAlignment="1">
      <alignment horizontal="right" vertical="center" wrapText="1"/>
    </xf>
    <xf numFmtId="0" fontId="3" fillId="2" borderId="0" xfId="0" applyFont="1" applyFill="1" applyAlignment="1">
      <alignment horizontal="right" vertical="center" wrapText="1"/>
    </xf>
    <xf numFmtId="10" fontId="3" fillId="2" borderId="0" xfId="0" applyNumberFormat="1" applyFont="1" applyFill="1" applyAlignment="1">
      <alignment horizontal="right" vertical="center" wrapText="1"/>
    </xf>
    <xf numFmtId="3" fontId="1" fillId="2" borderId="0" xfId="0" applyNumberFormat="1" applyFont="1" applyFill="1" applyAlignment="1">
      <alignment horizontal="right" vertical="center" wrapText="1"/>
    </xf>
    <xf numFmtId="0" fontId="4" fillId="0" borderId="0" xfId="1" applyAlignment="1">
      <alignment horizontal="left" vertical="center" wrapText="1"/>
    </xf>
    <xf numFmtId="22" fontId="1" fillId="0" borderId="0" xfId="0" applyNumberFormat="1" applyFont="1" applyAlignment="1">
      <alignment horizontal="right" vertical="center" wrapText="1"/>
    </xf>
    <xf numFmtId="0" fontId="4" fillId="0" borderId="0" xfId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10" fontId="3" fillId="0" borderId="0" xfId="0" applyNumberFormat="1" applyFont="1" applyAlignment="1">
      <alignment horizontal="right" vertical="center" wrapText="1"/>
    </xf>
    <xf numFmtId="3" fontId="1" fillId="0" borderId="0" xfId="0" applyNumberFormat="1" applyFont="1" applyAlignment="1">
      <alignment horizontal="right" vertical="center" wrapText="1"/>
    </xf>
    <xf numFmtId="10" fontId="1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10" fontId="2" fillId="0" borderId="0" xfId="0" applyNumberFormat="1" applyFont="1" applyAlignment="1">
      <alignment horizontal="right" vertical="center" wrapText="1"/>
    </xf>
    <xf numFmtId="0" fontId="4" fillId="3" borderId="0" xfId="1" applyFill="1" applyAlignment="1">
      <alignment horizontal="left" vertical="center" wrapText="1"/>
    </xf>
    <xf numFmtId="0" fontId="1" fillId="3" borderId="0" xfId="0" applyFont="1" applyFill="1" applyAlignment="1">
      <alignment horizontal="right" vertical="center" wrapText="1"/>
    </xf>
    <xf numFmtId="0" fontId="4" fillId="3" borderId="0" xfId="1" applyFill="1" applyAlignment="1">
      <alignment horizontal="right" vertical="center" wrapText="1"/>
    </xf>
    <xf numFmtId="10" fontId="1" fillId="3" borderId="0" xfId="0" applyNumberFormat="1" applyFont="1" applyFill="1" applyAlignment="1">
      <alignment horizontal="right" vertical="center" wrapText="1"/>
    </xf>
    <xf numFmtId="0" fontId="5" fillId="0" borderId="0" xfId="0" applyFont="1" applyAlignment="1">
      <alignment vertical="center"/>
    </xf>
    <xf numFmtId="0" fontId="0" fillId="4" borderId="0" xfId="0" applyFill="1"/>
    <xf numFmtId="0" fontId="6" fillId="4" borderId="0" xfId="0" applyFont="1" applyFill="1" applyAlignment="1">
      <alignment vertical="center"/>
    </xf>
    <xf numFmtId="14" fontId="0" fillId="4" borderId="0" xfId="0" applyNumberFormat="1" applyFill="1"/>
    <xf numFmtId="0" fontId="0" fillId="4" borderId="0" xfId="0" applyNumberFormat="1" applyFill="1"/>
    <xf numFmtId="22" fontId="1" fillId="3" borderId="0" xfId="0" applyNumberFormat="1" applyFont="1" applyFill="1" applyAlignment="1">
      <alignment horizontal="right" vertical="center" wrapText="1"/>
    </xf>
    <xf numFmtId="0" fontId="3" fillId="3" borderId="0" xfId="0" applyFont="1" applyFill="1" applyAlignment="1">
      <alignment horizontal="right" vertical="center" wrapText="1"/>
    </xf>
    <xf numFmtId="10" fontId="3" fillId="3" borderId="0" xfId="0" applyNumberFormat="1" applyFont="1" applyFill="1" applyAlignment="1">
      <alignment horizontal="right" vertical="center" wrapText="1"/>
    </xf>
    <xf numFmtId="0" fontId="2" fillId="3" borderId="0" xfId="0" applyFont="1" applyFill="1" applyAlignment="1">
      <alignment horizontal="right" vertical="center" wrapText="1"/>
    </xf>
    <xf numFmtId="10" fontId="2" fillId="3" borderId="0" xfId="0" applyNumberFormat="1" applyFont="1" applyFill="1" applyAlignment="1">
      <alignment horizontal="righ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days and date of exp aligned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v>"days to exp"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Sheet1!$O$2:$O$1871</c:f>
              <c:numCache>
                <c:formatCode>General</c:formatCode>
                <c:ptCount val="1870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12</c:v>
                </c:pt>
                <c:pt idx="100">
                  <c:v>12</c:v>
                </c:pt>
                <c:pt idx="101">
                  <c:v>12</c:v>
                </c:pt>
                <c:pt idx="102">
                  <c:v>12</c:v>
                </c:pt>
                <c:pt idx="103">
                  <c:v>12</c:v>
                </c:pt>
                <c:pt idx="104">
                  <c:v>12</c:v>
                </c:pt>
                <c:pt idx="105">
                  <c:v>12</c:v>
                </c:pt>
                <c:pt idx="106">
                  <c:v>12</c:v>
                </c:pt>
                <c:pt idx="107">
                  <c:v>12</c:v>
                </c:pt>
                <c:pt idx="108">
                  <c:v>12</c:v>
                </c:pt>
                <c:pt idx="109">
                  <c:v>12</c:v>
                </c:pt>
                <c:pt idx="110">
                  <c:v>12</c:v>
                </c:pt>
                <c:pt idx="111">
                  <c:v>12</c:v>
                </c:pt>
                <c:pt idx="112">
                  <c:v>12</c:v>
                </c:pt>
                <c:pt idx="113">
                  <c:v>12</c:v>
                </c:pt>
                <c:pt idx="114">
                  <c:v>12</c:v>
                </c:pt>
                <c:pt idx="115">
                  <c:v>12</c:v>
                </c:pt>
                <c:pt idx="116">
                  <c:v>12</c:v>
                </c:pt>
                <c:pt idx="117">
                  <c:v>12</c:v>
                </c:pt>
                <c:pt idx="118">
                  <c:v>12</c:v>
                </c:pt>
                <c:pt idx="119">
                  <c:v>12</c:v>
                </c:pt>
                <c:pt idx="120">
                  <c:v>12</c:v>
                </c:pt>
                <c:pt idx="121">
                  <c:v>12</c:v>
                </c:pt>
                <c:pt idx="122">
                  <c:v>12</c:v>
                </c:pt>
                <c:pt idx="123">
                  <c:v>12</c:v>
                </c:pt>
                <c:pt idx="124">
                  <c:v>12</c:v>
                </c:pt>
                <c:pt idx="125">
                  <c:v>12</c:v>
                </c:pt>
                <c:pt idx="126">
                  <c:v>12</c:v>
                </c:pt>
                <c:pt idx="127">
                  <c:v>12</c:v>
                </c:pt>
                <c:pt idx="128">
                  <c:v>12</c:v>
                </c:pt>
                <c:pt idx="129">
                  <c:v>12</c:v>
                </c:pt>
                <c:pt idx="130">
                  <c:v>12</c:v>
                </c:pt>
                <c:pt idx="131">
                  <c:v>12</c:v>
                </c:pt>
                <c:pt idx="132">
                  <c:v>12</c:v>
                </c:pt>
                <c:pt idx="133">
                  <c:v>12</c:v>
                </c:pt>
                <c:pt idx="134">
                  <c:v>12</c:v>
                </c:pt>
                <c:pt idx="135">
                  <c:v>12</c:v>
                </c:pt>
                <c:pt idx="136">
                  <c:v>12</c:v>
                </c:pt>
                <c:pt idx="137">
                  <c:v>12</c:v>
                </c:pt>
                <c:pt idx="138">
                  <c:v>12</c:v>
                </c:pt>
                <c:pt idx="139">
                  <c:v>12</c:v>
                </c:pt>
                <c:pt idx="140">
                  <c:v>12</c:v>
                </c:pt>
                <c:pt idx="141">
                  <c:v>12</c:v>
                </c:pt>
                <c:pt idx="142">
                  <c:v>12</c:v>
                </c:pt>
                <c:pt idx="143">
                  <c:v>12</c:v>
                </c:pt>
                <c:pt idx="144">
                  <c:v>12</c:v>
                </c:pt>
                <c:pt idx="145">
                  <c:v>12</c:v>
                </c:pt>
                <c:pt idx="146">
                  <c:v>12</c:v>
                </c:pt>
                <c:pt idx="147">
                  <c:v>12</c:v>
                </c:pt>
                <c:pt idx="148">
                  <c:v>12</c:v>
                </c:pt>
                <c:pt idx="149">
                  <c:v>12</c:v>
                </c:pt>
                <c:pt idx="150">
                  <c:v>12</c:v>
                </c:pt>
                <c:pt idx="151">
                  <c:v>12</c:v>
                </c:pt>
                <c:pt idx="152">
                  <c:v>12</c:v>
                </c:pt>
                <c:pt idx="153">
                  <c:v>12</c:v>
                </c:pt>
                <c:pt idx="154">
                  <c:v>12</c:v>
                </c:pt>
                <c:pt idx="155">
                  <c:v>12</c:v>
                </c:pt>
                <c:pt idx="156">
                  <c:v>12</c:v>
                </c:pt>
                <c:pt idx="157">
                  <c:v>12</c:v>
                </c:pt>
                <c:pt idx="158">
                  <c:v>12</c:v>
                </c:pt>
                <c:pt idx="159">
                  <c:v>12</c:v>
                </c:pt>
                <c:pt idx="160">
                  <c:v>12</c:v>
                </c:pt>
                <c:pt idx="161">
                  <c:v>12</c:v>
                </c:pt>
                <c:pt idx="162">
                  <c:v>12</c:v>
                </c:pt>
                <c:pt idx="163">
                  <c:v>12</c:v>
                </c:pt>
                <c:pt idx="164">
                  <c:v>12</c:v>
                </c:pt>
                <c:pt idx="165">
                  <c:v>12</c:v>
                </c:pt>
                <c:pt idx="166">
                  <c:v>12</c:v>
                </c:pt>
                <c:pt idx="167">
                  <c:v>12</c:v>
                </c:pt>
                <c:pt idx="168">
                  <c:v>12</c:v>
                </c:pt>
                <c:pt idx="169">
                  <c:v>12</c:v>
                </c:pt>
                <c:pt idx="170">
                  <c:v>12</c:v>
                </c:pt>
                <c:pt idx="171">
                  <c:v>12</c:v>
                </c:pt>
                <c:pt idx="172">
                  <c:v>12</c:v>
                </c:pt>
                <c:pt idx="173">
                  <c:v>12</c:v>
                </c:pt>
                <c:pt idx="174">
                  <c:v>12</c:v>
                </c:pt>
                <c:pt idx="175">
                  <c:v>12</c:v>
                </c:pt>
                <c:pt idx="176">
                  <c:v>12</c:v>
                </c:pt>
                <c:pt idx="177">
                  <c:v>12</c:v>
                </c:pt>
                <c:pt idx="178">
                  <c:v>12</c:v>
                </c:pt>
                <c:pt idx="179">
                  <c:v>12</c:v>
                </c:pt>
                <c:pt idx="180">
                  <c:v>12</c:v>
                </c:pt>
                <c:pt idx="181">
                  <c:v>12</c:v>
                </c:pt>
                <c:pt idx="182">
                  <c:v>12</c:v>
                </c:pt>
                <c:pt idx="183">
                  <c:v>12</c:v>
                </c:pt>
                <c:pt idx="184">
                  <c:v>12</c:v>
                </c:pt>
                <c:pt idx="185">
                  <c:v>12</c:v>
                </c:pt>
                <c:pt idx="186">
                  <c:v>12</c:v>
                </c:pt>
                <c:pt idx="187">
                  <c:v>12</c:v>
                </c:pt>
                <c:pt idx="188">
                  <c:v>12</c:v>
                </c:pt>
                <c:pt idx="189">
                  <c:v>12</c:v>
                </c:pt>
                <c:pt idx="190">
                  <c:v>12</c:v>
                </c:pt>
                <c:pt idx="191">
                  <c:v>12</c:v>
                </c:pt>
                <c:pt idx="192">
                  <c:v>12</c:v>
                </c:pt>
                <c:pt idx="193">
                  <c:v>12</c:v>
                </c:pt>
                <c:pt idx="194">
                  <c:v>12</c:v>
                </c:pt>
                <c:pt idx="195">
                  <c:v>12</c:v>
                </c:pt>
                <c:pt idx="196">
                  <c:v>12</c:v>
                </c:pt>
                <c:pt idx="197">
                  <c:v>12</c:v>
                </c:pt>
                <c:pt idx="198">
                  <c:v>12</c:v>
                </c:pt>
                <c:pt idx="199">
                  <c:v>12</c:v>
                </c:pt>
                <c:pt idx="200">
                  <c:v>12</c:v>
                </c:pt>
                <c:pt idx="201">
                  <c:v>12</c:v>
                </c:pt>
                <c:pt idx="202">
                  <c:v>12</c:v>
                </c:pt>
                <c:pt idx="203">
                  <c:v>12</c:v>
                </c:pt>
                <c:pt idx="204">
                  <c:v>12</c:v>
                </c:pt>
                <c:pt idx="205">
                  <c:v>12</c:v>
                </c:pt>
                <c:pt idx="206">
                  <c:v>12</c:v>
                </c:pt>
                <c:pt idx="207">
                  <c:v>12</c:v>
                </c:pt>
                <c:pt idx="208">
                  <c:v>12</c:v>
                </c:pt>
                <c:pt idx="209">
                  <c:v>12</c:v>
                </c:pt>
                <c:pt idx="210">
                  <c:v>12</c:v>
                </c:pt>
                <c:pt idx="211">
                  <c:v>12</c:v>
                </c:pt>
                <c:pt idx="212">
                  <c:v>12</c:v>
                </c:pt>
                <c:pt idx="213">
                  <c:v>12</c:v>
                </c:pt>
                <c:pt idx="214">
                  <c:v>12</c:v>
                </c:pt>
                <c:pt idx="215">
                  <c:v>12</c:v>
                </c:pt>
                <c:pt idx="216">
                  <c:v>12</c:v>
                </c:pt>
                <c:pt idx="217">
                  <c:v>12</c:v>
                </c:pt>
                <c:pt idx="218">
                  <c:v>12</c:v>
                </c:pt>
                <c:pt idx="219">
                  <c:v>12</c:v>
                </c:pt>
                <c:pt idx="220">
                  <c:v>12</c:v>
                </c:pt>
                <c:pt idx="221">
                  <c:v>12</c:v>
                </c:pt>
                <c:pt idx="222">
                  <c:v>12</c:v>
                </c:pt>
                <c:pt idx="223">
                  <c:v>12</c:v>
                </c:pt>
                <c:pt idx="224">
                  <c:v>12</c:v>
                </c:pt>
                <c:pt idx="225">
                  <c:v>12</c:v>
                </c:pt>
                <c:pt idx="226">
                  <c:v>19</c:v>
                </c:pt>
                <c:pt idx="227">
                  <c:v>19</c:v>
                </c:pt>
                <c:pt idx="228">
                  <c:v>19</c:v>
                </c:pt>
                <c:pt idx="229">
                  <c:v>19</c:v>
                </c:pt>
                <c:pt idx="230">
                  <c:v>19</c:v>
                </c:pt>
                <c:pt idx="231">
                  <c:v>19</c:v>
                </c:pt>
                <c:pt idx="232">
                  <c:v>19</c:v>
                </c:pt>
                <c:pt idx="233">
                  <c:v>19</c:v>
                </c:pt>
                <c:pt idx="234">
                  <c:v>19</c:v>
                </c:pt>
                <c:pt idx="235">
                  <c:v>19</c:v>
                </c:pt>
                <c:pt idx="236">
                  <c:v>19</c:v>
                </c:pt>
                <c:pt idx="237">
                  <c:v>19</c:v>
                </c:pt>
                <c:pt idx="238">
                  <c:v>19</c:v>
                </c:pt>
                <c:pt idx="239">
                  <c:v>19</c:v>
                </c:pt>
                <c:pt idx="240">
                  <c:v>19</c:v>
                </c:pt>
                <c:pt idx="241">
                  <c:v>19</c:v>
                </c:pt>
                <c:pt idx="242">
                  <c:v>19</c:v>
                </c:pt>
                <c:pt idx="243">
                  <c:v>19</c:v>
                </c:pt>
                <c:pt idx="244">
                  <c:v>19</c:v>
                </c:pt>
                <c:pt idx="245">
                  <c:v>19</c:v>
                </c:pt>
                <c:pt idx="246">
                  <c:v>19</c:v>
                </c:pt>
                <c:pt idx="247">
                  <c:v>19</c:v>
                </c:pt>
                <c:pt idx="248">
                  <c:v>19</c:v>
                </c:pt>
                <c:pt idx="249">
                  <c:v>19</c:v>
                </c:pt>
                <c:pt idx="250">
                  <c:v>19</c:v>
                </c:pt>
                <c:pt idx="251">
                  <c:v>19</c:v>
                </c:pt>
                <c:pt idx="252">
                  <c:v>19</c:v>
                </c:pt>
                <c:pt idx="253">
                  <c:v>19</c:v>
                </c:pt>
                <c:pt idx="254">
                  <c:v>19</c:v>
                </c:pt>
                <c:pt idx="255">
                  <c:v>19</c:v>
                </c:pt>
                <c:pt idx="256">
                  <c:v>19</c:v>
                </c:pt>
                <c:pt idx="257">
                  <c:v>19</c:v>
                </c:pt>
                <c:pt idx="258">
                  <c:v>19</c:v>
                </c:pt>
                <c:pt idx="259">
                  <c:v>19</c:v>
                </c:pt>
                <c:pt idx="260">
                  <c:v>19</c:v>
                </c:pt>
                <c:pt idx="261">
                  <c:v>19</c:v>
                </c:pt>
                <c:pt idx="262">
                  <c:v>19</c:v>
                </c:pt>
                <c:pt idx="263">
                  <c:v>19</c:v>
                </c:pt>
                <c:pt idx="264">
                  <c:v>19</c:v>
                </c:pt>
                <c:pt idx="265">
                  <c:v>19</c:v>
                </c:pt>
                <c:pt idx="266">
                  <c:v>19</c:v>
                </c:pt>
                <c:pt idx="267">
                  <c:v>19</c:v>
                </c:pt>
                <c:pt idx="268">
                  <c:v>19</c:v>
                </c:pt>
                <c:pt idx="269">
                  <c:v>19</c:v>
                </c:pt>
                <c:pt idx="270">
                  <c:v>19</c:v>
                </c:pt>
                <c:pt idx="271">
                  <c:v>19</c:v>
                </c:pt>
                <c:pt idx="272">
                  <c:v>19</c:v>
                </c:pt>
                <c:pt idx="273">
                  <c:v>19</c:v>
                </c:pt>
                <c:pt idx="274">
                  <c:v>19</c:v>
                </c:pt>
                <c:pt idx="275">
                  <c:v>19</c:v>
                </c:pt>
                <c:pt idx="276">
                  <c:v>19</c:v>
                </c:pt>
                <c:pt idx="277">
                  <c:v>19</c:v>
                </c:pt>
                <c:pt idx="278">
                  <c:v>19</c:v>
                </c:pt>
                <c:pt idx="279">
                  <c:v>19</c:v>
                </c:pt>
                <c:pt idx="280">
                  <c:v>19</c:v>
                </c:pt>
                <c:pt idx="281">
                  <c:v>19</c:v>
                </c:pt>
                <c:pt idx="282">
                  <c:v>19</c:v>
                </c:pt>
                <c:pt idx="283">
                  <c:v>19</c:v>
                </c:pt>
                <c:pt idx="284">
                  <c:v>19</c:v>
                </c:pt>
                <c:pt idx="285">
                  <c:v>19</c:v>
                </c:pt>
                <c:pt idx="286">
                  <c:v>19</c:v>
                </c:pt>
                <c:pt idx="287">
                  <c:v>19</c:v>
                </c:pt>
                <c:pt idx="288">
                  <c:v>19</c:v>
                </c:pt>
                <c:pt idx="289">
                  <c:v>19</c:v>
                </c:pt>
                <c:pt idx="290">
                  <c:v>19</c:v>
                </c:pt>
                <c:pt idx="291">
                  <c:v>19</c:v>
                </c:pt>
                <c:pt idx="292">
                  <c:v>19</c:v>
                </c:pt>
                <c:pt idx="293">
                  <c:v>19</c:v>
                </c:pt>
                <c:pt idx="294">
                  <c:v>19</c:v>
                </c:pt>
                <c:pt idx="295">
                  <c:v>19</c:v>
                </c:pt>
                <c:pt idx="296">
                  <c:v>19</c:v>
                </c:pt>
                <c:pt idx="297">
                  <c:v>19</c:v>
                </c:pt>
                <c:pt idx="298">
                  <c:v>26</c:v>
                </c:pt>
                <c:pt idx="299">
                  <c:v>26</c:v>
                </c:pt>
                <c:pt idx="300">
                  <c:v>26</c:v>
                </c:pt>
                <c:pt idx="301">
                  <c:v>26</c:v>
                </c:pt>
                <c:pt idx="302">
                  <c:v>26</c:v>
                </c:pt>
                <c:pt idx="303">
                  <c:v>26</c:v>
                </c:pt>
                <c:pt idx="304">
                  <c:v>26</c:v>
                </c:pt>
                <c:pt idx="305">
                  <c:v>26</c:v>
                </c:pt>
                <c:pt idx="306">
                  <c:v>26</c:v>
                </c:pt>
                <c:pt idx="307">
                  <c:v>26</c:v>
                </c:pt>
                <c:pt idx="308">
                  <c:v>26</c:v>
                </c:pt>
                <c:pt idx="309">
                  <c:v>26</c:v>
                </c:pt>
                <c:pt idx="310">
                  <c:v>26</c:v>
                </c:pt>
                <c:pt idx="311">
                  <c:v>26</c:v>
                </c:pt>
                <c:pt idx="312">
                  <c:v>26</c:v>
                </c:pt>
                <c:pt idx="313">
                  <c:v>26</c:v>
                </c:pt>
                <c:pt idx="314">
                  <c:v>26</c:v>
                </c:pt>
                <c:pt idx="315">
                  <c:v>26</c:v>
                </c:pt>
                <c:pt idx="316">
                  <c:v>26</c:v>
                </c:pt>
                <c:pt idx="317">
                  <c:v>26</c:v>
                </c:pt>
                <c:pt idx="318">
                  <c:v>26</c:v>
                </c:pt>
                <c:pt idx="319">
                  <c:v>26</c:v>
                </c:pt>
                <c:pt idx="320">
                  <c:v>26</c:v>
                </c:pt>
                <c:pt idx="321">
                  <c:v>26</c:v>
                </c:pt>
                <c:pt idx="322">
                  <c:v>26</c:v>
                </c:pt>
                <c:pt idx="323">
                  <c:v>26</c:v>
                </c:pt>
                <c:pt idx="324">
                  <c:v>26</c:v>
                </c:pt>
                <c:pt idx="325">
                  <c:v>26</c:v>
                </c:pt>
                <c:pt idx="326">
                  <c:v>26</c:v>
                </c:pt>
                <c:pt idx="327">
                  <c:v>26</c:v>
                </c:pt>
                <c:pt idx="328">
                  <c:v>26</c:v>
                </c:pt>
                <c:pt idx="329">
                  <c:v>26</c:v>
                </c:pt>
                <c:pt idx="330">
                  <c:v>26</c:v>
                </c:pt>
                <c:pt idx="331">
                  <c:v>26</c:v>
                </c:pt>
                <c:pt idx="332">
                  <c:v>26</c:v>
                </c:pt>
                <c:pt idx="333">
                  <c:v>26</c:v>
                </c:pt>
                <c:pt idx="334">
                  <c:v>26</c:v>
                </c:pt>
                <c:pt idx="335">
                  <c:v>26</c:v>
                </c:pt>
                <c:pt idx="336">
                  <c:v>26</c:v>
                </c:pt>
                <c:pt idx="337">
                  <c:v>26</c:v>
                </c:pt>
                <c:pt idx="338">
                  <c:v>26</c:v>
                </c:pt>
                <c:pt idx="339">
                  <c:v>26</c:v>
                </c:pt>
                <c:pt idx="340">
                  <c:v>26</c:v>
                </c:pt>
                <c:pt idx="341">
                  <c:v>26</c:v>
                </c:pt>
                <c:pt idx="342">
                  <c:v>26</c:v>
                </c:pt>
                <c:pt idx="343">
                  <c:v>26</c:v>
                </c:pt>
                <c:pt idx="344">
                  <c:v>26</c:v>
                </c:pt>
                <c:pt idx="345">
                  <c:v>26</c:v>
                </c:pt>
                <c:pt idx="346">
                  <c:v>26</c:v>
                </c:pt>
                <c:pt idx="347">
                  <c:v>26</c:v>
                </c:pt>
                <c:pt idx="348">
                  <c:v>26</c:v>
                </c:pt>
                <c:pt idx="349">
                  <c:v>26</c:v>
                </c:pt>
                <c:pt idx="350">
                  <c:v>26</c:v>
                </c:pt>
                <c:pt idx="351">
                  <c:v>26</c:v>
                </c:pt>
                <c:pt idx="352">
                  <c:v>26</c:v>
                </c:pt>
                <c:pt idx="353">
                  <c:v>26</c:v>
                </c:pt>
                <c:pt idx="354">
                  <c:v>26</c:v>
                </c:pt>
                <c:pt idx="355">
                  <c:v>26</c:v>
                </c:pt>
                <c:pt idx="356">
                  <c:v>26</c:v>
                </c:pt>
                <c:pt idx="357">
                  <c:v>26</c:v>
                </c:pt>
                <c:pt idx="358">
                  <c:v>26</c:v>
                </c:pt>
                <c:pt idx="359">
                  <c:v>26</c:v>
                </c:pt>
                <c:pt idx="360">
                  <c:v>26</c:v>
                </c:pt>
                <c:pt idx="361">
                  <c:v>26</c:v>
                </c:pt>
                <c:pt idx="362">
                  <c:v>26</c:v>
                </c:pt>
                <c:pt idx="363">
                  <c:v>26</c:v>
                </c:pt>
                <c:pt idx="364">
                  <c:v>26</c:v>
                </c:pt>
                <c:pt idx="365">
                  <c:v>26</c:v>
                </c:pt>
                <c:pt idx="366">
                  <c:v>26</c:v>
                </c:pt>
                <c:pt idx="367">
                  <c:v>26</c:v>
                </c:pt>
                <c:pt idx="368">
                  <c:v>26</c:v>
                </c:pt>
                <c:pt idx="369">
                  <c:v>26</c:v>
                </c:pt>
                <c:pt idx="370">
                  <c:v>33</c:v>
                </c:pt>
                <c:pt idx="371">
                  <c:v>33</c:v>
                </c:pt>
                <c:pt idx="372">
                  <c:v>33</c:v>
                </c:pt>
                <c:pt idx="373">
                  <c:v>33</c:v>
                </c:pt>
                <c:pt idx="374">
                  <c:v>33</c:v>
                </c:pt>
                <c:pt idx="375">
                  <c:v>33</c:v>
                </c:pt>
                <c:pt idx="376">
                  <c:v>33</c:v>
                </c:pt>
                <c:pt idx="377">
                  <c:v>33</c:v>
                </c:pt>
                <c:pt idx="378">
                  <c:v>33</c:v>
                </c:pt>
                <c:pt idx="379">
                  <c:v>33</c:v>
                </c:pt>
                <c:pt idx="380">
                  <c:v>33</c:v>
                </c:pt>
                <c:pt idx="381">
                  <c:v>33</c:v>
                </c:pt>
                <c:pt idx="382">
                  <c:v>33</c:v>
                </c:pt>
                <c:pt idx="383">
                  <c:v>33</c:v>
                </c:pt>
                <c:pt idx="384">
                  <c:v>33</c:v>
                </c:pt>
                <c:pt idx="385">
                  <c:v>33</c:v>
                </c:pt>
                <c:pt idx="386">
                  <c:v>33</c:v>
                </c:pt>
                <c:pt idx="387">
                  <c:v>33</c:v>
                </c:pt>
                <c:pt idx="388">
                  <c:v>33</c:v>
                </c:pt>
                <c:pt idx="389">
                  <c:v>33</c:v>
                </c:pt>
                <c:pt idx="390">
                  <c:v>33</c:v>
                </c:pt>
                <c:pt idx="391">
                  <c:v>33</c:v>
                </c:pt>
                <c:pt idx="392">
                  <c:v>33</c:v>
                </c:pt>
                <c:pt idx="393">
                  <c:v>33</c:v>
                </c:pt>
                <c:pt idx="394">
                  <c:v>33</c:v>
                </c:pt>
                <c:pt idx="395">
                  <c:v>33</c:v>
                </c:pt>
                <c:pt idx="396">
                  <c:v>33</c:v>
                </c:pt>
                <c:pt idx="397">
                  <c:v>33</c:v>
                </c:pt>
                <c:pt idx="398">
                  <c:v>33</c:v>
                </c:pt>
                <c:pt idx="399">
                  <c:v>33</c:v>
                </c:pt>
                <c:pt idx="400">
                  <c:v>33</c:v>
                </c:pt>
                <c:pt idx="401">
                  <c:v>33</c:v>
                </c:pt>
                <c:pt idx="402">
                  <c:v>33</c:v>
                </c:pt>
                <c:pt idx="403">
                  <c:v>33</c:v>
                </c:pt>
                <c:pt idx="404">
                  <c:v>33</c:v>
                </c:pt>
                <c:pt idx="405">
                  <c:v>33</c:v>
                </c:pt>
                <c:pt idx="406">
                  <c:v>33</c:v>
                </c:pt>
                <c:pt idx="407">
                  <c:v>33</c:v>
                </c:pt>
                <c:pt idx="408">
                  <c:v>33</c:v>
                </c:pt>
                <c:pt idx="409">
                  <c:v>33</c:v>
                </c:pt>
                <c:pt idx="410">
                  <c:v>33</c:v>
                </c:pt>
                <c:pt idx="411">
                  <c:v>47</c:v>
                </c:pt>
                <c:pt idx="412">
                  <c:v>47</c:v>
                </c:pt>
                <c:pt idx="413">
                  <c:v>47</c:v>
                </c:pt>
                <c:pt idx="414">
                  <c:v>47</c:v>
                </c:pt>
                <c:pt idx="415">
                  <c:v>47</c:v>
                </c:pt>
                <c:pt idx="416">
                  <c:v>47</c:v>
                </c:pt>
                <c:pt idx="417">
                  <c:v>47</c:v>
                </c:pt>
                <c:pt idx="418">
                  <c:v>47</c:v>
                </c:pt>
                <c:pt idx="419">
                  <c:v>47</c:v>
                </c:pt>
                <c:pt idx="420">
                  <c:v>47</c:v>
                </c:pt>
                <c:pt idx="421">
                  <c:v>47</c:v>
                </c:pt>
                <c:pt idx="422">
                  <c:v>47</c:v>
                </c:pt>
                <c:pt idx="423">
                  <c:v>47</c:v>
                </c:pt>
                <c:pt idx="424">
                  <c:v>47</c:v>
                </c:pt>
                <c:pt idx="425">
                  <c:v>47</c:v>
                </c:pt>
                <c:pt idx="426">
                  <c:v>47</c:v>
                </c:pt>
                <c:pt idx="427">
                  <c:v>47</c:v>
                </c:pt>
                <c:pt idx="428">
                  <c:v>47</c:v>
                </c:pt>
                <c:pt idx="429">
                  <c:v>47</c:v>
                </c:pt>
                <c:pt idx="430">
                  <c:v>47</c:v>
                </c:pt>
                <c:pt idx="431">
                  <c:v>47</c:v>
                </c:pt>
                <c:pt idx="432">
                  <c:v>47</c:v>
                </c:pt>
                <c:pt idx="433">
                  <c:v>47</c:v>
                </c:pt>
                <c:pt idx="434">
                  <c:v>47</c:v>
                </c:pt>
                <c:pt idx="435">
                  <c:v>47</c:v>
                </c:pt>
                <c:pt idx="436">
                  <c:v>47</c:v>
                </c:pt>
                <c:pt idx="437">
                  <c:v>47</c:v>
                </c:pt>
                <c:pt idx="438">
                  <c:v>47</c:v>
                </c:pt>
                <c:pt idx="439">
                  <c:v>47</c:v>
                </c:pt>
                <c:pt idx="440">
                  <c:v>47</c:v>
                </c:pt>
                <c:pt idx="441">
                  <c:v>47</c:v>
                </c:pt>
                <c:pt idx="442">
                  <c:v>47</c:v>
                </c:pt>
                <c:pt idx="443">
                  <c:v>47</c:v>
                </c:pt>
                <c:pt idx="444">
                  <c:v>47</c:v>
                </c:pt>
                <c:pt idx="445">
                  <c:v>47</c:v>
                </c:pt>
                <c:pt idx="446">
                  <c:v>47</c:v>
                </c:pt>
                <c:pt idx="447">
                  <c:v>47</c:v>
                </c:pt>
                <c:pt idx="448">
                  <c:v>47</c:v>
                </c:pt>
                <c:pt idx="449">
                  <c:v>47</c:v>
                </c:pt>
                <c:pt idx="450">
                  <c:v>47</c:v>
                </c:pt>
                <c:pt idx="451">
                  <c:v>47</c:v>
                </c:pt>
                <c:pt idx="452">
                  <c:v>47</c:v>
                </c:pt>
                <c:pt idx="453">
                  <c:v>47</c:v>
                </c:pt>
                <c:pt idx="454">
                  <c:v>47</c:v>
                </c:pt>
                <c:pt idx="455">
                  <c:v>47</c:v>
                </c:pt>
                <c:pt idx="456">
                  <c:v>47</c:v>
                </c:pt>
                <c:pt idx="457">
                  <c:v>47</c:v>
                </c:pt>
                <c:pt idx="458">
                  <c:v>47</c:v>
                </c:pt>
                <c:pt idx="459">
                  <c:v>47</c:v>
                </c:pt>
                <c:pt idx="460">
                  <c:v>47</c:v>
                </c:pt>
                <c:pt idx="461">
                  <c:v>47</c:v>
                </c:pt>
                <c:pt idx="462">
                  <c:v>47</c:v>
                </c:pt>
                <c:pt idx="463">
                  <c:v>47</c:v>
                </c:pt>
                <c:pt idx="464">
                  <c:v>47</c:v>
                </c:pt>
                <c:pt idx="465">
                  <c:v>47</c:v>
                </c:pt>
                <c:pt idx="466">
                  <c:v>47</c:v>
                </c:pt>
                <c:pt idx="467">
                  <c:v>47</c:v>
                </c:pt>
                <c:pt idx="468">
                  <c:v>47</c:v>
                </c:pt>
                <c:pt idx="469">
                  <c:v>47</c:v>
                </c:pt>
                <c:pt idx="470">
                  <c:v>47</c:v>
                </c:pt>
                <c:pt idx="471">
                  <c:v>47</c:v>
                </c:pt>
                <c:pt idx="472">
                  <c:v>47</c:v>
                </c:pt>
                <c:pt idx="473">
                  <c:v>47</c:v>
                </c:pt>
                <c:pt idx="474">
                  <c:v>47</c:v>
                </c:pt>
                <c:pt idx="475">
                  <c:v>47</c:v>
                </c:pt>
                <c:pt idx="476">
                  <c:v>47</c:v>
                </c:pt>
                <c:pt idx="477">
                  <c:v>47</c:v>
                </c:pt>
                <c:pt idx="478">
                  <c:v>47</c:v>
                </c:pt>
                <c:pt idx="479">
                  <c:v>47</c:v>
                </c:pt>
                <c:pt idx="480">
                  <c:v>47</c:v>
                </c:pt>
                <c:pt idx="481">
                  <c:v>47</c:v>
                </c:pt>
                <c:pt idx="482">
                  <c:v>47</c:v>
                </c:pt>
                <c:pt idx="483">
                  <c:v>47</c:v>
                </c:pt>
                <c:pt idx="484">
                  <c:v>47</c:v>
                </c:pt>
                <c:pt idx="485">
                  <c:v>47</c:v>
                </c:pt>
                <c:pt idx="486">
                  <c:v>47</c:v>
                </c:pt>
                <c:pt idx="487">
                  <c:v>47</c:v>
                </c:pt>
                <c:pt idx="488">
                  <c:v>47</c:v>
                </c:pt>
                <c:pt idx="489">
                  <c:v>47</c:v>
                </c:pt>
                <c:pt idx="490">
                  <c:v>47</c:v>
                </c:pt>
                <c:pt idx="491">
                  <c:v>47</c:v>
                </c:pt>
                <c:pt idx="492">
                  <c:v>47</c:v>
                </c:pt>
                <c:pt idx="493">
                  <c:v>47</c:v>
                </c:pt>
                <c:pt idx="494">
                  <c:v>47</c:v>
                </c:pt>
                <c:pt idx="495">
                  <c:v>47</c:v>
                </c:pt>
                <c:pt idx="496">
                  <c:v>47</c:v>
                </c:pt>
                <c:pt idx="497">
                  <c:v>47</c:v>
                </c:pt>
                <c:pt idx="498">
                  <c:v>47</c:v>
                </c:pt>
                <c:pt idx="499">
                  <c:v>47</c:v>
                </c:pt>
                <c:pt idx="500">
                  <c:v>47</c:v>
                </c:pt>
                <c:pt idx="501">
                  <c:v>47</c:v>
                </c:pt>
                <c:pt idx="502">
                  <c:v>47</c:v>
                </c:pt>
                <c:pt idx="503">
                  <c:v>47</c:v>
                </c:pt>
                <c:pt idx="504">
                  <c:v>47</c:v>
                </c:pt>
                <c:pt idx="505">
                  <c:v>47</c:v>
                </c:pt>
                <c:pt idx="506">
                  <c:v>47</c:v>
                </c:pt>
                <c:pt idx="507">
                  <c:v>103</c:v>
                </c:pt>
                <c:pt idx="508">
                  <c:v>103</c:v>
                </c:pt>
                <c:pt idx="509">
                  <c:v>103</c:v>
                </c:pt>
                <c:pt idx="510">
                  <c:v>103</c:v>
                </c:pt>
                <c:pt idx="511">
                  <c:v>103</c:v>
                </c:pt>
                <c:pt idx="512">
                  <c:v>103</c:v>
                </c:pt>
                <c:pt idx="513">
                  <c:v>103</c:v>
                </c:pt>
                <c:pt idx="514">
                  <c:v>103</c:v>
                </c:pt>
                <c:pt idx="515">
                  <c:v>103</c:v>
                </c:pt>
                <c:pt idx="516">
                  <c:v>103</c:v>
                </c:pt>
                <c:pt idx="517">
                  <c:v>103</c:v>
                </c:pt>
                <c:pt idx="518">
                  <c:v>103</c:v>
                </c:pt>
                <c:pt idx="519">
                  <c:v>103</c:v>
                </c:pt>
                <c:pt idx="520">
                  <c:v>103</c:v>
                </c:pt>
                <c:pt idx="521">
                  <c:v>103</c:v>
                </c:pt>
                <c:pt idx="522">
                  <c:v>103</c:v>
                </c:pt>
                <c:pt idx="523">
                  <c:v>103</c:v>
                </c:pt>
                <c:pt idx="524">
                  <c:v>103</c:v>
                </c:pt>
                <c:pt idx="525">
                  <c:v>103</c:v>
                </c:pt>
                <c:pt idx="526">
                  <c:v>103</c:v>
                </c:pt>
                <c:pt idx="527">
                  <c:v>103</c:v>
                </c:pt>
                <c:pt idx="528">
                  <c:v>103</c:v>
                </c:pt>
                <c:pt idx="529">
                  <c:v>103</c:v>
                </c:pt>
                <c:pt idx="530">
                  <c:v>103</c:v>
                </c:pt>
                <c:pt idx="531">
                  <c:v>103</c:v>
                </c:pt>
                <c:pt idx="532">
                  <c:v>103</c:v>
                </c:pt>
                <c:pt idx="533">
                  <c:v>103</c:v>
                </c:pt>
                <c:pt idx="534">
                  <c:v>103</c:v>
                </c:pt>
                <c:pt idx="535">
                  <c:v>103</c:v>
                </c:pt>
                <c:pt idx="536">
                  <c:v>103</c:v>
                </c:pt>
                <c:pt idx="537">
                  <c:v>103</c:v>
                </c:pt>
                <c:pt idx="538">
                  <c:v>103</c:v>
                </c:pt>
                <c:pt idx="539">
                  <c:v>103</c:v>
                </c:pt>
                <c:pt idx="540">
                  <c:v>103</c:v>
                </c:pt>
                <c:pt idx="541">
                  <c:v>103</c:v>
                </c:pt>
                <c:pt idx="542">
                  <c:v>103</c:v>
                </c:pt>
                <c:pt idx="543">
                  <c:v>103</c:v>
                </c:pt>
                <c:pt idx="544">
                  <c:v>103</c:v>
                </c:pt>
                <c:pt idx="545">
                  <c:v>103</c:v>
                </c:pt>
                <c:pt idx="546">
                  <c:v>103</c:v>
                </c:pt>
                <c:pt idx="547">
                  <c:v>103</c:v>
                </c:pt>
                <c:pt idx="548">
                  <c:v>103</c:v>
                </c:pt>
                <c:pt idx="549">
                  <c:v>103</c:v>
                </c:pt>
                <c:pt idx="550">
                  <c:v>103</c:v>
                </c:pt>
                <c:pt idx="551">
                  <c:v>103</c:v>
                </c:pt>
                <c:pt idx="552">
                  <c:v>103</c:v>
                </c:pt>
                <c:pt idx="553">
                  <c:v>103</c:v>
                </c:pt>
                <c:pt idx="554">
                  <c:v>103</c:v>
                </c:pt>
                <c:pt idx="555">
                  <c:v>103</c:v>
                </c:pt>
                <c:pt idx="556">
                  <c:v>103</c:v>
                </c:pt>
                <c:pt idx="557">
                  <c:v>103</c:v>
                </c:pt>
                <c:pt idx="558">
                  <c:v>103</c:v>
                </c:pt>
                <c:pt idx="559">
                  <c:v>103</c:v>
                </c:pt>
                <c:pt idx="560">
                  <c:v>103</c:v>
                </c:pt>
                <c:pt idx="561">
                  <c:v>103</c:v>
                </c:pt>
                <c:pt idx="562">
                  <c:v>103</c:v>
                </c:pt>
                <c:pt idx="563">
                  <c:v>103</c:v>
                </c:pt>
                <c:pt idx="564">
                  <c:v>103</c:v>
                </c:pt>
                <c:pt idx="565">
                  <c:v>103</c:v>
                </c:pt>
                <c:pt idx="566">
                  <c:v>103</c:v>
                </c:pt>
                <c:pt idx="567">
                  <c:v>103</c:v>
                </c:pt>
                <c:pt idx="568">
                  <c:v>103</c:v>
                </c:pt>
                <c:pt idx="569">
                  <c:v>103</c:v>
                </c:pt>
                <c:pt idx="570">
                  <c:v>103</c:v>
                </c:pt>
                <c:pt idx="571">
                  <c:v>103</c:v>
                </c:pt>
                <c:pt idx="572">
                  <c:v>103</c:v>
                </c:pt>
                <c:pt idx="573">
                  <c:v>103</c:v>
                </c:pt>
                <c:pt idx="574">
                  <c:v>103</c:v>
                </c:pt>
                <c:pt idx="575">
                  <c:v>103</c:v>
                </c:pt>
                <c:pt idx="576">
                  <c:v>103</c:v>
                </c:pt>
                <c:pt idx="577">
                  <c:v>103</c:v>
                </c:pt>
                <c:pt idx="578">
                  <c:v>103</c:v>
                </c:pt>
                <c:pt idx="579">
                  <c:v>103</c:v>
                </c:pt>
                <c:pt idx="580">
                  <c:v>103</c:v>
                </c:pt>
                <c:pt idx="581">
                  <c:v>103</c:v>
                </c:pt>
                <c:pt idx="582">
                  <c:v>103</c:v>
                </c:pt>
                <c:pt idx="583">
                  <c:v>103</c:v>
                </c:pt>
                <c:pt idx="584">
                  <c:v>103</c:v>
                </c:pt>
                <c:pt idx="585">
                  <c:v>103</c:v>
                </c:pt>
                <c:pt idx="586">
                  <c:v>103</c:v>
                </c:pt>
                <c:pt idx="587">
                  <c:v>103</c:v>
                </c:pt>
                <c:pt idx="588">
                  <c:v>103</c:v>
                </c:pt>
                <c:pt idx="589">
                  <c:v>103</c:v>
                </c:pt>
                <c:pt idx="590">
                  <c:v>103</c:v>
                </c:pt>
                <c:pt idx="591">
                  <c:v>103</c:v>
                </c:pt>
                <c:pt idx="592">
                  <c:v>103</c:v>
                </c:pt>
                <c:pt idx="593">
                  <c:v>103</c:v>
                </c:pt>
                <c:pt idx="594">
                  <c:v>103</c:v>
                </c:pt>
                <c:pt idx="595">
                  <c:v>103</c:v>
                </c:pt>
                <c:pt idx="596">
                  <c:v>103</c:v>
                </c:pt>
                <c:pt idx="597">
                  <c:v>103</c:v>
                </c:pt>
                <c:pt idx="598">
                  <c:v>103</c:v>
                </c:pt>
                <c:pt idx="599">
                  <c:v>103</c:v>
                </c:pt>
                <c:pt idx="600">
                  <c:v>103</c:v>
                </c:pt>
                <c:pt idx="601">
                  <c:v>103</c:v>
                </c:pt>
                <c:pt idx="602">
                  <c:v>103</c:v>
                </c:pt>
                <c:pt idx="603">
                  <c:v>103</c:v>
                </c:pt>
                <c:pt idx="604">
                  <c:v>103</c:v>
                </c:pt>
                <c:pt idx="605">
                  <c:v>103</c:v>
                </c:pt>
                <c:pt idx="606">
                  <c:v>103</c:v>
                </c:pt>
                <c:pt idx="607">
                  <c:v>103</c:v>
                </c:pt>
                <c:pt idx="608">
                  <c:v>103</c:v>
                </c:pt>
                <c:pt idx="609">
                  <c:v>103</c:v>
                </c:pt>
                <c:pt idx="610">
                  <c:v>103</c:v>
                </c:pt>
                <c:pt idx="611">
                  <c:v>103</c:v>
                </c:pt>
                <c:pt idx="612">
                  <c:v>103</c:v>
                </c:pt>
                <c:pt idx="613">
                  <c:v>103</c:v>
                </c:pt>
                <c:pt idx="614">
                  <c:v>103</c:v>
                </c:pt>
                <c:pt idx="615">
                  <c:v>103</c:v>
                </c:pt>
                <c:pt idx="616">
                  <c:v>103</c:v>
                </c:pt>
                <c:pt idx="617">
                  <c:v>103</c:v>
                </c:pt>
                <c:pt idx="618">
                  <c:v>103</c:v>
                </c:pt>
                <c:pt idx="619">
                  <c:v>103</c:v>
                </c:pt>
                <c:pt idx="620">
                  <c:v>103</c:v>
                </c:pt>
                <c:pt idx="621">
                  <c:v>103</c:v>
                </c:pt>
                <c:pt idx="622">
                  <c:v>103</c:v>
                </c:pt>
                <c:pt idx="623">
                  <c:v>103</c:v>
                </c:pt>
                <c:pt idx="624">
                  <c:v>103</c:v>
                </c:pt>
                <c:pt idx="625">
                  <c:v>103</c:v>
                </c:pt>
                <c:pt idx="626">
                  <c:v>103</c:v>
                </c:pt>
                <c:pt idx="627">
                  <c:v>103</c:v>
                </c:pt>
                <c:pt idx="628">
                  <c:v>103</c:v>
                </c:pt>
                <c:pt idx="629">
                  <c:v>103</c:v>
                </c:pt>
                <c:pt idx="630">
                  <c:v>103</c:v>
                </c:pt>
                <c:pt idx="631">
                  <c:v>103</c:v>
                </c:pt>
                <c:pt idx="632">
                  <c:v>103</c:v>
                </c:pt>
                <c:pt idx="633">
                  <c:v>103</c:v>
                </c:pt>
                <c:pt idx="634">
                  <c:v>103</c:v>
                </c:pt>
                <c:pt idx="635">
                  <c:v>103</c:v>
                </c:pt>
                <c:pt idx="636">
                  <c:v>103</c:v>
                </c:pt>
                <c:pt idx="637">
                  <c:v>103</c:v>
                </c:pt>
                <c:pt idx="638">
                  <c:v>103</c:v>
                </c:pt>
                <c:pt idx="639">
                  <c:v>103</c:v>
                </c:pt>
                <c:pt idx="640">
                  <c:v>103</c:v>
                </c:pt>
                <c:pt idx="641">
                  <c:v>103</c:v>
                </c:pt>
                <c:pt idx="642">
                  <c:v>103</c:v>
                </c:pt>
                <c:pt idx="643">
                  <c:v>103</c:v>
                </c:pt>
                <c:pt idx="644">
                  <c:v>103</c:v>
                </c:pt>
                <c:pt idx="645">
                  <c:v>103</c:v>
                </c:pt>
                <c:pt idx="646">
                  <c:v>103</c:v>
                </c:pt>
                <c:pt idx="647">
                  <c:v>103</c:v>
                </c:pt>
                <c:pt idx="648">
                  <c:v>138</c:v>
                </c:pt>
                <c:pt idx="649">
                  <c:v>138</c:v>
                </c:pt>
                <c:pt idx="650">
                  <c:v>138</c:v>
                </c:pt>
                <c:pt idx="651">
                  <c:v>138</c:v>
                </c:pt>
                <c:pt idx="652">
                  <c:v>138</c:v>
                </c:pt>
                <c:pt idx="653">
                  <c:v>138</c:v>
                </c:pt>
                <c:pt idx="654">
                  <c:v>138</c:v>
                </c:pt>
                <c:pt idx="655">
                  <c:v>138</c:v>
                </c:pt>
                <c:pt idx="656">
                  <c:v>138</c:v>
                </c:pt>
                <c:pt idx="657">
                  <c:v>138</c:v>
                </c:pt>
                <c:pt idx="658">
                  <c:v>138</c:v>
                </c:pt>
                <c:pt idx="659">
                  <c:v>138</c:v>
                </c:pt>
                <c:pt idx="660">
                  <c:v>138</c:v>
                </c:pt>
                <c:pt idx="661">
                  <c:v>138</c:v>
                </c:pt>
                <c:pt idx="662">
                  <c:v>138</c:v>
                </c:pt>
                <c:pt idx="663">
                  <c:v>138</c:v>
                </c:pt>
                <c:pt idx="664">
                  <c:v>138</c:v>
                </c:pt>
                <c:pt idx="665">
                  <c:v>138</c:v>
                </c:pt>
                <c:pt idx="666">
                  <c:v>138</c:v>
                </c:pt>
                <c:pt idx="667">
                  <c:v>138</c:v>
                </c:pt>
                <c:pt idx="668">
                  <c:v>138</c:v>
                </c:pt>
                <c:pt idx="669">
                  <c:v>138</c:v>
                </c:pt>
                <c:pt idx="670">
                  <c:v>138</c:v>
                </c:pt>
                <c:pt idx="671">
                  <c:v>138</c:v>
                </c:pt>
                <c:pt idx="672">
                  <c:v>138</c:v>
                </c:pt>
                <c:pt idx="673">
                  <c:v>138</c:v>
                </c:pt>
                <c:pt idx="674">
                  <c:v>138</c:v>
                </c:pt>
                <c:pt idx="675">
                  <c:v>138</c:v>
                </c:pt>
                <c:pt idx="676">
                  <c:v>138</c:v>
                </c:pt>
                <c:pt idx="677">
                  <c:v>138</c:v>
                </c:pt>
                <c:pt idx="678">
                  <c:v>138</c:v>
                </c:pt>
                <c:pt idx="679">
                  <c:v>138</c:v>
                </c:pt>
                <c:pt idx="680">
                  <c:v>138</c:v>
                </c:pt>
                <c:pt idx="681">
                  <c:v>138</c:v>
                </c:pt>
                <c:pt idx="682">
                  <c:v>138</c:v>
                </c:pt>
                <c:pt idx="683">
                  <c:v>138</c:v>
                </c:pt>
                <c:pt idx="684">
                  <c:v>138</c:v>
                </c:pt>
                <c:pt idx="685">
                  <c:v>138</c:v>
                </c:pt>
                <c:pt idx="686">
                  <c:v>138</c:v>
                </c:pt>
                <c:pt idx="687">
                  <c:v>138</c:v>
                </c:pt>
                <c:pt idx="688">
                  <c:v>138</c:v>
                </c:pt>
                <c:pt idx="689">
                  <c:v>138</c:v>
                </c:pt>
                <c:pt idx="690">
                  <c:v>138</c:v>
                </c:pt>
                <c:pt idx="691">
                  <c:v>138</c:v>
                </c:pt>
                <c:pt idx="692">
                  <c:v>138</c:v>
                </c:pt>
                <c:pt idx="693">
                  <c:v>138</c:v>
                </c:pt>
                <c:pt idx="694">
                  <c:v>138</c:v>
                </c:pt>
                <c:pt idx="695">
                  <c:v>138</c:v>
                </c:pt>
                <c:pt idx="696">
                  <c:v>138</c:v>
                </c:pt>
                <c:pt idx="697">
                  <c:v>138</c:v>
                </c:pt>
                <c:pt idx="698">
                  <c:v>138</c:v>
                </c:pt>
                <c:pt idx="699">
                  <c:v>138</c:v>
                </c:pt>
                <c:pt idx="700">
                  <c:v>138</c:v>
                </c:pt>
                <c:pt idx="701">
                  <c:v>138</c:v>
                </c:pt>
                <c:pt idx="702">
                  <c:v>138</c:v>
                </c:pt>
                <c:pt idx="703">
                  <c:v>138</c:v>
                </c:pt>
                <c:pt idx="704">
                  <c:v>138</c:v>
                </c:pt>
                <c:pt idx="705">
                  <c:v>138</c:v>
                </c:pt>
                <c:pt idx="706">
                  <c:v>138</c:v>
                </c:pt>
                <c:pt idx="707">
                  <c:v>138</c:v>
                </c:pt>
                <c:pt idx="708">
                  <c:v>138</c:v>
                </c:pt>
                <c:pt idx="709">
                  <c:v>138</c:v>
                </c:pt>
                <c:pt idx="710">
                  <c:v>138</c:v>
                </c:pt>
                <c:pt idx="711">
                  <c:v>138</c:v>
                </c:pt>
                <c:pt idx="712">
                  <c:v>138</c:v>
                </c:pt>
                <c:pt idx="713">
                  <c:v>138</c:v>
                </c:pt>
                <c:pt idx="714">
                  <c:v>138</c:v>
                </c:pt>
                <c:pt idx="715">
                  <c:v>138</c:v>
                </c:pt>
                <c:pt idx="716">
                  <c:v>138</c:v>
                </c:pt>
                <c:pt idx="717">
                  <c:v>138</c:v>
                </c:pt>
                <c:pt idx="718">
                  <c:v>138</c:v>
                </c:pt>
                <c:pt idx="719">
                  <c:v>138</c:v>
                </c:pt>
                <c:pt idx="720">
                  <c:v>138</c:v>
                </c:pt>
                <c:pt idx="721">
                  <c:v>138</c:v>
                </c:pt>
                <c:pt idx="722">
                  <c:v>138</c:v>
                </c:pt>
                <c:pt idx="723">
                  <c:v>138</c:v>
                </c:pt>
                <c:pt idx="724">
                  <c:v>138</c:v>
                </c:pt>
                <c:pt idx="725">
                  <c:v>138</c:v>
                </c:pt>
                <c:pt idx="726">
                  <c:v>138</c:v>
                </c:pt>
                <c:pt idx="727">
                  <c:v>138</c:v>
                </c:pt>
                <c:pt idx="728">
                  <c:v>138</c:v>
                </c:pt>
                <c:pt idx="729">
                  <c:v>138</c:v>
                </c:pt>
                <c:pt idx="730">
                  <c:v>138</c:v>
                </c:pt>
                <c:pt idx="731">
                  <c:v>138</c:v>
                </c:pt>
                <c:pt idx="732">
                  <c:v>138</c:v>
                </c:pt>
                <c:pt idx="733">
                  <c:v>138</c:v>
                </c:pt>
                <c:pt idx="734">
                  <c:v>138</c:v>
                </c:pt>
                <c:pt idx="735">
                  <c:v>138</c:v>
                </c:pt>
                <c:pt idx="736">
                  <c:v>138</c:v>
                </c:pt>
                <c:pt idx="737">
                  <c:v>138</c:v>
                </c:pt>
                <c:pt idx="738">
                  <c:v>138</c:v>
                </c:pt>
                <c:pt idx="739">
                  <c:v>138</c:v>
                </c:pt>
                <c:pt idx="740">
                  <c:v>166</c:v>
                </c:pt>
                <c:pt idx="741">
                  <c:v>166</c:v>
                </c:pt>
                <c:pt idx="742">
                  <c:v>166</c:v>
                </c:pt>
                <c:pt idx="743">
                  <c:v>166</c:v>
                </c:pt>
                <c:pt idx="744">
                  <c:v>166</c:v>
                </c:pt>
                <c:pt idx="745">
                  <c:v>166</c:v>
                </c:pt>
                <c:pt idx="746">
                  <c:v>166</c:v>
                </c:pt>
                <c:pt idx="747">
                  <c:v>166</c:v>
                </c:pt>
                <c:pt idx="748">
                  <c:v>166</c:v>
                </c:pt>
                <c:pt idx="749">
                  <c:v>166</c:v>
                </c:pt>
                <c:pt idx="750">
                  <c:v>166</c:v>
                </c:pt>
                <c:pt idx="751">
                  <c:v>166</c:v>
                </c:pt>
                <c:pt idx="752">
                  <c:v>166</c:v>
                </c:pt>
                <c:pt idx="753">
                  <c:v>166</c:v>
                </c:pt>
                <c:pt idx="754">
                  <c:v>166</c:v>
                </c:pt>
                <c:pt idx="755">
                  <c:v>166</c:v>
                </c:pt>
                <c:pt idx="756">
                  <c:v>166</c:v>
                </c:pt>
                <c:pt idx="757">
                  <c:v>166</c:v>
                </c:pt>
                <c:pt idx="758">
                  <c:v>166</c:v>
                </c:pt>
                <c:pt idx="759">
                  <c:v>166</c:v>
                </c:pt>
                <c:pt idx="760">
                  <c:v>166</c:v>
                </c:pt>
                <c:pt idx="761">
                  <c:v>166</c:v>
                </c:pt>
                <c:pt idx="762">
                  <c:v>166</c:v>
                </c:pt>
                <c:pt idx="763">
                  <c:v>166</c:v>
                </c:pt>
                <c:pt idx="764">
                  <c:v>166</c:v>
                </c:pt>
                <c:pt idx="765">
                  <c:v>166</c:v>
                </c:pt>
                <c:pt idx="766">
                  <c:v>166</c:v>
                </c:pt>
                <c:pt idx="767">
                  <c:v>166</c:v>
                </c:pt>
                <c:pt idx="768">
                  <c:v>166</c:v>
                </c:pt>
                <c:pt idx="769">
                  <c:v>166</c:v>
                </c:pt>
                <c:pt idx="770">
                  <c:v>166</c:v>
                </c:pt>
                <c:pt idx="771">
                  <c:v>166</c:v>
                </c:pt>
                <c:pt idx="772">
                  <c:v>166</c:v>
                </c:pt>
                <c:pt idx="773">
                  <c:v>166</c:v>
                </c:pt>
                <c:pt idx="774">
                  <c:v>166</c:v>
                </c:pt>
                <c:pt idx="775">
                  <c:v>166</c:v>
                </c:pt>
                <c:pt idx="776">
                  <c:v>166</c:v>
                </c:pt>
                <c:pt idx="777">
                  <c:v>166</c:v>
                </c:pt>
                <c:pt idx="778">
                  <c:v>166</c:v>
                </c:pt>
                <c:pt idx="779">
                  <c:v>166</c:v>
                </c:pt>
                <c:pt idx="780">
                  <c:v>166</c:v>
                </c:pt>
                <c:pt idx="781">
                  <c:v>166</c:v>
                </c:pt>
                <c:pt idx="782">
                  <c:v>166</c:v>
                </c:pt>
                <c:pt idx="783">
                  <c:v>166</c:v>
                </c:pt>
                <c:pt idx="784">
                  <c:v>166</c:v>
                </c:pt>
                <c:pt idx="785">
                  <c:v>166</c:v>
                </c:pt>
                <c:pt idx="786">
                  <c:v>166</c:v>
                </c:pt>
                <c:pt idx="787">
                  <c:v>166</c:v>
                </c:pt>
                <c:pt idx="788">
                  <c:v>166</c:v>
                </c:pt>
                <c:pt idx="789">
                  <c:v>166</c:v>
                </c:pt>
                <c:pt idx="790">
                  <c:v>166</c:v>
                </c:pt>
                <c:pt idx="791">
                  <c:v>166</c:v>
                </c:pt>
                <c:pt idx="792">
                  <c:v>166</c:v>
                </c:pt>
                <c:pt idx="793">
                  <c:v>166</c:v>
                </c:pt>
                <c:pt idx="794">
                  <c:v>166</c:v>
                </c:pt>
                <c:pt idx="795">
                  <c:v>166</c:v>
                </c:pt>
                <c:pt idx="796">
                  <c:v>166</c:v>
                </c:pt>
                <c:pt idx="797">
                  <c:v>166</c:v>
                </c:pt>
                <c:pt idx="798">
                  <c:v>166</c:v>
                </c:pt>
                <c:pt idx="799">
                  <c:v>166</c:v>
                </c:pt>
                <c:pt idx="800">
                  <c:v>166</c:v>
                </c:pt>
                <c:pt idx="801">
                  <c:v>166</c:v>
                </c:pt>
                <c:pt idx="802">
                  <c:v>166</c:v>
                </c:pt>
                <c:pt idx="803">
                  <c:v>166</c:v>
                </c:pt>
                <c:pt idx="804">
                  <c:v>166</c:v>
                </c:pt>
                <c:pt idx="805">
                  <c:v>166</c:v>
                </c:pt>
                <c:pt idx="806">
                  <c:v>166</c:v>
                </c:pt>
                <c:pt idx="807">
                  <c:v>166</c:v>
                </c:pt>
                <c:pt idx="808">
                  <c:v>166</c:v>
                </c:pt>
                <c:pt idx="809">
                  <c:v>166</c:v>
                </c:pt>
                <c:pt idx="810">
                  <c:v>166</c:v>
                </c:pt>
                <c:pt idx="811">
                  <c:v>166</c:v>
                </c:pt>
                <c:pt idx="812">
                  <c:v>166</c:v>
                </c:pt>
                <c:pt idx="813">
                  <c:v>166</c:v>
                </c:pt>
                <c:pt idx="814">
                  <c:v>166</c:v>
                </c:pt>
                <c:pt idx="815">
                  <c:v>166</c:v>
                </c:pt>
                <c:pt idx="816">
                  <c:v>166</c:v>
                </c:pt>
                <c:pt idx="817">
                  <c:v>166</c:v>
                </c:pt>
                <c:pt idx="818">
                  <c:v>194</c:v>
                </c:pt>
                <c:pt idx="819">
                  <c:v>194</c:v>
                </c:pt>
                <c:pt idx="820">
                  <c:v>194</c:v>
                </c:pt>
                <c:pt idx="821">
                  <c:v>194</c:v>
                </c:pt>
                <c:pt idx="822">
                  <c:v>194</c:v>
                </c:pt>
                <c:pt idx="823">
                  <c:v>194</c:v>
                </c:pt>
                <c:pt idx="824">
                  <c:v>194</c:v>
                </c:pt>
                <c:pt idx="825">
                  <c:v>194</c:v>
                </c:pt>
                <c:pt idx="826">
                  <c:v>194</c:v>
                </c:pt>
                <c:pt idx="827">
                  <c:v>194</c:v>
                </c:pt>
                <c:pt idx="828">
                  <c:v>194</c:v>
                </c:pt>
                <c:pt idx="829">
                  <c:v>194</c:v>
                </c:pt>
                <c:pt idx="830">
                  <c:v>194</c:v>
                </c:pt>
                <c:pt idx="831">
                  <c:v>194</c:v>
                </c:pt>
                <c:pt idx="832">
                  <c:v>194</c:v>
                </c:pt>
                <c:pt idx="833">
                  <c:v>194</c:v>
                </c:pt>
                <c:pt idx="834">
                  <c:v>194</c:v>
                </c:pt>
                <c:pt idx="835">
                  <c:v>194</c:v>
                </c:pt>
                <c:pt idx="836">
                  <c:v>194</c:v>
                </c:pt>
                <c:pt idx="837">
                  <c:v>194</c:v>
                </c:pt>
                <c:pt idx="838">
                  <c:v>194</c:v>
                </c:pt>
                <c:pt idx="839">
                  <c:v>194</c:v>
                </c:pt>
                <c:pt idx="840">
                  <c:v>194</c:v>
                </c:pt>
                <c:pt idx="841">
                  <c:v>194</c:v>
                </c:pt>
                <c:pt idx="842">
                  <c:v>194</c:v>
                </c:pt>
                <c:pt idx="843">
                  <c:v>194</c:v>
                </c:pt>
                <c:pt idx="844">
                  <c:v>194</c:v>
                </c:pt>
                <c:pt idx="845">
                  <c:v>194</c:v>
                </c:pt>
                <c:pt idx="846">
                  <c:v>194</c:v>
                </c:pt>
                <c:pt idx="847">
                  <c:v>194</c:v>
                </c:pt>
                <c:pt idx="848">
                  <c:v>194</c:v>
                </c:pt>
                <c:pt idx="849">
                  <c:v>194</c:v>
                </c:pt>
                <c:pt idx="850">
                  <c:v>194</c:v>
                </c:pt>
                <c:pt idx="851">
                  <c:v>194</c:v>
                </c:pt>
                <c:pt idx="852">
                  <c:v>194</c:v>
                </c:pt>
                <c:pt idx="853">
                  <c:v>194</c:v>
                </c:pt>
                <c:pt idx="854">
                  <c:v>194</c:v>
                </c:pt>
                <c:pt idx="855">
                  <c:v>194</c:v>
                </c:pt>
                <c:pt idx="856">
                  <c:v>194</c:v>
                </c:pt>
                <c:pt idx="857">
                  <c:v>194</c:v>
                </c:pt>
                <c:pt idx="858">
                  <c:v>194</c:v>
                </c:pt>
                <c:pt idx="859">
                  <c:v>194</c:v>
                </c:pt>
                <c:pt idx="860">
                  <c:v>194</c:v>
                </c:pt>
                <c:pt idx="861">
                  <c:v>194</c:v>
                </c:pt>
                <c:pt idx="862">
                  <c:v>194</c:v>
                </c:pt>
                <c:pt idx="863">
                  <c:v>194</c:v>
                </c:pt>
                <c:pt idx="864">
                  <c:v>194</c:v>
                </c:pt>
                <c:pt idx="865">
                  <c:v>194</c:v>
                </c:pt>
                <c:pt idx="866">
                  <c:v>194</c:v>
                </c:pt>
                <c:pt idx="867">
                  <c:v>194</c:v>
                </c:pt>
                <c:pt idx="868">
                  <c:v>194</c:v>
                </c:pt>
                <c:pt idx="869">
                  <c:v>194</c:v>
                </c:pt>
                <c:pt idx="870">
                  <c:v>194</c:v>
                </c:pt>
                <c:pt idx="871">
                  <c:v>194</c:v>
                </c:pt>
                <c:pt idx="872">
                  <c:v>194</c:v>
                </c:pt>
                <c:pt idx="873">
                  <c:v>194</c:v>
                </c:pt>
                <c:pt idx="874">
                  <c:v>194</c:v>
                </c:pt>
                <c:pt idx="875">
                  <c:v>194</c:v>
                </c:pt>
                <c:pt idx="876">
                  <c:v>194</c:v>
                </c:pt>
                <c:pt idx="877">
                  <c:v>194</c:v>
                </c:pt>
                <c:pt idx="878">
                  <c:v>194</c:v>
                </c:pt>
                <c:pt idx="879">
                  <c:v>194</c:v>
                </c:pt>
                <c:pt idx="880">
                  <c:v>194</c:v>
                </c:pt>
                <c:pt idx="881">
                  <c:v>194</c:v>
                </c:pt>
                <c:pt idx="882">
                  <c:v>194</c:v>
                </c:pt>
                <c:pt idx="883">
                  <c:v>194</c:v>
                </c:pt>
                <c:pt idx="884">
                  <c:v>194</c:v>
                </c:pt>
                <c:pt idx="885">
                  <c:v>194</c:v>
                </c:pt>
                <c:pt idx="886">
                  <c:v>194</c:v>
                </c:pt>
                <c:pt idx="887">
                  <c:v>194</c:v>
                </c:pt>
                <c:pt idx="888">
                  <c:v>194</c:v>
                </c:pt>
                <c:pt idx="889">
                  <c:v>194</c:v>
                </c:pt>
                <c:pt idx="890">
                  <c:v>194</c:v>
                </c:pt>
                <c:pt idx="891">
                  <c:v>194</c:v>
                </c:pt>
                <c:pt idx="892">
                  <c:v>194</c:v>
                </c:pt>
                <c:pt idx="893">
                  <c:v>194</c:v>
                </c:pt>
                <c:pt idx="894">
                  <c:v>194</c:v>
                </c:pt>
                <c:pt idx="895">
                  <c:v>194</c:v>
                </c:pt>
                <c:pt idx="896">
                  <c:v>194</c:v>
                </c:pt>
                <c:pt idx="897">
                  <c:v>194</c:v>
                </c:pt>
                <c:pt idx="898">
                  <c:v>222</c:v>
                </c:pt>
                <c:pt idx="899">
                  <c:v>222</c:v>
                </c:pt>
                <c:pt idx="900">
                  <c:v>222</c:v>
                </c:pt>
                <c:pt idx="901">
                  <c:v>222</c:v>
                </c:pt>
                <c:pt idx="902">
                  <c:v>222</c:v>
                </c:pt>
                <c:pt idx="903">
                  <c:v>222</c:v>
                </c:pt>
                <c:pt idx="904">
                  <c:v>222</c:v>
                </c:pt>
                <c:pt idx="905">
                  <c:v>222</c:v>
                </c:pt>
                <c:pt idx="906">
                  <c:v>222</c:v>
                </c:pt>
                <c:pt idx="907">
                  <c:v>222</c:v>
                </c:pt>
                <c:pt idx="908">
                  <c:v>222</c:v>
                </c:pt>
                <c:pt idx="909">
                  <c:v>222</c:v>
                </c:pt>
                <c:pt idx="910">
                  <c:v>222</c:v>
                </c:pt>
                <c:pt idx="911">
                  <c:v>222</c:v>
                </c:pt>
                <c:pt idx="912">
                  <c:v>222</c:v>
                </c:pt>
                <c:pt idx="913">
                  <c:v>222</c:v>
                </c:pt>
                <c:pt idx="914">
                  <c:v>222</c:v>
                </c:pt>
                <c:pt idx="915">
                  <c:v>222</c:v>
                </c:pt>
                <c:pt idx="916">
                  <c:v>222</c:v>
                </c:pt>
                <c:pt idx="917">
                  <c:v>222</c:v>
                </c:pt>
                <c:pt idx="918">
                  <c:v>222</c:v>
                </c:pt>
                <c:pt idx="919">
                  <c:v>222</c:v>
                </c:pt>
                <c:pt idx="920">
                  <c:v>222</c:v>
                </c:pt>
                <c:pt idx="921">
                  <c:v>222</c:v>
                </c:pt>
                <c:pt idx="922">
                  <c:v>222</c:v>
                </c:pt>
                <c:pt idx="923">
                  <c:v>222</c:v>
                </c:pt>
                <c:pt idx="924">
                  <c:v>222</c:v>
                </c:pt>
                <c:pt idx="925">
                  <c:v>222</c:v>
                </c:pt>
                <c:pt idx="926">
                  <c:v>222</c:v>
                </c:pt>
                <c:pt idx="927">
                  <c:v>222</c:v>
                </c:pt>
                <c:pt idx="928">
                  <c:v>222</c:v>
                </c:pt>
                <c:pt idx="929">
                  <c:v>222</c:v>
                </c:pt>
                <c:pt idx="930">
                  <c:v>222</c:v>
                </c:pt>
                <c:pt idx="931">
                  <c:v>222</c:v>
                </c:pt>
                <c:pt idx="932">
                  <c:v>222</c:v>
                </c:pt>
                <c:pt idx="933">
                  <c:v>222</c:v>
                </c:pt>
                <c:pt idx="934">
                  <c:v>222</c:v>
                </c:pt>
                <c:pt idx="935">
                  <c:v>222</c:v>
                </c:pt>
                <c:pt idx="936">
                  <c:v>222</c:v>
                </c:pt>
                <c:pt idx="937">
                  <c:v>222</c:v>
                </c:pt>
                <c:pt idx="938">
                  <c:v>222</c:v>
                </c:pt>
                <c:pt idx="939">
                  <c:v>222</c:v>
                </c:pt>
                <c:pt idx="940">
                  <c:v>222</c:v>
                </c:pt>
                <c:pt idx="941">
                  <c:v>222</c:v>
                </c:pt>
                <c:pt idx="942">
                  <c:v>222</c:v>
                </c:pt>
                <c:pt idx="943">
                  <c:v>222</c:v>
                </c:pt>
                <c:pt idx="944">
                  <c:v>222</c:v>
                </c:pt>
                <c:pt idx="945">
                  <c:v>222</c:v>
                </c:pt>
                <c:pt idx="946">
                  <c:v>222</c:v>
                </c:pt>
                <c:pt idx="947">
                  <c:v>222</c:v>
                </c:pt>
                <c:pt idx="948">
                  <c:v>222</c:v>
                </c:pt>
                <c:pt idx="949">
                  <c:v>222</c:v>
                </c:pt>
                <c:pt idx="950">
                  <c:v>222</c:v>
                </c:pt>
                <c:pt idx="951">
                  <c:v>222</c:v>
                </c:pt>
                <c:pt idx="952">
                  <c:v>222</c:v>
                </c:pt>
                <c:pt idx="953">
                  <c:v>222</c:v>
                </c:pt>
                <c:pt idx="954">
                  <c:v>222</c:v>
                </c:pt>
                <c:pt idx="955">
                  <c:v>222</c:v>
                </c:pt>
                <c:pt idx="956">
                  <c:v>222</c:v>
                </c:pt>
                <c:pt idx="957">
                  <c:v>222</c:v>
                </c:pt>
                <c:pt idx="958">
                  <c:v>222</c:v>
                </c:pt>
                <c:pt idx="959">
                  <c:v>222</c:v>
                </c:pt>
                <c:pt idx="960">
                  <c:v>222</c:v>
                </c:pt>
                <c:pt idx="961">
                  <c:v>222</c:v>
                </c:pt>
                <c:pt idx="962">
                  <c:v>222</c:v>
                </c:pt>
                <c:pt idx="963">
                  <c:v>222</c:v>
                </c:pt>
                <c:pt idx="964">
                  <c:v>222</c:v>
                </c:pt>
                <c:pt idx="965">
                  <c:v>222</c:v>
                </c:pt>
                <c:pt idx="966">
                  <c:v>222</c:v>
                </c:pt>
                <c:pt idx="967">
                  <c:v>222</c:v>
                </c:pt>
                <c:pt idx="968">
                  <c:v>222</c:v>
                </c:pt>
                <c:pt idx="969">
                  <c:v>222</c:v>
                </c:pt>
                <c:pt idx="970">
                  <c:v>222</c:v>
                </c:pt>
                <c:pt idx="971">
                  <c:v>222</c:v>
                </c:pt>
                <c:pt idx="972">
                  <c:v>222</c:v>
                </c:pt>
                <c:pt idx="973">
                  <c:v>222</c:v>
                </c:pt>
                <c:pt idx="974">
                  <c:v>222</c:v>
                </c:pt>
                <c:pt idx="975">
                  <c:v>222</c:v>
                </c:pt>
                <c:pt idx="976">
                  <c:v>222</c:v>
                </c:pt>
                <c:pt idx="977">
                  <c:v>222</c:v>
                </c:pt>
                <c:pt idx="978">
                  <c:v>222</c:v>
                </c:pt>
                <c:pt idx="979">
                  <c:v>222</c:v>
                </c:pt>
                <c:pt idx="980">
                  <c:v>222</c:v>
                </c:pt>
                <c:pt idx="981">
                  <c:v>222</c:v>
                </c:pt>
                <c:pt idx="982">
                  <c:v>222</c:v>
                </c:pt>
                <c:pt idx="983">
                  <c:v>222</c:v>
                </c:pt>
                <c:pt idx="984">
                  <c:v>222</c:v>
                </c:pt>
                <c:pt idx="985">
                  <c:v>222</c:v>
                </c:pt>
                <c:pt idx="986">
                  <c:v>256</c:v>
                </c:pt>
                <c:pt idx="987">
                  <c:v>256</c:v>
                </c:pt>
                <c:pt idx="988">
                  <c:v>256</c:v>
                </c:pt>
                <c:pt idx="989">
                  <c:v>256</c:v>
                </c:pt>
                <c:pt idx="990">
                  <c:v>256</c:v>
                </c:pt>
                <c:pt idx="991">
                  <c:v>256</c:v>
                </c:pt>
                <c:pt idx="992">
                  <c:v>256</c:v>
                </c:pt>
                <c:pt idx="993">
                  <c:v>256</c:v>
                </c:pt>
                <c:pt idx="994">
                  <c:v>256</c:v>
                </c:pt>
                <c:pt idx="995">
                  <c:v>256</c:v>
                </c:pt>
                <c:pt idx="996">
                  <c:v>256</c:v>
                </c:pt>
                <c:pt idx="997">
                  <c:v>256</c:v>
                </c:pt>
                <c:pt idx="998">
                  <c:v>256</c:v>
                </c:pt>
                <c:pt idx="999">
                  <c:v>256</c:v>
                </c:pt>
                <c:pt idx="1000">
                  <c:v>256</c:v>
                </c:pt>
                <c:pt idx="1001">
                  <c:v>256</c:v>
                </c:pt>
                <c:pt idx="1002">
                  <c:v>256</c:v>
                </c:pt>
                <c:pt idx="1003">
                  <c:v>256</c:v>
                </c:pt>
                <c:pt idx="1004">
                  <c:v>256</c:v>
                </c:pt>
                <c:pt idx="1005">
                  <c:v>256</c:v>
                </c:pt>
                <c:pt idx="1006">
                  <c:v>256</c:v>
                </c:pt>
                <c:pt idx="1007">
                  <c:v>256</c:v>
                </c:pt>
                <c:pt idx="1008">
                  <c:v>256</c:v>
                </c:pt>
                <c:pt idx="1009">
                  <c:v>256</c:v>
                </c:pt>
                <c:pt idx="1010">
                  <c:v>256</c:v>
                </c:pt>
                <c:pt idx="1011">
                  <c:v>256</c:v>
                </c:pt>
                <c:pt idx="1012">
                  <c:v>256</c:v>
                </c:pt>
                <c:pt idx="1013">
                  <c:v>256</c:v>
                </c:pt>
                <c:pt idx="1014">
                  <c:v>256</c:v>
                </c:pt>
                <c:pt idx="1015">
                  <c:v>256</c:v>
                </c:pt>
                <c:pt idx="1016">
                  <c:v>256</c:v>
                </c:pt>
                <c:pt idx="1017">
                  <c:v>256</c:v>
                </c:pt>
                <c:pt idx="1018">
                  <c:v>256</c:v>
                </c:pt>
                <c:pt idx="1019">
                  <c:v>256</c:v>
                </c:pt>
                <c:pt idx="1020">
                  <c:v>256</c:v>
                </c:pt>
                <c:pt idx="1021">
                  <c:v>256</c:v>
                </c:pt>
                <c:pt idx="1022">
                  <c:v>256</c:v>
                </c:pt>
                <c:pt idx="1023">
                  <c:v>256</c:v>
                </c:pt>
                <c:pt idx="1024">
                  <c:v>256</c:v>
                </c:pt>
                <c:pt idx="1025">
                  <c:v>256</c:v>
                </c:pt>
                <c:pt idx="1026">
                  <c:v>256</c:v>
                </c:pt>
                <c:pt idx="1027">
                  <c:v>256</c:v>
                </c:pt>
                <c:pt idx="1028">
                  <c:v>256</c:v>
                </c:pt>
                <c:pt idx="1029">
                  <c:v>256</c:v>
                </c:pt>
                <c:pt idx="1030">
                  <c:v>256</c:v>
                </c:pt>
                <c:pt idx="1031">
                  <c:v>256</c:v>
                </c:pt>
                <c:pt idx="1032">
                  <c:v>256</c:v>
                </c:pt>
                <c:pt idx="1033">
                  <c:v>256</c:v>
                </c:pt>
                <c:pt idx="1034">
                  <c:v>256</c:v>
                </c:pt>
                <c:pt idx="1035">
                  <c:v>256</c:v>
                </c:pt>
                <c:pt idx="1036">
                  <c:v>256</c:v>
                </c:pt>
                <c:pt idx="1037">
                  <c:v>256</c:v>
                </c:pt>
                <c:pt idx="1038">
                  <c:v>256</c:v>
                </c:pt>
                <c:pt idx="1039">
                  <c:v>256</c:v>
                </c:pt>
                <c:pt idx="1040">
                  <c:v>256</c:v>
                </c:pt>
                <c:pt idx="1041">
                  <c:v>256</c:v>
                </c:pt>
                <c:pt idx="1042">
                  <c:v>256</c:v>
                </c:pt>
                <c:pt idx="1043">
                  <c:v>256</c:v>
                </c:pt>
                <c:pt idx="1044">
                  <c:v>256</c:v>
                </c:pt>
                <c:pt idx="1045">
                  <c:v>256</c:v>
                </c:pt>
                <c:pt idx="1046">
                  <c:v>256</c:v>
                </c:pt>
                <c:pt idx="1047">
                  <c:v>256</c:v>
                </c:pt>
                <c:pt idx="1048">
                  <c:v>256</c:v>
                </c:pt>
                <c:pt idx="1049">
                  <c:v>256</c:v>
                </c:pt>
                <c:pt idx="1050">
                  <c:v>256</c:v>
                </c:pt>
                <c:pt idx="1051">
                  <c:v>256</c:v>
                </c:pt>
                <c:pt idx="1052">
                  <c:v>256</c:v>
                </c:pt>
                <c:pt idx="1053">
                  <c:v>256</c:v>
                </c:pt>
                <c:pt idx="1054">
                  <c:v>256</c:v>
                </c:pt>
                <c:pt idx="1055">
                  <c:v>256</c:v>
                </c:pt>
                <c:pt idx="1056">
                  <c:v>256</c:v>
                </c:pt>
                <c:pt idx="1057">
                  <c:v>256</c:v>
                </c:pt>
                <c:pt idx="1058">
                  <c:v>256</c:v>
                </c:pt>
                <c:pt idx="1059">
                  <c:v>256</c:v>
                </c:pt>
                <c:pt idx="1060">
                  <c:v>256</c:v>
                </c:pt>
                <c:pt idx="1061">
                  <c:v>256</c:v>
                </c:pt>
                <c:pt idx="1062">
                  <c:v>256</c:v>
                </c:pt>
                <c:pt idx="1063">
                  <c:v>256</c:v>
                </c:pt>
                <c:pt idx="1064">
                  <c:v>256</c:v>
                </c:pt>
                <c:pt idx="1065">
                  <c:v>256</c:v>
                </c:pt>
                <c:pt idx="1066">
                  <c:v>256</c:v>
                </c:pt>
                <c:pt idx="1067">
                  <c:v>256</c:v>
                </c:pt>
                <c:pt idx="1068">
                  <c:v>256</c:v>
                </c:pt>
                <c:pt idx="1069">
                  <c:v>256</c:v>
                </c:pt>
                <c:pt idx="1070">
                  <c:v>256</c:v>
                </c:pt>
                <c:pt idx="1071">
                  <c:v>256</c:v>
                </c:pt>
                <c:pt idx="1072">
                  <c:v>256</c:v>
                </c:pt>
                <c:pt idx="1073">
                  <c:v>256</c:v>
                </c:pt>
                <c:pt idx="1074">
                  <c:v>256</c:v>
                </c:pt>
                <c:pt idx="1075">
                  <c:v>256</c:v>
                </c:pt>
                <c:pt idx="1076">
                  <c:v>256</c:v>
                </c:pt>
                <c:pt idx="1077">
                  <c:v>256</c:v>
                </c:pt>
                <c:pt idx="1078">
                  <c:v>256</c:v>
                </c:pt>
                <c:pt idx="1079">
                  <c:v>256</c:v>
                </c:pt>
                <c:pt idx="1080">
                  <c:v>256</c:v>
                </c:pt>
                <c:pt idx="1081">
                  <c:v>256</c:v>
                </c:pt>
                <c:pt idx="1082">
                  <c:v>256</c:v>
                </c:pt>
                <c:pt idx="1083">
                  <c:v>256</c:v>
                </c:pt>
                <c:pt idx="1084">
                  <c:v>256</c:v>
                </c:pt>
                <c:pt idx="1085">
                  <c:v>256</c:v>
                </c:pt>
                <c:pt idx="1086">
                  <c:v>256</c:v>
                </c:pt>
                <c:pt idx="1087">
                  <c:v>256</c:v>
                </c:pt>
                <c:pt idx="1088">
                  <c:v>256</c:v>
                </c:pt>
                <c:pt idx="1089">
                  <c:v>256</c:v>
                </c:pt>
                <c:pt idx="1090">
                  <c:v>256</c:v>
                </c:pt>
                <c:pt idx="1091">
                  <c:v>256</c:v>
                </c:pt>
                <c:pt idx="1092">
                  <c:v>256</c:v>
                </c:pt>
                <c:pt idx="1093">
                  <c:v>256</c:v>
                </c:pt>
                <c:pt idx="1094">
                  <c:v>256</c:v>
                </c:pt>
                <c:pt idx="1095">
                  <c:v>256</c:v>
                </c:pt>
                <c:pt idx="1096">
                  <c:v>256</c:v>
                </c:pt>
                <c:pt idx="1097">
                  <c:v>256</c:v>
                </c:pt>
                <c:pt idx="1098">
                  <c:v>256</c:v>
                </c:pt>
                <c:pt idx="1099">
                  <c:v>256</c:v>
                </c:pt>
                <c:pt idx="1100">
                  <c:v>256</c:v>
                </c:pt>
                <c:pt idx="1101">
                  <c:v>256</c:v>
                </c:pt>
                <c:pt idx="1102">
                  <c:v>256</c:v>
                </c:pt>
                <c:pt idx="1103">
                  <c:v>256</c:v>
                </c:pt>
                <c:pt idx="1104">
                  <c:v>256</c:v>
                </c:pt>
                <c:pt idx="1105">
                  <c:v>256</c:v>
                </c:pt>
                <c:pt idx="1106">
                  <c:v>256</c:v>
                </c:pt>
                <c:pt idx="1107">
                  <c:v>256</c:v>
                </c:pt>
                <c:pt idx="1108">
                  <c:v>256</c:v>
                </c:pt>
                <c:pt idx="1109">
                  <c:v>256</c:v>
                </c:pt>
                <c:pt idx="1110">
                  <c:v>256</c:v>
                </c:pt>
                <c:pt idx="1111">
                  <c:v>256</c:v>
                </c:pt>
                <c:pt idx="1112">
                  <c:v>256</c:v>
                </c:pt>
                <c:pt idx="1113">
                  <c:v>256</c:v>
                </c:pt>
                <c:pt idx="1114">
                  <c:v>256</c:v>
                </c:pt>
                <c:pt idx="1115">
                  <c:v>256</c:v>
                </c:pt>
                <c:pt idx="1116">
                  <c:v>256</c:v>
                </c:pt>
                <c:pt idx="1117">
                  <c:v>256</c:v>
                </c:pt>
                <c:pt idx="1118">
                  <c:v>256</c:v>
                </c:pt>
                <c:pt idx="1119">
                  <c:v>256</c:v>
                </c:pt>
                <c:pt idx="1120">
                  <c:v>256</c:v>
                </c:pt>
                <c:pt idx="1121">
                  <c:v>256</c:v>
                </c:pt>
                <c:pt idx="1122">
                  <c:v>320</c:v>
                </c:pt>
                <c:pt idx="1123">
                  <c:v>320</c:v>
                </c:pt>
                <c:pt idx="1124">
                  <c:v>320</c:v>
                </c:pt>
                <c:pt idx="1125">
                  <c:v>320</c:v>
                </c:pt>
                <c:pt idx="1126">
                  <c:v>320</c:v>
                </c:pt>
                <c:pt idx="1127">
                  <c:v>320</c:v>
                </c:pt>
                <c:pt idx="1128">
                  <c:v>320</c:v>
                </c:pt>
                <c:pt idx="1129">
                  <c:v>320</c:v>
                </c:pt>
                <c:pt idx="1130">
                  <c:v>320</c:v>
                </c:pt>
                <c:pt idx="1131">
                  <c:v>320</c:v>
                </c:pt>
                <c:pt idx="1132">
                  <c:v>320</c:v>
                </c:pt>
                <c:pt idx="1133">
                  <c:v>320</c:v>
                </c:pt>
                <c:pt idx="1134">
                  <c:v>320</c:v>
                </c:pt>
                <c:pt idx="1135">
                  <c:v>320</c:v>
                </c:pt>
                <c:pt idx="1136">
                  <c:v>320</c:v>
                </c:pt>
                <c:pt idx="1137">
                  <c:v>320</c:v>
                </c:pt>
                <c:pt idx="1138">
                  <c:v>320</c:v>
                </c:pt>
                <c:pt idx="1139">
                  <c:v>320</c:v>
                </c:pt>
                <c:pt idx="1140">
                  <c:v>320</c:v>
                </c:pt>
                <c:pt idx="1141">
                  <c:v>320</c:v>
                </c:pt>
                <c:pt idx="1142">
                  <c:v>320</c:v>
                </c:pt>
                <c:pt idx="1143">
                  <c:v>320</c:v>
                </c:pt>
                <c:pt idx="1144">
                  <c:v>320</c:v>
                </c:pt>
                <c:pt idx="1145">
                  <c:v>320</c:v>
                </c:pt>
                <c:pt idx="1146">
                  <c:v>320</c:v>
                </c:pt>
                <c:pt idx="1147">
                  <c:v>320</c:v>
                </c:pt>
                <c:pt idx="1148">
                  <c:v>320</c:v>
                </c:pt>
                <c:pt idx="1149">
                  <c:v>320</c:v>
                </c:pt>
                <c:pt idx="1150">
                  <c:v>320</c:v>
                </c:pt>
                <c:pt idx="1151">
                  <c:v>320</c:v>
                </c:pt>
                <c:pt idx="1152">
                  <c:v>320</c:v>
                </c:pt>
                <c:pt idx="1153">
                  <c:v>320</c:v>
                </c:pt>
                <c:pt idx="1154">
                  <c:v>320</c:v>
                </c:pt>
                <c:pt idx="1155">
                  <c:v>320</c:v>
                </c:pt>
                <c:pt idx="1156">
                  <c:v>320</c:v>
                </c:pt>
                <c:pt idx="1157">
                  <c:v>320</c:v>
                </c:pt>
                <c:pt idx="1158">
                  <c:v>320</c:v>
                </c:pt>
                <c:pt idx="1159">
                  <c:v>320</c:v>
                </c:pt>
                <c:pt idx="1160">
                  <c:v>320</c:v>
                </c:pt>
                <c:pt idx="1161">
                  <c:v>320</c:v>
                </c:pt>
                <c:pt idx="1162">
                  <c:v>320</c:v>
                </c:pt>
                <c:pt idx="1163">
                  <c:v>320</c:v>
                </c:pt>
                <c:pt idx="1164">
                  <c:v>320</c:v>
                </c:pt>
                <c:pt idx="1165">
                  <c:v>320</c:v>
                </c:pt>
                <c:pt idx="1166">
                  <c:v>320</c:v>
                </c:pt>
                <c:pt idx="1167">
                  <c:v>320</c:v>
                </c:pt>
                <c:pt idx="1168">
                  <c:v>320</c:v>
                </c:pt>
                <c:pt idx="1169">
                  <c:v>320</c:v>
                </c:pt>
                <c:pt idx="1170">
                  <c:v>320</c:v>
                </c:pt>
                <c:pt idx="1171">
                  <c:v>320</c:v>
                </c:pt>
                <c:pt idx="1172">
                  <c:v>320</c:v>
                </c:pt>
                <c:pt idx="1173">
                  <c:v>320</c:v>
                </c:pt>
                <c:pt idx="1174">
                  <c:v>320</c:v>
                </c:pt>
                <c:pt idx="1175">
                  <c:v>320</c:v>
                </c:pt>
                <c:pt idx="1176">
                  <c:v>320</c:v>
                </c:pt>
                <c:pt idx="1177">
                  <c:v>320</c:v>
                </c:pt>
                <c:pt idx="1178">
                  <c:v>320</c:v>
                </c:pt>
                <c:pt idx="1179">
                  <c:v>320</c:v>
                </c:pt>
                <c:pt idx="1180">
                  <c:v>320</c:v>
                </c:pt>
                <c:pt idx="1181">
                  <c:v>320</c:v>
                </c:pt>
                <c:pt idx="1182">
                  <c:v>320</c:v>
                </c:pt>
                <c:pt idx="1183">
                  <c:v>320</c:v>
                </c:pt>
                <c:pt idx="1184">
                  <c:v>320</c:v>
                </c:pt>
                <c:pt idx="1185">
                  <c:v>320</c:v>
                </c:pt>
                <c:pt idx="1186">
                  <c:v>320</c:v>
                </c:pt>
                <c:pt idx="1187">
                  <c:v>320</c:v>
                </c:pt>
                <c:pt idx="1188">
                  <c:v>348</c:v>
                </c:pt>
                <c:pt idx="1189">
                  <c:v>348</c:v>
                </c:pt>
                <c:pt idx="1190">
                  <c:v>348</c:v>
                </c:pt>
                <c:pt idx="1191">
                  <c:v>348</c:v>
                </c:pt>
                <c:pt idx="1192">
                  <c:v>348</c:v>
                </c:pt>
                <c:pt idx="1193">
                  <c:v>348</c:v>
                </c:pt>
                <c:pt idx="1194">
                  <c:v>348</c:v>
                </c:pt>
                <c:pt idx="1195">
                  <c:v>348</c:v>
                </c:pt>
                <c:pt idx="1196">
                  <c:v>348</c:v>
                </c:pt>
                <c:pt idx="1197">
                  <c:v>348</c:v>
                </c:pt>
                <c:pt idx="1198">
                  <c:v>348</c:v>
                </c:pt>
                <c:pt idx="1199">
                  <c:v>348</c:v>
                </c:pt>
                <c:pt idx="1200">
                  <c:v>348</c:v>
                </c:pt>
                <c:pt idx="1201">
                  <c:v>348</c:v>
                </c:pt>
                <c:pt idx="1202">
                  <c:v>348</c:v>
                </c:pt>
                <c:pt idx="1203">
                  <c:v>348</c:v>
                </c:pt>
                <c:pt idx="1204">
                  <c:v>348</c:v>
                </c:pt>
                <c:pt idx="1205">
                  <c:v>348</c:v>
                </c:pt>
                <c:pt idx="1206">
                  <c:v>348</c:v>
                </c:pt>
                <c:pt idx="1207">
                  <c:v>348</c:v>
                </c:pt>
                <c:pt idx="1208">
                  <c:v>348</c:v>
                </c:pt>
                <c:pt idx="1209">
                  <c:v>348</c:v>
                </c:pt>
                <c:pt idx="1210">
                  <c:v>348</c:v>
                </c:pt>
                <c:pt idx="1211">
                  <c:v>348</c:v>
                </c:pt>
                <c:pt idx="1212">
                  <c:v>348</c:v>
                </c:pt>
                <c:pt idx="1213">
                  <c:v>348</c:v>
                </c:pt>
                <c:pt idx="1214">
                  <c:v>348</c:v>
                </c:pt>
                <c:pt idx="1215">
                  <c:v>348</c:v>
                </c:pt>
                <c:pt idx="1216">
                  <c:v>348</c:v>
                </c:pt>
                <c:pt idx="1217">
                  <c:v>348</c:v>
                </c:pt>
                <c:pt idx="1218">
                  <c:v>348</c:v>
                </c:pt>
                <c:pt idx="1219">
                  <c:v>348</c:v>
                </c:pt>
                <c:pt idx="1220">
                  <c:v>348</c:v>
                </c:pt>
                <c:pt idx="1221">
                  <c:v>348</c:v>
                </c:pt>
                <c:pt idx="1222">
                  <c:v>348</c:v>
                </c:pt>
                <c:pt idx="1223">
                  <c:v>348</c:v>
                </c:pt>
                <c:pt idx="1224">
                  <c:v>348</c:v>
                </c:pt>
                <c:pt idx="1225">
                  <c:v>348</c:v>
                </c:pt>
                <c:pt idx="1226">
                  <c:v>348</c:v>
                </c:pt>
                <c:pt idx="1227">
                  <c:v>348</c:v>
                </c:pt>
                <c:pt idx="1228">
                  <c:v>348</c:v>
                </c:pt>
                <c:pt idx="1229">
                  <c:v>348</c:v>
                </c:pt>
                <c:pt idx="1230">
                  <c:v>348</c:v>
                </c:pt>
                <c:pt idx="1231">
                  <c:v>348</c:v>
                </c:pt>
                <c:pt idx="1232">
                  <c:v>348</c:v>
                </c:pt>
                <c:pt idx="1233">
                  <c:v>348</c:v>
                </c:pt>
                <c:pt idx="1234">
                  <c:v>348</c:v>
                </c:pt>
                <c:pt idx="1235">
                  <c:v>348</c:v>
                </c:pt>
                <c:pt idx="1236">
                  <c:v>348</c:v>
                </c:pt>
                <c:pt idx="1237">
                  <c:v>348</c:v>
                </c:pt>
                <c:pt idx="1238">
                  <c:v>348</c:v>
                </c:pt>
                <c:pt idx="1239">
                  <c:v>348</c:v>
                </c:pt>
                <c:pt idx="1240">
                  <c:v>348</c:v>
                </c:pt>
                <c:pt idx="1241">
                  <c:v>348</c:v>
                </c:pt>
                <c:pt idx="1242">
                  <c:v>348</c:v>
                </c:pt>
                <c:pt idx="1243">
                  <c:v>348</c:v>
                </c:pt>
                <c:pt idx="1244">
                  <c:v>348</c:v>
                </c:pt>
                <c:pt idx="1245">
                  <c:v>348</c:v>
                </c:pt>
                <c:pt idx="1246">
                  <c:v>348</c:v>
                </c:pt>
                <c:pt idx="1247">
                  <c:v>348</c:v>
                </c:pt>
                <c:pt idx="1248">
                  <c:v>348</c:v>
                </c:pt>
                <c:pt idx="1249">
                  <c:v>348</c:v>
                </c:pt>
                <c:pt idx="1250">
                  <c:v>348</c:v>
                </c:pt>
                <c:pt idx="1251">
                  <c:v>348</c:v>
                </c:pt>
                <c:pt idx="1252">
                  <c:v>348</c:v>
                </c:pt>
                <c:pt idx="1253">
                  <c:v>348</c:v>
                </c:pt>
                <c:pt idx="1254">
                  <c:v>348</c:v>
                </c:pt>
                <c:pt idx="1255">
                  <c:v>348</c:v>
                </c:pt>
                <c:pt idx="1256">
                  <c:v>348</c:v>
                </c:pt>
                <c:pt idx="1257">
                  <c:v>348</c:v>
                </c:pt>
                <c:pt idx="1258">
                  <c:v>348</c:v>
                </c:pt>
                <c:pt idx="1259">
                  <c:v>348</c:v>
                </c:pt>
                <c:pt idx="1260">
                  <c:v>348</c:v>
                </c:pt>
                <c:pt idx="1261">
                  <c:v>348</c:v>
                </c:pt>
                <c:pt idx="1262">
                  <c:v>348</c:v>
                </c:pt>
                <c:pt idx="1263">
                  <c:v>348</c:v>
                </c:pt>
                <c:pt idx="1264">
                  <c:v>348</c:v>
                </c:pt>
                <c:pt idx="1265">
                  <c:v>348</c:v>
                </c:pt>
                <c:pt idx="1266">
                  <c:v>348</c:v>
                </c:pt>
                <c:pt idx="1267">
                  <c:v>348</c:v>
                </c:pt>
                <c:pt idx="1268">
                  <c:v>348</c:v>
                </c:pt>
                <c:pt idx="1269">
                  <c:v>348</c:v>
                </c:pt>
                <c:pt idx="1270">
                  <c:v>348</c:v>
                </c:pt>
                <c:pt idx="1271">
                  <c:v>348</c:v>
                </c:pt>
                <c:pt idx="1272">
                  <c:v>348</c:v>
                </c:pt>
                <c:pt idx="1273">
                  <c:v>348</c:v>
                </c:pt>
                <c:pt idx="1274">
                  <c:v>348</c:v>
                </c:pt>
                <c:pt idx="1275">
                  <c:v>348</c:v>
                </c:pt>
                <c:pt idx="1276">
                  <c:v>348</c:v>
                </c:pt>
                <c:pt idx="1277">
                  <c:v>348</c:v>
                </c:pt>
                <c:pt idx="1278">
                  <c:v>348</c:v>
                </c:pt>
                <c:pt idx="1279">
                  <c:v>348</c:v>
                </c:pt>
                <c:pt idx="1280">
                  <c:v>348</c:v>
                </c:pt>
                <c:pt idx="1281">
                  <c:v>348</c:v>
                </c:pt>
                <c:pt idx="1282">
                  <c:v>348</c:v>
                </c:pt>
                <c:pt idx="1283">
                  <c:v>348</c:v>
                </c:pt>
                <c:pt idx="1284">
                  <c:v>348</c:v>
                </c:pt>
                <c:pt idx="1285">
                  <c:v>348</c:v>
                </c:pt>
                <c:pt idx="1286">
                  <c:v>348</c:v>
                </c:pt>
                <c:pt idx="1287">
                  <c:v>348</c:v>
                </c:pt>
                <c:pt idx="1288">
                  <c:v>348</c:v>
                </c:pt>
                <c:pt idx="1289">
                  <c:v>348</c:v>
                </c:pt>
                <c:pt idx="1290">
                  <c:v>348</c:v>
                </c:pt>
                <c:pt idx="1291">
                  <c:v>348</c:v>
                </c:pt>
                <c:pt idx="1292">
                  <c:v>348</c:v>
                </c:pt>
                <c:pt idx="1293">
                  <c:v>348</c:v>
                </c:pt>
                <c:pt idx="1294">
                  <c:v>348</c:v>
                </c:pt>
                <c:pt idx="1295">
                  <c:v>348</c:v>
                </c:pt>
                <c:pt idx="1296">
                  <c:v>348</c:v>
                </c:pt>
                <c:pt idx="1297">
                  <c:v>348</c:v>
                </c:pt>
                <c:pt idx="1298">
                  <c:v>348</c:v>
                </c:pt>
                <c:pt idx="1299">
                  <c:v>348</c:v>
                </c:pt>
                <c:pt idx="1300">
                  <c:v>348</c:v>
                </c:pt>
                <c:pt idx="1301">
                  <c:v>348</c:v>
                </c:pt>
                <c:pt idx="1302">
                  <c:v>348</c:v>
                </c:pt>
                <c:pt idx="1303">
                  <c:v>348</c:v>
                </c:pt>
                <c:pt idx="1304">
                  <c:v>348</c:v>
                </c:pt>
                <c:pt idx="1305">
                  <c:v>439</c:v>
                </c:pt>
                <c:pt idx="1306">
                  <c:v>439</c:v>
                </c:pt>
                <c:pt idx="1307">
                  <c:v>439</c:v>
                </c:pt>
                <c:pt idx="1308">
                  <c:v>439</c:v>
                </c:pt>
                <c:pt idx="1309">
                  <c:v>439</c:v>
                </c:pt>
                <c:pt idx="1310">
                  <c:v>439</c:v>
                </c:pt>
                <c:pt idx="1311">
                  <c:v>439</c:v>
                </c:pt>
                <c:pt idx="1312">
                  <c:v>439</c:v>
                </c:pt>
                <c:pt idx="1313">
                  <c:v>439</c:v>
                </c:pt>
                <c:pt idx="1314">
                  <c:v>439</c:v>
                </c:pt>
                <c:pt idx="1315">
                  <c:v>439</c:v>
                </c:pt>
                <c:pt idx="1316">
                  <c:v>439</c:v>
                </c:pt>
                <c:pt idx="1317">
                  <c:v>439</c:v>
                </c:pt>
                <c:pt idx="1318">
                  <c:v>439</c:v>
                </c:pt>
                <c:pt idx="1319">
                  <c:v>439</c:v>
                </c:pt>
                <c:pt idx="1320">
                  <c:v>439</c:v>
                </c:pt>
                <c:pt idx="1321">
                  <c:v>439</c:v>
                </c:pt>
                <c:pt idx="1322">
                  <c:v>439</c:v>
                </c:pt>
                <c:pt idx="1323">
                  <c:v>439</c:v>
                </c:pt>
                <c:pt idx="1324">
                  <c:v>439</c:v>
                </c:pt>
                <c:pt idx="1325">
                  <c:v>439</c:v>
                </c:pt>
                <c:pt idx="1326">
                  <c:v>439</c:v>
                </c:pt>
                <c:pt idx="1327">
                  <c:v>439</c:v>
                </c:pt>
                <c:pt idx="1328">
                  <c:v>439</c:v>
                </c:pt>
                <c:pt idx="1329">
                  <c:v>439</c:v>
                </c:pt>
                <c:pt idx="1330">
                  <c:v>439</c:v>
                </c:pt>
                <c:pt idx="1331">
                  <c:v>439</c:v>
                </c:pt>
                <c:pt idx="1332">
                  <c:v>439</c:v>
                </c:pt>
                <c:pt idx="1333">
                  <c:v>439</c:v>
                </c:pt>
                <c:pt idx="1334">
                  <c:v>439</c:v>
                </c:pt>
                <c:pt idx="1335">
                  <c:v>439</c:v>
                </c:pt>
                <c:pt idx="1336">
                  <c:v>439</c:v>
                </c:pt>
                <c:pt idx="1337">
                  <c:v>439</c:v>
                </c:pt>
                <c:pt idx="1338">
                  <c:v>439</c:v>
                </c:pt>
                <c:pt idx="1339">
                  <c:v>439</c:v>
                </c:pt>
                <c:pt idx="1340">
                  <c:v>439</c:v>
                </c:pt>
                <c:pt idx="1341">
                  <c:v>439</c:v>
                </c:pt>
                <c:pt idx="1342">
                  <c:v>439</c:v>
                </c:pt>
                <c:pt idx="1343">
                  <c:v>439</c:v>
                </c:pt>
                <c:pt idx="1344">
                  <c:v>439</c:v>
                </c:pt>
                <c:pt idx="1345">
                  <c:v>439</c:v>
                </c:pt>
                <c:pt idx="1346">
                  <c:v>439</c:v>
                </c:pt>
                <c:pt idx="1347">
                  <c:v>439</c:v>
                </c:pt>
                <c:pt idx="1348">
                  <c:v>439</c:v>
                </c:pt>
                <c:pt idx="1349">
                  <c:v>439</c:v>
                </c:pt>
                <c:pt idx="1350">
                  <c:v>439</c:v>
                </c:pt>
                <c:pt idx="1351">
                  <c:v>439</c:v>
                </c:pt>
                <c:pt idx="1352">
                  <c:v>439</c:v>
                </c:pt>
                <c:pt idx="1353">
                  <c:v>439</c:v>
                </c:pt>
                <c:pt idx="1354">
                  <c:v>439</c:v>
                </c:pt>
                <c:pt idx="1355">
                  <c:v>439</c:v>
                </c:pt>
                <c:pt idx="1356">
                  <c:v>439</c:v>
                </c:pt>
                <c:pt idx="1357">
                  <c:v>439</c:v>
                </c:pt>
                <c:pt idx="1358">
                  <c:v>439</c:v>
                </c:pt>
                <c:pt idx="1359">
                  <c:v>439</c:v>
                </c:pt>
                <c:pt idx="1360">
                  <c:v>439</c:v>
                </c:pt>
                <c:pt idx="1361">
                  <c:v>439</c:v>
                </c:pt>
                <c:pt idx="1362">
                  <c:v>439</c:v>
                </c:pt>
                <c:pt idx="1363">
                  <c:v>439</c:v>
                </c:pt>
                <c:pt idx="1364">
                  <c:v>439</c:v>
                </c:pt>
                <c:pt idx="1365">
                  <c:v>439</c:v>
                </c:pt>
                <c:pt idx="1366">
                  <c:v>439</c:v>
                </c:pt>
                <c:pt idx="1367">
                  <c:v>439</c:v>
                </c:pt>
                <c:pt idx="1368">
                  <c:v>439</c:v>
                </c:pt>
                <c:pt idx="1369">
                  <c:v>439</c:v>
                </c:pt>
                <c:pt idx="1370">
                  <c:v>439</c:v>
                </c:pt>
                <c:pt idx="1371">
                  <c:v>439</c:v>
                </c:pt>
                <c:pt idx="1372">
                  <c:v>439</c:v>
                </c:pt>
                <c:pt idx="1373">
                  <c:v>439</c:v>
                </c:pt>
                <c:pt idx="1374">
                  <c:v>439</c:v>
                </c:pt>
                <c:pt idx="1375">
                  <c:v>439</c:v>
                </c:pt>
                <c:pt idx="1376">
                  <c:v>439</c:v>
                </c:pt>
                <c:pt idx="1377">
                  <c:v>439</c:v>
                </c:pt>
                <c:pt idx="1378">
                  <c:v>439</c:v>
                </c:pt>
                <c:pt idx="1379">
                  <c:v>439</c:v>
                </c:pt>
                <c:pt idx="1380">
                  <c:v>439</c:v>
                </c:pt>
                <c:pt idx="1381">
                  <c:v>439</c:v>
                </c:pt>
                <c:pt idx="1382">
                  <c:v>439</c:v>
                </c:pt>
                <c:pt idx="1383">
                  <c:v>439</c:v>
                </c:pt>
                <c:pt idx="1384">
                  <c:v>439</c:v>
                </c:pt>
                <c:pt idx="1385">
                  <c:v>439</c:v>
                </c:pt>
                <c:pt idx="1386">
                  <c:v>439</c:v>
                </c:pt>
                <c:pt idx="1387">
                  <c:v>439</c:v>
                </c:pt>
                <c:pt idx="1388">
                  <c:v>439</c:v>
                </c:pt>
                <c:pt idx="1389">
                  <c:v>439</c:v>
                </c:pt>
                <c:pt idx="1390">
                  <c:v>439</c:v>
                </c:pt>
                <c:pt idx="1391">
                  <c:v>439</c:v>
                </c:pt>
                <c:pt idx="1392">
                  <c:v>439</c:v>
                </c:pt>
                <c:pt idx="1393">
                  <c:v>439</c:v>
                </c:pt>
                <c:pt idx="1394">
                  <c:v>439</c:v>
                </c:pt>
                <c:pt idx="1395">
                  <c:v>439</c:v>
                </c:pt>
                <c:pt idx="1396">
                  <c:v>439</c:v>
                </c:pt>
                <c:pt idx="1397">
                  <c:v>439</c:v>
                </c:pt>
                <c:pt idx="1398">
                  <c:v>439</c:v>
                </c:pt>
                <c:pt idx="1399">
                  <c:v>439</c:v>
                </c:pt>
                <c:pt idx="1400">
                  <c:v>439</c:v>
                </c:pt>
                <c:pt idx="1401">
                  <c:v>439</c:v>
                </c:pt>
                <c:pt idx="1402">
                  <c:v>439</c:v>
                </c:pt>
                <c:pt idx="1403">
                  <c:v>439</c:v>
                </c:pt>
                <c:pt idx="1404">
                  <c:v>439</c:v>
                </c:pt>
                <c:pt idx="1405">
                  <c:v>439</c:v>
                </c:pt>
                <c:pt idx="1406">
                  <c:v>439</c:v>
                </c:pt>
                <c:pt idx="1407">
                  <c:v>439</c:v>
                </c:pt>
                <c:pt idx="1408">
                  <c:v>439</c:v>
                </c:pt>
                <c:pt idx="1409">
                  <c:v>439</c:v>
                </c:pt>
                <c:pt idx="1410">
                  <c:v>439</c:v>
                </c:pt>
                <c:pt idx="1411">
                  <c:v>439</c:v>
                </c:pt>
                <c:pt idx="1412">
                  <c:v>439</c:v>
                </c:pt>
                <c:pt idx="1413">
                  <c:v>439</c:v>
                </c:pt>
                <c:pt idx="1414">
                  <c:v>439</c:v>
                </c:pt>
                <c:pt idx="1415">
                  <c:v>439</c:v>
                </c:pt>
                <c:pt idx="1416">
                  <c:v>439</c:v>
                </c:pt>
                <c:pt idx="1417">
                  <c:v>439</c:v>
                </c:pt>
                <c:pt idx="1418">
                  <c:v>439</c:v>
                </c:pt>
                <c:pt idx="1419">
                  <c:v>439</c:v>
                </c:pt>
                <c:pt idx="1420">
                  <c:v>439</c:v>
                </c:pt>
                <c:pt idx="1421">
                  <c:v>439</c:v>
                </c:pt>
                <c:pt idx="1422">
                  <c:v>439</c:v>
                </c:pt>
                <c:pt idx="1423">
                  <c:v>439</c:v>
                </c:pt>
                <c:pt idx="1424">
                  <c:v>439</c:v>
                </c:pt>
                <c:pt idx="1425">
                  <c:v>439</c:v>
                </c:pt>
                <c:pt idx="1426">
                  <c:v>467</c:v>
                </c:pt>
                <c:pt idx="1427">
                  <c:v>467</c:v>
                </c:pt>
                <c:pt idx="1428">
                  <c:v>467</c:v>
                </c:pt>
                <c:pt idx="1429">
                  <c:v>467</c:v>
                </c:pt>
                <c:pt idx="1430">
                  <c:v>467</c:v>
                </c:pt>
                <c:pt idx="1431">
                  <c:v>467</c:v>
                </c:pt>
                <c:pt idx="1432">
                  <c:v>467</c:v>
                </c:pt>
                <c:pt idx="1433">
                  <c:v>467</c:v>
                </c:pt>
                <c:pt idx="1434">
                  <c:v>467</c:v>
                </c:pt>
                <c:pt idx="1435">
                  <c:v>467</c:v>
                </c:pt>
                <c:pt idx="1436">
                  <c:v>467</c:v>
                </c:pt>
                <c:pt idx="1437">
                  <c:v>467</c:v>
                </c:pt>
                <c:pt idx="1438">
                  <c:v>467</c:v>
                </c:pt>
                <c:pt idx="1439">
                  <c:v>467</c:v>
                </c:pt>
                <c:pt idx="1440">
                  <c:v>467</c:v>
                </c:pt>
                <c:pt idx="1441">
                  <c:v>467</c:v>
                </c:pt>
                <c:pt idx="1442">
                  <c:v>467</c:v>
                </c:pt>
                <c:pt idx="1443">
                  <c:v>467</c:v>
                </c:pt>
                <c:pt idx="1444">
                  <c:v>467</c:v>
                </c:pt>
                <c:pt idx="1445">
                  <c:v>467</c:v>
                </c:pt>
                <c:pt idx="1446">
                  <c:v>467</c:v>
                </c:pt>
                <c:pt idx="1447">
                  <c:v>467</c:v>
                </c:pt>
                <c:pt idx="1448">
                  <c:v>467</c:v>
                </c:pt>
                <c:pt idx="1449">
                  <c:v>467</c:v>
                </c:pt>
                <c:pt idx="1450">
                  <c:v>467</c:v>
                </c:pt>
                <c:pt idx="1451">
                  <c:v>467</c:v>
                </c:pt>
                <c:pt idx="1452">
                  <c:v>467</c:v>
                </c:pt>
                <c:pt idx="1453">
                  <c:v>467</c:v>
                </c:pt>
                <c:pt idx="1454">
                  <c:v>467</c:v>
                </c:pt>
                <c:pt idx="1455">
                  <c:v>467</c:v>
                </c:pt>
                <c:pt idx="1456">
                  <c:v>467</c:v>
                </c:pt>
                <c:pt idx="1457">
                  <c:v>467</c:v>
                </c:pt>
                <c:pt idx="1458">
                  <c:v>467</c:v>
                </c:pt>
                <c:pt idx="1459">
                  <c:v>467</c:v>
                </c:pt>
                <c:pt idx="1460">
                  <c:v>467</c:v>
                </c:pt>
                <c:pt idx="1461">
                  <c:v>467</c:v>
                </c:pt>
                <c:pt idx="1462">
                  <c:v>467</c:v>
                </c:pt>
                <c:pt idx="1463">
                  <c:v>467</c:v>
                </c:pt>
                <c:pt idx="1464">
                  <c:v>467</c:v>
                </c:pt>
                <c:pt idx="1465">
                  <c:v>467</c:v>
                </c:pt>
                <c:pt idx="1466">
                  <c:v>467</c:v>
                </c:pt>
                <c:pt idx="1467">
                  <c:v>467</c:v>
                </c:pt>
                <c:pt idx="1468">
                  <c:v>467</c:v>
                </c:pt>
                <c:pt idx="1469">
                  <c:v>467</c:v>
                </c:pt>
                <c:pt idx="1470">
                  <c:v>467</c:v>
                </c:pt>
                <c:pt idx="1471">
                  <c:v>467</c:v>
                </c:pt>
                <c:pt idx="1472">
                  <c:v>467</c:v>
                </c:pt>
                <c:pt idx="1473">
                  <c:v>467</c:v>
                </c:pt>
                <c:pt idx="1474">
                  <c:v>467</c:v>
                </c:pt>
                <c:pt idx="1475">
                  <c:v>467</c:v>
                </c:pt>
                <c:pt idx="1476">
                  <c:v>467</c:v>
                </c:pt>
                <c:pt idx="1477">
                  <c:v>467</c:v>
                </c:pt>
                <c:pt idx="1478">
                  <c:v>467</c:v>
                </c:pt>
                <c:pt idx="1479">
                  <c:v>467</c:v>
                </c:pt>
                <c:pt idx="1480">
                  <c:v>467</c:v>
                </c:pt>
                <c:pt idx="1481">
                  <c:v>467</c:v>
                </c:pt>
                <c:pt idx="1482">
                  <c:v>467</c:v>
                </c:pt>
                <c:pt idx="1483">
                  <c:v>467</c:v>
                </c:pt>
                <c:pt idx="1484">
                  <c:v>467</c:v>
                </c:pt>
                <c:pt idx="1485">
                  <c:v>467</c:v>
                </c:pt>
                <c:pt idx="1486">
                  <c:v>467</c:v>
                </c:pt>
                <c:pt idx="1487">
                  <c:v>467</c:v>
                </c:pt>
                <c:pt idx="1488">
                  <c:v>467</c:v>
                </c:pt>
                <c:pt idx="1489">
                  <c:v>467</c:v>
                </c:pt>
                <c:pt idx="1490">
                  <c:v>467</c:v>
                </c:pt>
                <c:pt idx="1491">
                  <c:v>467</c:v>
                </c:pt>
                <c:pt idx="1492">
                  <c:v>467</c:v>
                </c:pt>
                <c:pt idx="1493">
                  <c:v>467</c:v>
                </c:pt>
                <c:pt idx="1494">
                  <c:v>467</c:v>
                </c:pt>
                <c:pt idx="1495">
                  <c:v>467</c:v>
                </c:pt>
                <c:pt idx="1496">
                  <c:v>467</c:v>
                </c:pt>
                <c:pt idx="1497">
                  <c:v>467</c:v>
                </c:pt>
                <c:pt idx="1498">
                  <c:v>467</c:v>
                </c:pt>
                <c:pt idx="1499">
                  <c:v>467</c:v>
                </c:pt>
                <c:pt idx="1500">
                  <c:v>467</c:v>
                </c:pt>
                <c:pt idx="1501">
                  <c:v>467</c:v>
                </c:pt>
                <c:pt idx="1502">
                  <c:v>467</c:v>
                </c:pt>
                <c:pt idx="1503">
                  <c:v>467</c:v>
                </c:pt>
                <c:pt idx="1504">
                  <c:v>467</c:v>
                </c:pt>
                <c:pt idx="1505">
                  <c:v>467</c:v>
                </c:pt>
                <c:pt idx="1506">
                  <c:v>467</c:v>
                </c:pt>
                <c:pt idx="1507">
                  <c:v>467</c:v>
                </c:pt>
                <c:pt idx="1508">
                  <c:v>467</c:v>
                </c:pt>
                <c:pt idx="1509">
                  <c:v>467</c:v>
                </c:pt>
                <c:pt idx="1510">
                  <c:v>467</c:v>
                </c:pt>
                <c:pt idx="1511">
                  <c:v>467</c:v>
                </c:pt>
                <c:pt idx="1512">
                  <c:v>467</c:v>
                </c:pt>
                <c:pt idx="1513">
                  <c:v>467</c:v>
                </c:pt>
                <c:pt idx="1514">
                  <c:v>467</c:v>
                </c:pt>
                <c:pt idx="1515">
                  <c:v>467</c:v>
                </c:pt>
                <c:pt idx="1516">
                  <c:v>467</c:v>
                </c:pt>
                <c:pt idx="1517">
                  <c:v>467</c:v>
                </c:pt>
                <c:pt idx="1518">
                  <c:v>467</c:v>
                </c:pt>
                <c:pt idx="1519">
                  <c:v>467</c:v>
                </c:pt>
                <c:pt idx="1520">
                  <c:v>467</c:v>
                </c:pt>
                <c:pt idx="1521">
                  <c:v>467</c:v>
                </c:pt>
                <c:pt idx="1522">
                  <c:v>467</c:v>
                </c:pt>
                <c:pt idx="1523">
                  <c:v>467</c:v>
                </c:pt>
                <c:pt idx="1524">
                  <c:v>467</c:v>
                </c:pt>
                <c:pt idx="1525">
                  <c:v>467</c:v>
                </c:pt>
                <c:pt idx="1526">
                  <c:v>467</c:v>
                </c:pt>
                <c:pt idx="1527">
                  <c:v>467</c:v>
                </c:pt>
                <c:pt idx="1528">
                  <c:v>467</c:v>
                </c:pt>
                <c:pt idx="1529">
                  <c:v>467</c:v>
                </c:pt>
                <c:pt idx="1530">
                  <c:v>467</c:v>
                </c:pt>
                <c:pt idx="1531">
                  <c:v>467</c:v>
                </c:pt>
                <c:pt idx="1532">
                  <c:v>467</c:v>
                </c:pt>
                <c:pt idx="1533">
                  <c:v>467</c:v>
                </c:pt>
                <c:pt idx="1534">
                  <c:v>467</c:v>
                </c:pt>
                <c:pt idx="1535">
                  <c:v>467</c:v>
                </c:pt>
                <c:pt idx="1536">
                  <c:v>467</c:v>
                </c:pt>
                <c:pt idx="1537">
                  <c:v>467</c:v>
                </c:pt>
                <c:pt idx="1538">
                  <c:v>467</c:v>
                </c:pt>
                <c:pt idx="1539">
                  <c:v>467</c:v>
                </c:pt>
                <c:pt idx="1540">
                  <c:v>467</c:v>
                </c:pt>
                <c:pt idx="1541">
                  <c:v>467</c:v>
                </c:pt>
                <c:pt idx="1542">
                  <c:v>467</c:v>
                </c:pt>
                <c:pt idx="1543">
                  <c:v>467</c:v>
                </c:pt>
                <c:pt idx="1544">
                  <c:v>467</c:v>
                </c:pt>
                <c:pt idx="1545">
                  <c:v>467</c:v>
                </c:pt>
                <c:pt idx="1546">
                  <c:v>467</c:v>
                </c:pt>
                <c:pt idx="1547">
                  <c:v>467</c:v>
                </c:pt>
                <c:pt idx="1548">
                  <c:v>620</c:v>
                </c:pt>
                <c:pt idx="1549">
                  <c:v>620</c:v>
                </c:pt>
                <c:pt idx="1550">
                  <c:v>620</c:v>
                </c:pt>
                <c:pt idx="1551">
                  <c:v>620</c:v>
                </c:pt>
                <c:pt idx="1552">
                  <c:v>620</c:v>
                </c:pt>
                <c:pt idx="1553">
                  <c:v>620</c:v>
                </c:pt>
                <c:pt idx="1554">
                  <c:v>620</c:v>
                </c:pt>
                <c:pt idx="1555">
                  <c:v>620</c:v>
                </c:pt>
                <c:pt idx="1556">
                  <c:v>620</c:v>
                </c:pt>
                <c:pt idx="1557">
                  <c:v>620</c:v>
                </c:pt>
                <c:pt idx="1558">
                  <c:v>620</c:v>
                </c:pt>
                <c:pt idx="1559">
                  <c:v>620</c:v>
                </c:pt>
                <c:pt idx="1560">
                  <c:v>620</c:v>
                </c:pt>
                <c:pt idx="1561">
                  <c:v>620</c:v>
                </c:pt>
                <c:pt idx="1562">
                  <c:v>620</c:v>
                </c:pt>
                <c:pt idx="1563">
                  <c:v>620</c:v>
                </c:pt>
                <c:pt idx="1564">
                  <c:v>620</c:v>
                </c:pt>
                <c:pt idx="1565">
                  <c:v>620</c:v>
                </c:pt>
                <c:pt idx="1566">
                  <c:v>620</c:v>
                </c:pt>
                <c:pt idx="1567">
                  <c:v>620</c:v>
                </c:pt>
                <c:pt idx="1568">
                  <c:v>620</c:v>
                </c:pt>
                <c:pt idx="1569">
                  <c:v>620</c:v>
                </c:pt>
                <c:pt idx="1570">
                  <c:v>620</c:v>
                </c:pt>
                <c:pt idx="1571">
                  <c:v>620</c:v>
                </c:pt>
                <c:pt idx="1572">
                  <c:v>620</c:v>
                </c:pt>
                <c:pt idx="1573">
                  <c:v>620</c:v>
                </c:pt>
                <c:pt idx="1574">
                  <c:v>620</c:v>
                </c:pt>
                <c:pt idx="1575">
                  <c:v>620</c:v>
                </c:pt>
                <c:pt idx="1576">
                  <c:v>620</c:v>
                </c:pt>
                <c:pt idx="1577">
                  <c:v>620</c:v>
                </c:pt>
                <c:pt idx="1578">
                  <c:v>620</c:v>
                </c:pt>
                <c:pt idx="1579">
                  <c:v>620</c:v>
                </c:pt>
                <c:pt idx="1580">
                  <c:v>620</c:v>
                </c:pt>
                <c:pt idx="1581">
                  <c:v>620</c:v>
                </c:pt>
                <c:pt idx="1582">
                  <c:v>620</c:v>
                </c:pt>
                <c:pt idx="1583">
                  <c:v>620</c:v>
                </c:pt>
                <c:pt idx="1584">
                  <c:v>620</c:v>
                </c:pt>
                <c:pt idx="1585">
                  <c:v>620</c:v>
                </c:pt>
                <c:pt idx="1586">
                  <c:v>620</c:v>
                </c:pt>
                <c:pt idx="1587">
                  <c:v>620</c:v>
                </c:pt>
                <c:pt idx="1588">
                  <c:v>620</c:v>
                </c:pt>
                <c:pt idx="1589">
                  <c:v>620</c:v>
                </c:pt>
                <c:pt idx="1590">
                  <c:v>620</c:v>
                </c:pt>
                <c:pt idx="1591">
                  <c:v>620</c:v>
                </c:pt>
                <c:pt idx="1592">
                  <c:v>620</c:v>
                </c:pt>
                <c:pt idx="1593">
                  <c:v>620</c:v>
                </c:pt>
                <c:pt idx="1594">
                  <c:v>620</c:v>
                </c:pt>
                <c:pt idx="1595">
                  <c:v>620</c:v>
                </c:pt>
                <c:pt idx="1596">
                  <c:v>620</c:v>
                </c:pt>
                <c:pt idx="1597">
                  <c:v>620</c:v>
                </c:pt>
                <c:pt idx="1598">
                  <c:v>620</c:v>
                </c:pt>
                <c:pt idx="1599">
                  <c:v>620</c:v>
                </c:pt>
                <c:pt idx="1600">
                  <c:v>620</c:v>
                </c:pt>
                <c:pt idx="1601">
                  <c:v>620</c:v>
                </c:pt>
                <c:pt idx="1602">
                  <c:v>620</c:v>
                </c:pt>
                <c:pt idx="1603">
                  <c:v>620</c:v>
                </c:pt>
                <c:pt idx="1604">
                  <c:v>620</c:v>
                </c:pt>
                <c:pt idx="1605">
                  <c:v>620</c:v>
                </c:pt>
                <c:pt idx="1606">
                  <c:v>620</c:v>
                </c:pt>
                <c:pt idx="1607">
                  <c:v>620</c:v>
                </c:pt>
                <c:pt idx="1608">
                  <c:v>620</c:v>
                </c:pt>
                <c:pt idx="1609">
                  <c:v>620</c:v>
                </c:pt>
                <c:pt idx="1610">
                  <c:v>620</c:v>
                </c:pt>
                <c:pt idx="1611">
                  <c:v>620</c:v>
                </c:pt>
                <c:pt idx="1612">
                  <c:v>620</c:v>
                </c:pt>
                <c:pt idx="1613">
                  <c:v>620</c:v>
                </c:pt>
                <c:pt idx="1614">
                  <c:v>620</c:v>
                </c:pt>
                <c:pt idx="1615">
                  <c:v>620</c:v>
                </c:pt>
                <c:pt idx="1616">
                  <c:v>620</c:v>
                </c:pt>
                <c:pt idx="1617">
                  <c:v>620</c:v>
                </c:pt>
                <c:pt idx="1618">
                  <c:v>620</c:v>
                </c:pt>
                <c:pt idx="1619">
                  <c:v>620</c:v>
                </c:pt>
                <c:pt idx="1620">
                  <c:v>620</c:v>
                </c:pt>
                <c:pt idx="1621">
                  <c:v>620</c:v>
                </c:pt>
                <c:pt idx="1622">
                  <c:v>620</c:v>
                </c:pt>
                <c:pt idx="1623">
                  <c:v>620</c:v>
                </c:pt>
                <c:pt idx="1624">
                  <c:v>620</c:v>
                </c:pt>
                <c:pt idx="1625">
                  <c:v>620</c:v>
                </c:pt>
                <c:pt idx="1626">
                  <c:v>620</c:v>
                </c:pt>
                <c:pt idx="1627">
                  <c:v>620</c:v>
                </c:pt>
                <c:pt idx="1628">
                  <c:v>620</c:v>
                </c:pt>
                <c:pt idx="1629">
                  <c:v>620</c:v>
                </c:pt>
                <c:pt idx="1630">
                  <c:v>620</c:v>
                </c:pt>
                <c:pt idx="1631">
                  <c:v>620</c:v>
                </c:pt>
                <c:pt idx="1632">
                  <c:v>620</c:v>
                </c:pt>
                <c:pt idx="1633">
                  <c:v>620</c:v>
                </c:pt>
                <c:pt idx="1634">
                  <c:v>620</c:v>
                </c:pt>
                <c:pt idx="1635">
                  <c:v>620</c:v>
                </c:pt>
                <c:pt idx="1636">
                  <c:v>620</c:v>
                </c:pt>
                <c:pt idx="1637">
                  <c:v>620</c:v>
                </c:pt>
                <c:pt idx="1638">
                  <c:v>620</c:v>
                </c:pt>
                <c:pt idx="1639">
                  <c:v>620</c:v>
                </c:pt>
                <c:pt idx="1640">
                  <c:v>620</c:v>
                </c:pt>
                <c:pt idx="1641">
                  <c:v>620</c:v>
                </c:pt>
                <c:pt idx="1642">
                  <c:v>620</c:v>
                </c:pt>
                <c:pt idx="1643">
                  <c:v>620</c:v>
                </c:pt>
                <c:pt idx="1644">
                  <c:v>620</c:v>
                </c:pt>
                <c:pt idx="1645">
                  <c:v>620</c:v>
                </c:pt>
                <c:pt idx="1646">
                  <c:v>620</c:v>
                </c:pt>
                <c:pt idx="1647">
                  <c:v>620</c:v>
                </c:pt>
                <c:pt idx="1648">
                  <c:v>620</c:v>
                </c:pt>
                <c:pt idx="1649">
                  <c:v>620</c:v>
                </c:pt>
                <c:pt idx="1650">
                  <c:v>620</c:v>
                </c:pt>
                <c:pt idx="1651">
                  <c:v>620</c:v>
                </c:pt>
                <c:pt idx="1652">
                  <c:v>620</c:v>
                </c:pt>
                <c:pt idx="1653">
                  <c:v>620</c:v>
                </c:pt>
                <c:pt idx="1654">
                  <c:v>620</c:v>
                </c:pt>
                <c:pt idx="1655">
                  <c:v>620</c:v>
                </c:pt>
                <c:pt idx="1656">
                  <c:v>620</c:v>
                </c:pt>
                <c:pt idx="1657">
                  <c:v>620</c:v>
                </c:pt>
                <c:pt idx="1658">
                  <c:v>620</c:v>
                </c:pt>
                <c:pt idx="1659">
                  <c:v>803</c:v>
                </c:pt>
                <c:pt idx="1660">
                  <c:v>803</c:v>
                </c:pt>
                <c:pt idx="1661">
                  <c:v>803</c:v>
                </c:pt>
                <c:pt idx="1662">
                  <c:v>803</c:v>
                </c:pt>
                <c:pt idx="1663">
                  <c:v>803</c:v>
                </c:pt>
                <c:pt idx="1664">
                  <c:v>803</c:v>
                </c:pt>
                <c:pt idx="1665">
                  <c:v>803</c:v>
                </c:pt>
                <c:pt idx="1666">
                  <c:v>803</c:v>
                </c:pt>
                <c:pt idx="1667">
                  <c:v>803</c:v>
                </c:pt>
                <c:pt idx="1668">
                  <c:v>803</c:v>
                </c:pt>
                <c:pt idx="1669">
                  <c:v>803</c:v>
                </c:pt>
                <c:pt idx="1670">
                  <c:v>803</c:v>
                </c:pt>
                <c:pt idx="1671">
                  <c:v>803</c:v>
                </c:pt>
                <c:pt idx="1672">
                  <c:v>803</c:v>
                </c:pt>
                <c:pt idx="1673">
                  <c:v>803</c:v>
                </c:pt>
                <c:pt idx="1674">
                  <c:v>803</c:v>
                </c:pt>
                <c:pt idx="1675">
                  <c:v>803</c:v>
                </c:pt>
                <c:pt idx="1676">
                  <c:v>803</c:v>
                </c:pt>
                <c:pt idx="1677">
                  <c:v>803</c:v>
                </c:pt>
                <c:pt idx="1678">
                  <c:v>803</c:v>
                </c:pt>
                <c:pt idx="1679">
                  <c:v>803</c:v>
                </c:pt>
                <c:pt idx="1680">
                  <c:v>803</c:v>
                </c:pt>
                <c:pt idx="1681">
                  <c:v>803</c:v>
                </c:pt>
                <c:pt idx="1682">
                  <c:v>803</c:v>
                </c:pt>
                <c:pt idx="1683">
                  <c:v>803</c:v>
                </c:pt>
                <c:pt idx="1684">
                  <c:v>803</c:v>
                </c:pt>
                <c:pt idx="1685">
                  <c:v>803</c:v>
                </c:pt>
                <c:pt idx="1686">
                  <c:v>803</c:v>
                </c:pt>
                <c:pt idx="1687">
                  <c:v>803</c:v>
                </c:pt>
                <c:pt idx="1688">
                  <c:v>803</c:v>
                </c:pt>
                <c:pt idx="1689">
                  <c:v>803</c:v>
                </c:pt>
                <c:pt idx="1690">
                  <c:v>803</c:v>
                </c:pt>
                <c:pt idx="1691">
                  <c:v>803</c:v>
                </c:pt>
                <c:pt idx="1692">
                  <c:v>803</c:v>
                </c:pt>
                <c:pt idx="1693">
                  <c:v>803</c:v>
                </c:pt>
                <c:pt idx="1694">
                  <c:v>803</c:v>
                </c:pt>
                <c:pt idx="1695">
                  <c:v>803</c:v>
                </c:pt>
                <c:pt idx="1696">
                  <c:v>803</c:v>
                </c:pt>
                <c:pt idx="1697">
                  <c:v>803</c:v>
                </c:pt>
                <c:pt idx="1698">
                  <c:v>803</c:v>
                </c:pt>
                <c:pt idx="1699">
                  <c:v>803</c:v>
                </c:pt>
                <c:pt idx="1700">
                  <c:v>803</c:v>
                </c:pt>
                <c:pt idx="1701">
                  <c:v>803</c:v>
                </c:pt>
                <c:pt idx="1702">
                  <c:v>803</c:v>
                </c:pt>
                <c:pt idx="1703">
                  <c:v>803</c:v>
                </c:pt>
                <c:pt idx="1704">
                  <c:v>803</c:v>
                </c:pt>
                <c:pt idx="1705">
                  <c:v>803</c:v>
                </c:pt>
                <c:pt idx="1706">
                  <c:v>803</c:v>
                </c:pt>
                <c:pt idx="1707">
                  <c:v>803</c:v>
                </c:pt>
                <c:pt idx="1708">
                  <c:v>803</c:v>
                </c:pt>
                <c:pt idx="1709">
                  <c:v>803</c:v>
                </c:pt>
                <c:pt idx="1710">
                  <c:v>803</c:v>
                </c:pt>
                <c:pt idx="1711">
                  <c:v>803</c:v>
                </c:pt>
                <c:pt idx="1712">
                  <c:v>803</c:v>
                </c:pt>
                <c:pt idx="1713">
                  <c:v>803</c:v>
                </c:pt>
                <c:pt idx="1714">
                  <c:v>803</c:v>
                </c:pt>
                <c:pt idx="1715">
                  <c:v>803</c:v>
                </c:pt>
                <c:pt idx="1716">
                  <c:v>803</c:v>
                </c:pt>
                <c:pt idx="1717">
                  <c:v>803</c:v>
                </c:pt>
                <c:pt idx="1718">
                  <c:v>803</c:v>
                </c:pt>
                <c:pt idx="1719">
                  <c:v>803</c:v>
                </c:pt>
                <c:pt idx="1720">
                  <c:v>803</c:v>
                </c:pt>
                <c:pt idx="1721">
                  <c:v>803</c:v>
                </c:pt>
                <c:pt idx="1722">
                  <c:v>803</c:v>
                </c:pt>
                <c:pt idx="1723">
                  <c:v>803</c:v>
                </c:pt>
                <c:pt idx="1724">
                  <c:v>803</c:v>
                </c:pt>
                <c:pt idx="1725">
                  <c:v>803</c:v>
                </c:pt>
                <c:pt idx="1726">
                  <c:v>803</c:v>
                </c:pt>
                <c:pt idx="1727">
                  <c:v>803</c:v>
                </c:pt>
                <c:pt idx="1728">
                  <c:v>803</c:v>
                </c:pt>
                <c:pt idx="1729">
                  <c:v>803</c:v>
                </c:pt>
                <c:pt idx="1730">
                  <c:v>803</c:v>
                </c:pt>
                <c:pt idx="1731">
                  <c:v>803</c:v>
                </c:pt>
                <c:pt idx="1732">
                  <c:v>803</c:v>
                </c:pt>
                <c:pt idx="1733">
                  <c:v>803</c:v>
                </c:pt>
                <c:pt idx="1734">
                  <c:v>803</c:v>
                </c:pt>
                <c:pt idx="1735">
                  <c:v>803</c:v>
                </c:pt>
                <c:pt idx="1736">
                  <c:v>803</c:v>
                </c:pt>
                <c:pt idx="1737">
                  <c:v>803</c:v>
                </c:pt>
                <c:pt idx="1738">
                  <c:v>803</c:v>
                </c:pt>
                <c:pt idx="1739">
                  <c:v>803</c:v>
                </c:pt>
                <c:pt idx="1740">
                  <c:v>803</c:v>
                </c:pt>
                <c:pt idx="1741">
                  <c:v>803</c:v>
                </c:pt>
                <c:pt idx="1742">
                  <c:v>803</c:v>
                </c:pt>
                <c:pt idx="1743">
                  <c:v>803</c:v>
                </c:pt>
                <c:pt idx="1744">
                  <c:v>803</c:v>
                </c:pt>
                <c:pt idx="1745">
                  <c:v>803</c:v>
                </c:pt>
                <c:pt idx="1746">
                  <c:v>803</c:v>
                </c:pt>
                <c:pt idx="1747">
                  <c:v>803</c:v>
                </c:pt>
                <c:pt idx="1748">
                  <c:v>803</c:v>
                </c:pt>
                <c:pt idx="1749">
                  <c:v>803</c:v>
                </c:pt>
                <c:pt idx="1750">
                  <c:v>803</c:v>
                </c:pt>
                <c:pt idx="1751">
                  <c:v>803</c:v>
                </c:pt>
                <c:pt idx="1752">
                  <c:v>803</c:v>
                </c:pt>
                <c:pt idx="1753">
                  <c:v>803</c:v>
                </c:pt>
                <c:pt idx="1754">
                  <c:v>803</c:v>
                </c:pt>
                <c:pt idx="1755">
                  <c:v>803</c:v>
                </c:pt>
                <c:pt idx="1756">
                  <c:v>803</c:v>
                </c:pt>
                <c:pt idx="1757">
                  <c:v>803</c:v>
                </c:pt>
                <c:pt idx="1758">
                  <c:v>803</c:v>
                </c:pt>
                <c:pt idx="1759">
                  <c:v>803</c:v>
                </c:pt>
                <c:pt idx="1760">
                  <c:v>803</c:v>
                </c:pt>
                <c:pt idx="1761">
                  <c:v>803</c:v>
                </c:pt>
                <c:pt idx="1762">
                  <c:v>803</c:v>
                </c:pt>
                <c:pt idx="1763">
                  <c:v>803</c:v>
                </c:pt>
                <c:pt idx="1764">
                  <c:v>803</c:v>
                </c:pt>
                <c:pt idx="1765">
                  <c:v>803</c:v>
                </c:pt>
                <c:pt idx="1766">
                  <c:v>803</c:v>
                </c:pt>
                <c:pt idx="1767">
                  <c:v>803</c:v>
                </c:pt>
                <c:pt idx="1768">
                  <c:v>803</c:v>
                </c:pt>
                <c:pt idx="1769">
                  <c:v>803</c:v>
                </c:pt>
                <c:pt idx="1770">
                  <c:v>803</c:v>
                </c:pt>
                <c:pt idx="1771">
                  <c:v>803</c:v>
                </c:pt>
                <c:pt idx="1772">
                  <c:v>803</c:v>
                </c:pt>
                <c:pt idx="1773">
                  <c:v>803</c:v>
                </c:pt>
                <c:pt idx="1774">
                  <c:v>803</c:v>
                </c:pt>
                <c:pt idx="1775">
                  <c:v>803</c:v>
                </c:pt>
                <c:pt idx="1776">
                  <c:v>803</c:v>
                </c:pt>
                <c:pt idx="1777">
                  <c:v>803</c:v>
                </c:pt>
                <c:pt idx="1778">
                  <c:v>803</c:v>
                </c:pt>
                <c:pt idx="1779">
                  <c:v>803</c:v>
                </c:pt>
                <c:pt idx="1780">
                  <c:v>803</c:v>
                </c:pt>
                <c:pt idx="1781">
                  <c:v>803</c:v>
                </c:pt>
                <c:pt idx="1782">
                  <c:v>803</c:v>
                </c:pt>
                <c:pt idx="1783">
                  <c:v>803</c:v>
                </c:pt>
                <c:pt idx="1784">
                  <c:v>803</c:v>
                </c:pt>
                <c:pt idx="1785">
                  <c:v>803</c:v>
                </c:pt>
                <c:pt idx="1786">
                  <c:v>803</c:v>
                </c:pt>
                <c:pt idx="1787">
                  <c:v>803</c:v>
                </c:pt>
                <c:pt idx="1788">
                  <c:v>803</c:v>
                </c:pt>
                <c:pt idx="1789">
                  <c:v>803</c:v>
                </c:pt>
                <c:pt idx="1790">
                  <c:v>803</c:v>
                </c:pt>
                <c:pt idx="1791">
                  <c:v>803</c:v>
                </c:pt>
                <c:pt idx="1792">
                  <c:v>803</c:v>
                </c:pt>
                <c:pt idx="1793">
                  <c:v>803</c:v>
                </c:pt>
                <c:pt idx="1794">
                  <c:v>803</c:v>
                </c:pt>
                <c:pt idx="1795">
                  <c:v>803</c:v>
                </c:pt>
                <c:pt idx="1796">
                  <c:v>803</c:v>
                </c:pt>
                <c:pt idx="1797">
                  <c:v>803</c:v>
                </c:pt>
                <c:pt idx="1798">
                  <c:v>803</c:v>
                </c:pt>
                <c:pt idx="1799">
                  <c:v>803</c:v>
                </c:pt>
                <c:pt idx="1800">
                  <c:v>803</c:v>
                </c:pt>
                <c:pt idx="1801">
                  <c:v>838</c:v>
                </c:pt>
                <c:pt idx="1802">
                  <c:v>838</c:v>
                </c:pt>
                <c:pt idx="1803">
                  <c:v>838</c:v>
                </c:pt>
                <c:pt idx="1804">
                  <c:v>838</c:v>
                </c:pt>
                <c:pt idx="1805">
                  <c:v>838</c:v>
                </c:pt>
                <c:pt idx="1806">
                  <c:v>838</c:v>
                </c:pt>
                <c:pt idx="1807">
                  <c:v>838</c:v>
                </c:pt>
                <c:pt idx="1808">
                  <c:v>838</c:v>
                </c:pt>
                <c:pt idx="1809">
                  <c:v>838</c:v>
                </c:pt>
                <c:pt idx="1810">
                  <c:v>838</c:v>
                </c:pt>
                <c:pt idx="1811">
                  <c:v>838</c:v>
                </c:pt>
                <c:pt idx="1812">
                  <c:v>838</c:v>
                </c:pt>
                <c:pt idx="1813">
                  <c:v>838</c:v>
                </c:pt>
                <c:pt idx="1814">
                  <c:v>838</c:v>
                </c:pt>
                <c:pt idx="1815">
                  <c:v>838</c:v>
                </c:pt>
                <c:pt idx="1816">
                  <c:v>838</c:v>
                </c:pt>
                <c:pt idx="1817">
                  <c:v>838</c:v>
                </c:pt>
                <c:pt idx="1818">
                  <c:v>838</c:v>
                </c:pt>
                <c:pt idx="1819">
                  <c:v>838</c:v>
                </c:pt>
                <c:pt idx="1820">
                  <c:v>838</c:v>
                </c:pt>
                <c:pt idx="1821">
                  <c:v>838</c:v>
                </c:pt>
                <c:pt idx="1822">
                  <c:v>838</c:v>
                </c:pt>
                <c:pt idx="1823">
                  <c:v>838</c:v>
                </c:pt>
                <c:pt idx="1824">
                  <c:v>838</c:v>
                </c:pt>
                <c:pt idx="1825">
                  <c:v>838</c:v>
                </c:pt>
                <c:pt idx="1826">
                  <c:v>838</c:v>
                </c:pt>
                <c:pt idx="1827">
                  <c:v>838</c:v>
                </c:pt>
                <c:pt idx="1828">
                  <c:v>838</c:v>
                </c:pt>
                <c:pt idx="1829">
                  <c:v>838</c:v>
                </c:pt>
                <c:pt idx="1830">
                  <c:v>838</c:v>
                </c:pt>
                <c:pt idx="1831">
                  <c:v>838</c:v>
                </c:pt>
                <c:pt idx="1832">
                  <c:v>838</c:v>
                </c:pt>
                <c:pt idx="1833">
                  <c:v>838</c:v>
                </c:pt>
                <c:pt idx="1834">
                  <c:v>838</c:v>
                </c:pt>
                <c:pt idx="1835">
                  <c:v>838</c:v>
                </c:pt>
                <c:pt idx="1836">
                  <c:v>838</c:v>
                </c:pt>
                <c:pt idx="1837">
                  <c:v>838</c:v>
                </c:pt>
                <c:pt idx="1838">
                  <c:v>838</c:v>
                </c:pt>
                <c:pt idx="1839">
                  <c:v>838</c:v>
                </c:pt>
                <c:pt idx="1840">
                  <c:v>838</c:v>
                </c:pt>
                <c:pt idx="1841">
                  <c:v>838</c:v>
                </c:pt>
                <c:pt idx="1842">
                  <c:v>838</c:v>
                </c:pt>
                <c:pt idx="1843">
                  <c:v>838</c:v>
                </c:pt>
                <c:pt idx="1844">
                  <c:v>838</c:v>
                </c:pt>
                <c:pt idx="1845">
                  <c:v>838</c:v>
                </c:pt>
                <c:pt idx="1846">
                  <c:v>838</c:v>
                </c:pt>
                <c:pt idx="1847">
                  <c:v>838</c:v>
                </c:pt>
                <c:pt idx="1848">
                  <c:v>838</c:v>
                </c:pt>
                <c:pt idx="1849">
                  <c:v>838</c:v>
                </c:pt>
                <c:pt idx="1850">
                  <c:v>838</c:v>
                </c:pt>
                <c:pt idx="1851">
                  <c:v>838</c:v>
                </c:pt>
                <c:pt idx="1852">
                  <c:v>838</c:v>
                </c:pt>
                <c:pt idx="1853">
                  <c:v>838</c:v>
                </c:pt>
                <c:pt idx="1854">
                  <c:v>838</c:v>
                </c:pt>
                <c:pt idx="1855">
                  <c:v>838</c:v>
                </c:pt>
                <c:pt idx="1856">
                  <c:v>838</c:v>
                </c:pt>
                <c:pt idx="1857">
                  <c:v>838</c:v>
                </c:pt>
                <c:pt idx="1858">
                  <c:v>838</c:v>
                </c:pt>
                <c:pt idx="1859">
                  <c:v>838</c:v>
                </c:pt>
                <c:pt idx="1860">
                  <c:v>838</c:v>
                </c:pt>
                <c:pt idx="1861">
                  <c:v>838</c:v>
                </c:pt>
                <c:pt idx="1862">
                  <c:v>838</c:v>
                </c:pt>
                <c:pt idx="1863">
                  <c:v>838</c:v>
                </c:pt>
                <c:pt idx="1864">
                  <c:v>838</c:v>
                </c:pt>
                <c:pt idx="1865">
                  <c:v>838</c:v>
                </c:pt>
                <c:pt idx="1866">
                  <c:v>838</c:v>
                </c:pt>
                <c:pt idx="1867">
                  <c:v>838</c:v>
                </c:pt>
                <c:pt idx="1868">
                  <c:v>838</c:v>
                </c:pt>
                <c:pt idx="1869">
                  <c:v>838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91-40CB-8134-F9E0269E45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53103"/>
        <c:axId val="122351663"/>
      </c:lineChart>
      <c:lineChart>
        <c:grouping val="standard"/>
        <c:varyColors val="0"/>
        <c:ser>
          <c:idx val="0"/>
          <c:order val="0"/>
          <c:tx>
            <c:v>date of exp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Sheet1!$N$2:$N$1871</c:f>
              <c:numCache>
                <c:formatCode>m/d/yyyy</c:formatCode>
                <c:ptCount val="1870"/>
                <c:pt idx="0">
                  <c:v>45940</c:v>
                </c:pt>
                <c:pt idx="1">
                  <c:v>45940</c:v>
                </c:pt>
                <c:pt idx="2">
                  <c:v>45940</c:v>
                </c:pt>
                <c:pt idx="3">
                  <c:v>45940</c:v>
                </c:pt>
                <c:pt idx="4">
                  <c:v>45940</c:v>
                </c:pt>
                <c:pt idx="5">
                  <c:v>45940</c:v>
                </c:pt>
                <c:pt idx="6">
                  <c:v>45940</c:v>
                </c:pt>
                <c:pt idx="7">
                  <c:v>45940</c:v>
                </c:pt>
                <c:pt idx="8">
                  <c:v>45940</c:v>
                </c:pt>
                <c:pt idx="9">
                  <c:v>45940</c:v>
                </c:pt>
                <c:pt idx="10">
                  <c:v>45940</c:v>
                </c:pt>
                <c:pt idx="11">
                  <c:v>45940</c:v>
                </c:pt>
                <c:pt idx="12">
                  <c:v>45940</c:v>
                </c:pt>
                <c:pt idx="13">
                  <c:v>45940</c:v>
                </c:pt>
                <c:pt idx="14">
                  <c:v>45940</c:v>
                </c:pt>
                <c:pt idx="15">
                  <c:v>45940</c:v>
                </c:pt>
                <c:pt idx="16">
                  <c:v>45940</c:v>
                </c:pt>
                <c:pt idx="17">
                  <c:v>45940</c:v>
                </c:pt>
                <c:pt idx="18">
                  <c:v>45940</c:v>
                </c:pt>
                <c:pt idx="19">
                  <c:v>45940</c:v>
                </c:pt>
                <c:pt idx="20">
                  <c:v>45940</c:v>
                </c:pt>
                <c:pt idx="21">
                  <c:v>45940</c:v>
                </c:pt>
                <c:pt idx="22">
                  <c:v>45940</c:v>
                </c:pt>
                <c:pt idx="23">
                  <c:v>45940</c:v>
                </c:pt>
                <c:pt idx="24">
                  <c:v>45940</c:v>
                </c:pt>
                <c:pt idx="25">
                  <c:v>45940</c:v>
                </c:pt>
                <c:pt idx="26">
                  <c:v>45940</c:v>
                </c:pt>
                <c:pt idx="27">
                  <c:v>45940</c:v>
                </c:pt>
                <c:pt idx="28">
                  <c:v>45940</c:v>
                </c:pt>
                <c:pt idx="29">
                  <c:v>45940</c:v>
                </c:pt>
                <c:pt idx="30">
                  <c:v>45940</c:v>
                </c:pt>
                <c:pt idx="31">
                  <c:v>45940</c:v>
                </c:pt>
                <c:pt idx="32">
                  <c:v>45940</c:v>
                </c:pt>
                <c:pt idx="33">
                  <c:v>45940</c:v>
                </c:pt>
                <c:pt idx="34">
                  <c:v>45940</c:v>
                </c:pt>
                <c:pt idx="35">
                  <c:v>45940</c:v>
                </c:pt>
                <c:pt idx="36">
                  <c:v>45940</c:v>
                </c:pt>
                <c:pt idx="37">
                  <c:v>45940</c:v>
                </c:pt>
                <c:pt idx="38">
                  <c:v>45940</c:v>
                </c:pt>
                <c:pt idx="39">
                  <c:v>45940</c:v>
                </c:pt>
                <c:pt idx="40">
                  <c:v>45940</c:v>
                </c:pt>
                <c:pt idx="41">
                  <c:v>45940</c:v>
                </c:pt>
                <c:pt idx="42">
                  <c:v>45940</c:v>
                </c:pt>
                <c:pt idx="43">
                  <c:v>45940</c:v>
                </c:pt>
                <c:pt idx="44">
                  <c:v>45940</c:v>
                </c:pt>
                <c:pt idx="45">
                  <c:v>45940</c:v>
                </c:pt>
                <c:pt idx="46">
                  <c:v>45940</c:v>
                </c:pt>
                <c:pt idx="47">
                  <c:v>45940</c:v>
                </c:pt>
                <c:pt idx="48">
                  <c:v>45940</c:v>
                </c:pt>
                <c:pt idx="49">
                  <c:v>45940</c:v>
                </c:pt>
                <c:pt idx="50">
                  <c:v>45940</c:v>
                </c:pt>
                <c:pt idx="51">
                  <c:v>45940</c:v>
                </c:pt>
                <c:pt idx="52">
                  <c:v>45940</c:v>
                </c:pt>
                <c:pt idx="53">
                  <c:v>45940</c:v>
                </c:pt>
                <c:pt idx="54">
                  <c:v>45940</c:v>
                </c:pt>
                <c:pt idx="55">
                  <c:v>45940</c:v>
                </c:pt>
                <c:pt idx="56">
                  <c:v>45940</c:v>
                </c:pt>
                <c:pt idx="57">
                  <c:v>45940</c:v>
                </c:pt>
                <c:pt idx="58">
                  <c:v>45940</c:v>
                </c:pt>
                <c:pt idx="59">
                  <c:v>45940</c:v>
                </c:pt>
                <c:pt idx="60">
                  <c:v>45940</c:v>
                </c:pt>
                <c:pt idx="61">
                  <c:v>45940</c:v>
                </c:pt>
                <c:pt idx="62">
                  <c:v>45940</c:v>
                </c:pt>
                <c:pt idx="63">
                  <c:v>45940</c:v>
                </c:pt>
                <c:pt idx="64">
                  <c:v>45940</c:v>
                </c:pt>
                <c:pt idx="65">
                  <c:v>45940</c:v>
                </c:pt>
                <c:pt idx="66">
                  <c:v>45940</c:v>
                </c:pt>
                <c:pt idx="67">
                  <c:v>45940</c:v>
                </c:pt>
                <c:pt idx="68">
                  <c:v>45940</c:v>
                </c:pt>
                <c:pt idx="69">
                  <c:v>45940</c:v>
                </c:pt>
                <c:pt idx="70">
                  <c:v>45940</c:v>
                </c:pt>
                <c:pt idx="71">
                  <c:v>45940</c:v>
                </c:pt>
                <c:pt idx="72">
                  <c:v>45940</c:v>
                </c:pt>
                <c:pt idx="73">
                  <c:v>45940</c:v>
                </c:pt>
                <c:pt idx="74">
                  <c:v>45940</c:v>
                </c:pt>
                <c:pt idx="75">
                  <c:v>45940</c:v>
                </c:pt>
                <c:pt idx="76">
                  <c:v>45940</c:v>
                </c:pt>
                <c:pt idx="77">
                  <c:v>45940</c:v>
                </c:pt>
                <c:pt idx="78">
                  <c:v>45940</c:v>
                </c:pt>
                <c:pt idx="79">
                  <c:v>45940</c:v>
                </c:pt>
                <c:pt idx="80">
                  <c:v>45940</c:v>
                </c:pt>
                <c:pt idx="81">
                  <c:v>45940</c:v>
                </c:pt>
                <c:pt idx="82">
                  <c:v>45940</c:v>
                </c:pt>
                <c:pt idx="83">
                  <c:v>45940</c:v>
                </c:pt>
                <c:pt idx="84">
                  <c:v>45940</c:v>
                </c:pt>
                <c:pt idx="85">
                  <c:v>45940</c:v>
                </c:pt>
                <c:pt idx="86">
                  <c:v>45940</c:v>
                </c:pt>
                <c:pt idx="87">
                  <c:v>45940</c:v>
                </c:pt>
                <c:pt idx="88">
                  <c:v>45940</c:v>
                </c:pt>
                <c:pt idx="89">
                  <c:v>45940</c:v>
                </c:pt>
                <c:pt idx="90">
                  <c:v>45940</c:v>
                </c:pt>
                <c:pt idx="91">
                  <c:v>45940</c:v>
                </c:pt>
                <c:pt idx="92">
                  <c:v>45940</c:v>
                </c:pt>
                <c:pt idx="93">
                  <c:v>45940</c:v>
                </c:pt>
                <c:pt idx="94">
                  <c:v>45940</c:v>
                </c:pt>
                <c:pt idx="95">
                  <c:v>45940</c:v>
                </c:pt>
                <c:pt idx="96">
                  <c:v>45940</c:v>
                </c:pt>
                <c:pt idx="97">
                  <c:v>45940</c:v>
                </c:pt>
                <c:pt idx="98">
                  <c:v>45940</c:v>
                </c:pt>
                <c:pt idx="99">
                  <c:v>45947</c:v>
                </c:pt>
                <c:pt idx="100">
                  <c:v>45947</c:v>
                </c:pt>
                <c:pt idx="101">
                  <c:v>45947</c:v>
                </c:pt>
                <c:pt idx="102">
                  <c:v>45947</c:v>
                </c:pt>
                <c:pt idx="103">
                  <c:v>45947</c:v>
                </c:pt>
                <c:pt idx="104">
                  <c:v>45947</c:v>
                </c:pt>
                <c:pt idx="105">
                  <c:v>45947</c:v>
                </c:pt>
                <c:pt idx="106">
                  <c:v>45947</c:v>
                </c:pt>
                <c:pt idx="107">
                  <c:v>45947</c:v>
                </c:pt>
                <c:pt idx="108">
                  <c:v>45947</c:v>
                </c:pt>
                <c:pt idx="109">
                  <c:v>45947</c:v>
                </c:pt>
                <c:pt idx="110">
                  <c:v>45947</c:v>
                </c:pt>
                <c:pt idx="111">
                  <c:v>45947</c:v>
                </c:pt>
                <c:pt idx="112">
                  <c:v>45947</c:v>
                </c:pt>
                <c:pt idx="113">
                  <c:v>45947</c:v>
                </c:pt>
                <c:pt idx="114">
                  <c:v>45947</c:v>
                </c:pt>
                <c:pt idx="115">
                  <c:v>45947</c:v>
                </c:pt>
                <c:pt idx="116">
                  <c:v>45947</c:v>
                </c:pt>
                <c:pt idx="117">
                  <c:v>45947</c:v>
                </c:pt>
                <c:pt idx="118">
                  <c:v>45947</c:v>
                </c:pt>
                <c:pt idx="119">
                  <c:v>45947</c:v>
                </c:pt>
                <c:pt idx="120">
                  <c:v>45947</c:v>
                </c:pt>
                <c:pt idx="121">
                  <c:v>45947</c:v>
                </c:pt>
                <c:pt idx="122">
                  <c:v>45947</c:v>
                </c:pt>
                <c:pt idx="123">
                  <c:v>45947</c:v>
                </c:pt>
                <c:pt idx="124">
                  <c:v>45947</c:v>
                </c:pt>
                <c:pt idx="125">
                  <c:v>45947</c:v>
                </c:pt>
                <c:pt idx="126">
                  <c:v>45947</c:v>
                </c:pt>
                <c:pt idx="127">
                  <c:v>45947</c:v>
                </c:pt>
                <c:pt idx="128">
                  <c:v>45947</c:v>
                </c:pt>
                <c:pt idx="129">
                  <c:v>45947</c:v>
                </c:pt>
                <c:pt idx="130">
                  <c:v>45947</c:v>
                </c:pt>
                <c:pt idx="131">
                  <c:v>45947</c:v>
                </c:pt>
                <c:pt idx="132">
                  <c:v>45947</c:v>
                </c:pt>
                <c:pt idx="133">
                  <c:v>45947</c:v>
                </c:pt>
                <c:pt idx="134">
                  <c:v>45947</c:v>
                </c:pt>
                <c:pt idx="135">
                  <c:v>45947</c:v>
                </c:pt>
                <c:pt idx="136">
                  <c:v>45947</c:v>
                </c:pt>
                <c:pt idx="137">
                  <c:v>45947</c:v>
                </c:pt>
                <c:pt idx="138">
                  <c:v>45947</c:v>
                </c:pt>
                <c:pt idx="139">
                  <c:v>45947</c:v>
                </c:pt>
                <c:pt idx="140">
                  <c:v>45947</c:v>
                </c:pt>
                <c:pt idx="141">
                  <c:v>45947</c:v>
                </c:pt>
                <c:pt idx="142">
                  <c:v>45947</c:v>
                </c:pt>
                <c:pt idx="143">
                  <c:v>45947</c:v>
                </c:pt>
                <c:pt idx="144">
                  <c:v>45947</c:v>
                </c:pt>
                <c:pt idx="145">
                  <c:v>45947</c:v>
                </c:pt>
                <c:pt idx="146">
                  <c:v>45947</c:v>
                </c:pt>
                <c:pt idx="147">
                  <c:v>45947</c:v>
                </c:pt>
                <c:pt idx="148">
                  <c:v>45947</c:v>
                </c:pt>
                <c:pt idx="149">
                  <c:v>45947</c:v>
                </c:pt>
                <c:pt idx="150">
                  <c:v>45947</c:v>
                </c:pt>
                <c:pt idx="151">
                  <c:v>45947</c:v>
                </c:pt>
                <c:pt idx="152">
                  <c:v>45947</c:v>
                </c:pt>
                <c:pt idx="153">
                  <c:v>45947</c:v>
                </c:pt>
                <c:pt idx="154">
                  <c:v>45947</c:v>
                </c:pt>
                <c:pt idx="155">
                  <c:v>45947</c:v>
                </c:pt>
                <c:pt idx="156">
                  <c:v>45947</c:v>
                </c:pt>
                <c:pt idx="157">
                  <c:v>45947</c:v>
                </c:pt>
                <c:pt idx="158">
                  <c:v>45947</c:v>
                </c:pt>
                <c:pt idx="159">
                  <c:v>45947</c:v>
                </c:pt>
                <c:pt idx="160">
                  <c:v>45947</c:v>
                </c:pt>
                <c:pt idx="161">
                  <c:v>45947</c:v>
                </c:pt>
                <c:pt idx="162">
                  <c:v>45947</c:v>
                </c:pt>
                <c:pt idx="163">
                  <c:v>45947</c:v>
                </c:pt>
                <c:pt idx="164">
                  <c:v>45947</c:v>
                </c:pt>
                <c:pt idx="165">
                  <c:v>45947</c:v>
                </c:pt>
                <c:pt idx="166">
                  <c:v>45947</c:v>
                </c:pt>
                <c:pt idx="167">
                  <c:v>45947</c:v>
                </c:pt>
                <c:pt idx="168">
                  <c:v>45947</c:v>
                </c:pt>
                <c:pt idx="169">
                  <c:v>45947</c:v>
                </c:pt>
                <c:pt idx="170">
                  <c:v>45947</c:v>
                </c:pt>
                <c:pt idx="171">
                  <c:v>45947</c:v>
                </c:pt>
                <c:pt idx="172">
                  <c:v>45947</c:v>
                </c:pt>
                <c:pt idx="173">
                  <c:v>45947</c:v>
                </c:pt>
                <c:pt idx="174">
                  <c:v>45947</c:v>
                </c:pt>
                <c:pt idx="175">
                  <c:v>45947</c:v>
                </c:pt>
                <c:pt idx="176">
                  <c:v>45947</c:v>
                </c:pt>
                <c:pt idx="177">
                  <c:v>45947</c:v>
                </c:pt>
                <c:pt idx="178">
                  <c:v>45947</c:v>
                </c:pt>
                <c:pt idx="179">
                  <c:v>45947</c:v>
                </c:pt>
                <c:pt idx="180">
                  <c:v>45947</c:v>
                </c:pt>
                <c:pt idx="181">
                  <c:v>45947</c:v>
                </c:pt>
                <c:pt idx="182">
                  <c:v>45947</c:v>
                </c:pt>
                <c:pt idx="183">
                  <c:v>45947</c:v>
                </c:pt>
                <c:pt idx="184">
                  <c:v>45947</c:v>
                </c:pt>
                <c:pt idx="185">
                  <c:v>45947</c:v>
                </c:pt>
                <c:pt idx="186">
                  <c:v>45947</c:v>
                </c:pt>
                <c:pt idx="187">
                  <c:v>45947</c:v>
                </c:pt>
                <c:pt idx="188">
                  <c:v>45947</c:v>
                </c:pt>
                <c:pt idx="189">
                  <c:v>45947</c:v>
                </c:pt>
                <c:pt idx="190">
                  <c:v>45947</c:v>
                </c:pt>
                <c:pt idx="191">
                  <c:v>45947</c:v>
                </c:pt>
                <c:pt idx="192">
                  <c:v>45947</c:v>
                </c:pt>
                <c:pt idx="193">
                  <c:v>45947</c:v>
                </c:pt>
                <c:pt idx="194">
                  <c:v>45947</c:v>
                </c:pt>
                <c:pt idx="195">
                  <c:v>45947</c:v>
                </c:pt>
                <c:pt idx="196">
                  <c:v>45947</c:v>
                </c:pt>
                <c:pt idx="197">
                  <c:v>45947</c:v>
                </c:pt>
                <c:pt idx="198">
                  <c:v>45947</c:v>
                </c:pt>
                <c:pt idx="199">
                  <c:v>45947</c:v>
                </c:pt>
                <c:pt idx="200">
                  <c:v>45947</c:v>
                </c:pt>
                <c:pt idx="201">
                  <c:v>45947</c:v>
                </c:pt>
                <c:pt idx="202">
                  <c:v>45947</c:v>
                </c:pt>
                <c:pt idx="203">
                  <c:v>45947</c:v>
                </c:pt>
                <c:pt idx="204">
                  <c:v>45947</c:v>
                </c:pt>
                <c:pt idx="205">
                  <c:v>45947</c:v>
                </c:pt>
                <c:pt idx="206">
                  <c:v>45947</c:v>
                </c:pt>
                <c:pt idx="207">
                  <c:v>45947</c:v>
                </c:pt>
                <c:pt idx="208">
                  <c:v>45947</c:v>
                </c:pt>
                <c:pt idx="209">
                  <c:v>45947</c:v>
                </c:pt>
                <c:pt idx="210">
                  <c:v>45947</c:v>
                </c:pt>
                <c:pt idx="211">
                  <c:v>45947</c:v>
                </c:pt>
                <c:pt idx="212">
                  <c:v>45947</c:v>
                </c:pt>
                <c:pt idx="213">
                  <c:v>45947</c:v>
                </c:pt>
                <c:pt idx="214">
                  <c:v>45947</c:v>
                </c:pt>
                <c:pt idx="215">
                  <c:v>45947</c:v>
                </c:pt>
                <c:pt idx="216">
                  <c:v>45947</c:v>
                </c:pt>
                <c:pt idx="217">
                  <c:v>45947</c:v>
                </c:pt>
                <c:pt idx="218">
                  <c:v>45947</c:v>
                </c:pt>
                <c:pt idx="219">
                  <c:v>45947</c:v>
                </c:pt>
                <c:pt idx="220">
                  <c:v>45947</c:v>
                </c:pt>
                <c:pt idx="221">
                  <c:v>45947</c:v>
                </c:pt>
                <c:pt idx="222">
                  <c:v>45947</c:v>
                </c:pt>
                <c:pt idx="223">
                  <c:v>45947</c:v>
                </c:pt>
                <c:pt idx="224">
                  <c:v>45947</c:v>
                </c:pt>
                <c:pt idx="225">
                  <c:v>45947</c:v>
                </c:pt>
                <c:pt idx="226">
                  <c:v>45954</c:v>
                </c:pt>
                <c:pt idx="227">
                  <c:v>45954</c:v>
                </c:pt>
                <c:pt idx="228">
                  <c:v>45954</c:v>
                </c:pt>
                <c:pt idx="229">
                  <c:v>45954</c:v>
                </c:pt>
                <c:pt idx="230">
                  <c:v>45954</c:v>
                </c:pt>
                <c:pt idx="231">
                  <c:v>45954</c:v>
                </c:pt>
                <c:pt idx="232">
                  <c:v>45954</c:v>
                </c:pt>
                <c:pt idx="233">
                  <c:v>45954</c:v>
                </c:pt>
                <c:pt idx="234">
                  <c:v>45954</c:v>
                </c:pt>
                <c:pt idx="235">
                  <c:v>45954</c:v>
                </c:pt>
                <c:pt idx="236">
                  <c:v>45954</c:v>
                </c:pt>
                <c:pt idx="237">
                  <c:v>45954</c:v>
                </c:pt>
                <c:pt idx="238">
                  <c:v>45954</c:v>
                </c:pt>
                <c:pt idx="239">
                  <c:v>45954</c:v>
                </c:pt>
                <c:pt idx="240">
                  <c:v>45954</c:v>
                </c:pt>
                <c:pt idx="241">
                  <c:v>45954</c:v>
                </c:pt>
                <c:pt idx="242">
                  <c:v>45954</c:v>
                </c:pt>
                <c:pt idx="243">
                  <c:v>45954</c:v>
                </c:pt>
                <c:pt idx="244">
                  <c:v>45954</c:v>
                </c:pt>
                <c:pt idx="245">
                  <c:v>45954</c:v>
                </c:pt>
                <c:pt idx="246">
                  <c:v>45954</c:v>
                </c:pt>
                <c:pt idx="247">
                  <c:v>45954</c:v>
                </c:pt>
                <c:pt idx="248">
                  <c:v>45954</c:v>
                </c:pt>
                <c:pt idx="249">
                  <c:v>45954</c:v>
                </c:pt>
                <c:pt idx="250">
                  <c:v>45954</c:v>
                </c:pt>
                <c:pt idx="251">
                  <c:v>45954</c:v>
                </c:pt>
                <c:pt idx="252">
                  <c:v>45954</c:v>
                </c:pt>
                <c:pt idx="253">
                  <c:v>45954</c:v>
                </c:pt>
                <c:pt idx="254">
                  <c:v>45954</c:v>
                </c:pt>
                <c:pt idx="255">
                  <c:v>45954</c:v>
                </c:pt>
                <c:pt idx="256">
                  <c:v>45954</c:v>
                </c:pt>
                <c:pt idx="257">
                  <c:v>45954</c:v>
                </c:pt>
                <c:pt idx="258">
                  <c:v>45954</c:v>
                </c:pt>
                <c:pt idx="259">
                  <c:v>45954</c:v>
                </c:pt>
                <c:pt idx="260">
                  <c:v>45954</c:v>
                </c:pt>
                <c:pt idx="261">
                  <c:v>45954</c:v>
                </c:pt>
                <c:pt idx="262">
                  <c:v>45954</c:v>
                </c:pt>
                <c:pt idx="263">
                  <c:v>45954</c:v>
                </c:pt>
                <c:pt idx="264">
                  <c:v>45954</c:v>
                </c:pt>
                <c:pt idx="265">
                  <c:v>45954</c:v>
                </c:pt>
                <c:pt idx="266">
                  <c:v>45954</c:v>
                </c:pt>
                <c:pt idx="267">
                  <c:v>45954</c:v>
                </c:pt>
                <c:pt idx="268">
                  <c:v>45954</c:v>
                </c:pt>
                <c:pt idx="269">
                  <c:v>45954</c:v>
                </c:pt>
                <c:pt idx="270">
                  <c:v>45954</c:v>
                </c:pt>
                <c:pt idx="271">
                  <c:v>45954</c:v>
                </c:pt>
                <c:pt idx="272">
                  <c:v>45954</c:v>
                </c:pt>
                <c:pt idx="273">
                  <c:v>45954</c:v>
                </c:pt>
                <c:pt idx="274">
                  <c:v>45954</c:v>
                </c:pt>
                <c:pt idx="275">
                  <c:v>45954</c:v>
                </c:pt>
                <c:pt idx="276">
                  <c:v>45954</c:v>
                </c:pt>
                <c:pt idx="277">
                  <c:v>45954</c:v>
                </c:pt>
                <c:pt idx="278">
                  <c:v>45954</c:v>
                </c:pt>
                <c:pt idx="279">
                  <c:v>45954</c:v>
                </c:pt>
                <c:pt idx="280">
                  <c:v>45954</c:v>
                </c:pt>
                <c:pt idx="281">
                  <c:v>45954</c:v>
                </c:pt>
                <c:pt idx="282">
                  <c:v>45954</c:v>
                </c:pt>
                <c:pt idx="283">
                  <c:v>45954</c:v>
                </c:pt>
                <c:pt idx="284">
                  <c:v>45954</c:v>
                </c:pt>
                <c:pt idx="285">
                  <c:v>45954</c:v>
                </c:pt>
                <c:pt idx="286">
                  <c:v>45954</c:v>
                </c:pt>
                <c:pt idx="287">
                  <c:v>45954</c:v>
                </c:pt>
                <c:pt idx="288">
                  <c:v>45954</c:v>
                </c:pt>
                <c:pt idx="289">
                  <c:v>45954</c:v>
                </c:pt>
                <c:pt idx="290">
                  <c:v>45954</c:v>
                </c:pt>
                <c:pt idx="291">
                  <c:v>45954</c:v>
                </c:pt>
                <c:pt idx="292">
                  <c:v>45954</c:v>
                </c:pt>
                <c:pt idx="293">
                  <c:v>45954</c:v>
                </c:pt>
                <c:pt idx="294">
                  <c:v>45954</c:v>
                </c:pt>
                <c:pt idx="295">
                  <c:v>45954</c:v>
                </c:pt>
                <c:pt idx="296">
                  <c:v>45954</c:v>
                </c:pt>
                <c:pt idx="297">
                  <c:v>45954</c:v>
                </c:pt>
                <c:pt idx="298">
                  <c:v>45961</c:v>
                </c:pt>
                <c:pt idx="299">
                  <c:v>45961</c:v>
                </c:pt>
                <c:pt idx="300">
                  <c:v>45961</c:v>
                </c:pt>
                <c:pt idx="301">
                  <c:v>45961</c:v>
                </c:pt>
                <c:pt idx="302">
                  <c:v>45961</c:v>
                </c:pt>
                <c:pt idx="303">
                  <c:v>45961</c:v>
                </c:pt>
                <c:pt idx="304">
                  <c:v>45961</c:v>
                </c:pt>
                <c:pt idx="305">
                  <c:v>45961</c:v>
                </c:pt>
                <c:pt idx="306">
                  <c:v>45961</c:v>
                </c:pt>
                <c:pt idx="307">
                  <c:v>45961</c:v>
                </c:pt>
                <c:pt idx="308">
                  <c:v>45961</c:v>
                </c:pt>
                <c:pt idx="309">
                  <c:v>45961</c:v>
                </c:pt>
                <c:pt idx="310">
                  <c:v>45961</c:v>
                </c:pt>
                <c:pt idx="311">
                  <c:v>45961</c:v>
                </c:pt>
                <c:pt idx="312">
                  <c:v>45961</c:v>
                </c:pt>
                <c:pt idx="313">
                  <c:v>45961</c:v>
                </c:pt>
                <c:pt idx="314">
                  <c:v>45961</c:v>
                </c:pt>
                <c:pt idx="315">
                  <c:v>45961</c:v>
                </c:pt>
                <c:pt idx="316">
                  <c:v>45961</c:v>
                </c:pt>
                <c:pt idx="317">
                  <c:v>45961</c:v>
                </c:pt>
                <c:pt idx="318">
                  <c:v>45961</c:v>
                </c:pt>
                <c:pt idx="319">
                  <c:v>45961</c:v>
                </c:pt>
                <c:pt idx="320">
                  <c:v>45961</c:v>
                </c:pt>
                <c:pt idx="321">
                  <c:v>45961</c:v>
                </c:pt>
                <c:pt idx="322">
                  <c:v>45961</c:v>
                </c:pt>
                <c:pt idx="323">
                  <c:v>45961</c:v>
                </c:pt>
                <c:pt idx="324">
                  <c:v>45961</c:v>
                </c:pt>
                <c:pt idx="325">
                  <c:v>45961</c:v>
                </c:pt>
                <c:pt idx="326">
                  <c:v>45961</c:v>
                </c:pt>
                <c:pt idx="327">
                  <c:v>45961</c:v>
                </c:pt>
                <c:pt idx="328">
                  <c:v>45961</c:v>
                </c:pt>
                <c:pt idx="329">
                  <c:v>45961</c:v>
                </c:pt>
                <c:pt idx="330">
                  <c:v>45961</c:v>
                </c:pt>
                <c:pt idx="331">
                  <c:v>45961</c:v>
                </c:pt>
                <c:pt idx="332">
                  <c:v>45961</c:v>
                </c:pt>
                <c:pt idx="333">
                  <c:v>45961</c:v>
                </c:pt>
                <c:pt idx="334">
                  <c:v>45961</c:v>
                </c:pt>
                <c:pt idx="335">
                  <c:v>45961</c:v>
                </c:pt>
                <c:pt idx="336">
                  <c:v>45961</c:v>
                </c:pt>
                <c:pt idx="337">
                  <c:v>45961</c:v>
                </c:pt>
                <c:pt idx="338">
                  <c:v>45961</c:v>
                </c:pt>
                <c:pt idx="339">
                  <c:v>45961</c:v>
                </c:pt>
                <c:pt idx="340">
                  <c:v>45961</c:v>
                </c:pt>
                <c:pt idx="341">
                  <c:v>45961</c:v>
                </c:pt>
                <c:pt idx="342">
                  <c:v>45961</c:v>
                </c:pt>
                <c:pt idx="343">
                  <c:v>45961</c:v>
                </c:pt>
                <c:pt idx="344">
                  <c:v>45961</c:v>
                </c:pt>
                <c:pt idx="345">
                  <c:v>45961</c:v>
                </c:pt>
                <c:pt idx="346">
                  <c:v>45961</c:v>
                </c:pt>
                <c:pt idx="347">
                  <c:v>45961</c:v>
                </c:pt>
                <c:pt idx="348">
                  <c:v>45961</c:v>
                </c:pt>
                <c:pt idx="349">
                  <c:v>45961</c:v>
                </c:pt>
                <c:pt idx="350">
                  <c:v>45961</c:v>
                </c:pt>
                <c:pt idx="351">
                  <c:v>45961</c:v>
                </c:pt>
                <c:pt idx="352">
                  <c:v>45961</c:v>
                </c:pt>
                <c:pt idx="353">
                  <c:v>45961</c:v>
                </c:pt>
                <c:pt idx="354">
                  <c:v>45961</c:v>
                </c:pt>
                <c:pt idx="355">
                  <c:v>45961</c:v>
                </c:pt>
                <c:pt idx="356">
                  <c:v>45961</c:v>
                </c:pt>
                <c:pt idx="357">
                  <c:v>45961</c:v>
                </c:pt>
                <c:pt idx="358">
                  <c:v>45961</c:v>
                </c:pt>
                <c:pt idx="359">
                  <c:v>45961</c:v>
                </c:pt>
                <c:pt idx="360">
                  <c:v>45961</c:v>
                </c:pt>
                <c:pt idx="361">
                  <c:v>45961</c:v>
                </c:pt>
                <c:pt idx="362">
                  <c:v>45961</c:v>
                </c:pt>
                <c:pt idx="363">
                  <c:v>45961</c:v>
                </c:pt>
                <c:pt idx="364">
                  <c:v>45961</c:v>
                </c:pt>
                <c:pt idx="365">
                  <c:v>45961</c:v>
                </c:pt>
                <c:pt idx="366">
                  <c:v>45961</c:v>
                </c:pt>
                <c:pt idx="367">
                  <c:v>45961</c:v>
                </c:pt>
                <c:pt idx="368">
                  <c:v>45961</c:v>
                </c:pt>
                <c:pt idx="369">
                  <c:v>45961</c:v>
                </c:pt>
                <c:pt idx="370">
                  <c:v>45968</c:v>
                </c:pt>
                <c:pt idx="371">
                  <c:v>45968</c:v>
                </c:pt>
                <c:pt idx="372">
                  <c:v>45968</c:v>
                </c:pt>
                <c:pt idx="373">
                  <c:v>45968</c:v>
                </c:pt>
                <c:pt idx="374">
                  <c:v>45968</c:v>
                </c:pt>
                <c:pt idx="375">
                  <c:v>45968</c:v>
                </c:pt>
                <c:pt idx="376">
                  <c:v>45968</c:v>
                </c:pt>
                <c:pt idx="377">
                  <c:v>45968</c:v>
                </c:pt>
                <c:pt idx="378">
                  <c:v>45968</c:v>
                </c:pt>
                <c:pt idx="379">
                  <c:v>45968</c:v>
                </c:pt>
                <c:pt idx="380">
                  <c:v>45968</c:v>
                </c:pt>
                <c:pt idx="381">
                  <c:v>45968</c:v>
                </c:pt>
                <c:pt idx="382">
                  <c:v>45968</c:v>
                </c:pt>
                <c:pt idx="383">
                  <c:v>45968</c:v>
                </c:pt>
                <c:pt idx="384">
                  <c:v>45968</c:v>
                </c:pt>
                <c:pt idx="385">
                  <c:v>45968</c:v>
                </c:pt>
                <c:pt idx="386">
                  <c:v>45968</c:v>
                </c:pt>
                <c:pt idx="387">
                  <c:v>45968</c:v>
                </c:pt>
                <c:pt idx="388">
                  <c:v>45968</c:v>
                </c:pt>
                <c:pt idx="389">
                  <c:v>45968</c:v>
                </c:pt>
                <c:pt idx="390">
                  <c:v>45968</c:v>
                </c:pt>
                <c:pt idx="391">
                  <c:v>45968</c:v>
                </c:pt>
                <c:pt idx="392">
                  <c:v>45968</c:v>
                </c:pt>
                <c:pt idx="393">
                  <c:v>45968</c:v>
                </c:pt>
                <c:pt idx="394">
                  <c:v>45968</c:v>
                </c:pt>
                <c:pt idx="395">
                  <c:v>45968</c:v>
                </c:pt>
                <c:pt idx="396">
                  <c:v>45968</c:v>
                </c:pt>
                <c:pt idx="397">
                  <c:v>45968</c:v>
                </c:pt>
                <c:pt idx="398">
                  <c:v>45968</c:v>
                </c:pt>
                <c:pt idx="399">
                  <c:v>45968</c:v>
                </c:pt>
                <c:pt idx="400">
                  <c:v>45968</c:v>
                </c:pt>
                <c:pt idx="401">
                  <c:v>45968</c:v>
                </c:pt>
                <c:pt idx="402">
                  <c:v>45968</c:v>
                </c:pt>
                <c:pt idx="403">
                  <c:v>45968</c:v>
                </c:pt>
                <c:pt idx="404">
                  <c:v>45968</c:v>
                </c:pt>
                <c:pt idx="405">
                  <c:v>45968</c:v>
                </c:pt>
                <c:pt idx="406">
                  <c:v>45968</c:v>
                </c:pt>
                <c:pt idx="407">
                  <c:v>45968</c:v>
                </c:pt>
                <c:pt idx="408">
                  <c:v>45968</c:v>
                </c:pt>
                <c:pt idx="409">
                  <c:v>45968</c:v>
                </c:pt>
                <c:pt idx="410">
                  <c:v>45968</c:v>
                </c:pt>
                <c:pt idx="411">
                  <c:v>45982</c:v>
                </c:pt>
                <c:pt idx="412">
                  <c:v>45982</c:v>
                </c:pt>
                <c:pt idx="413">
                  <c:v>45982</c:v>
                </c:pt>
                <c:pt idx="414">
                  <c:v>45982</c:v>
                </c:pt>
                <c:pt idx="415">
                  <c:v>45982</c:v>
                </c:pt>
                <c:pt idx="416">
                  <c:v>45982</c:v>
                </c:pt>
                <c:pt idx="417">
                  <c:v>45982</c:v>
                </c:pt>
                <c:pt idx="418">
                  <c:v>45982</c:v>
                </c:pt>
                <c:pt idx="419">
                  <c:v>45982</c:v>
                </c:pt>
                <c:pt idx="420">
                  <c:v>45982</c:v>
                </c:pt>
                <c:pt idx="421">
                  <c:v>45982</c:v>
                </c:pt>
                <c:pt idx="422">
                  <c:v>45982</c:v>
                </c:pt>
                <c:pt idx="423">
                  <c:v>45982</c:v>
                </c:pt>
                <c:pt idx="424">
                  <c:v>45982</c:v>
                </c:pt>
                <c:pt idx="425">
                  <c:v>45982</c:v>
                </c:pt>
                <c:pt idx="426">
                  <c:v>45982</c:v>
                </c:pt>
                <c:pt idx="427">
                  <c:v>45982</c:v>
                </c:pt>
                <c:pt idx="428">
                  <c:v>45982</c:v>
                </c:pt>
                <c:pt idx="429">
                  <c:v>45982</c:v>
                </c:pt>
                <c:pt idx="430">
                  <c:v>45982</c:v>
                </c:pt>
                <c:pt idx="431">
                  <c:v>45982</c:v>
                </c:pt>
                <c:pt idx="432">
                  <c:v>45982</c:v>
                </c:pt>
                <c:pt idx="433">
                  <c:v>45982</c:v>
                </c:pt>
                <c:pt idx="434">
                  <c:v>45982</c:v>
                </c:pt>
                <c:pt idx="435">
                  <c:v>45982</c:v>
                </c:pt>
                <c:pt idx="436">
                  <c:v>45982</c:v>
                </c:pt>
                <c:pt idx="437">
                  <c:v>45982</c:v>
                </c:pt>
                <c:pt idx="438">
                  <c:v>45982</c:v>
                </c:pt>
                <c:pt idx="439">
                  <c:v>45982</c:v>
                </c:pt>
                <c:pt idx="440">
                  <c:v>45982</c:v>
                </c:pt>
                <c:pt idx="441">
                  <c:v>45982</c:v>
                </c:pt>
                <c:pt idx="442">
                  <c:v>45982</c:v>
                </c:pt>
                <c:pt idx="443">
                  <c:v>45982</c:v>
                </c:pt>
                <c:pt idx="444">
                  <c:v>45982</c:v>
                </c:pt>
                <c:pt idx="445">
                  <c:v>45982</c:v>
                </c:pt>
                <c:pt idx="446">
                  <c:v>45982</c:v>
                </c:pt>
                <c:pt idx="447">
                  <c:v>45982</c:v>
                </c:pt>
                <c:pt idx="448">
                  <c:v>45982</c:v>
                </c:pt>
                <c:pt idx="449">
                  <c:v>45982</c:v>
                </c:pt>
                <c:pt idx="450">
                  <c:v>45982</c:v>
                </c:pt>
                <c:pt idx="451">
                  <c:v>45982</c:v>
                </c:pt>
                <c:pt idx="452">
                  <c:v>45982</c:v>
                </c:pt>
                <c:pt idx="453">
                  <c:v>45982</c:v>
                </c:pt>
                <c:pt idx="454">
                  <c:v>45982</c:v>
                </c:pt>
                <c:pt idx="455">
                  <c:v>45982</c:v>
                </c:pt>
                <c:pt idx="456">
                  <c:v>45982</c:v>
                </c:pt>
                <c:pt idx="457">
                  <c:v>45982</c:v>
                </c:pt>
                <c:pt idx="458">
                  <c:v>45982</c:v>
                </c:pt>
                <c:pt idx="459">
                  <c:v>45982</c:v>
                </c:pt>
                <c:pt idx="460">
                  <c:v>45982</c:v>
                </c:pt>
                <c:pt idx="461">
                  <c:v>45982</c:v>
                </c:pt>
                <c:pt idx="462">
                  <c:v>45982</c:v>
                </c:pt>
                <c:pt idx="463">
                  <c:v>45982</c:v>
                </c:pt>
                <c:pt idx="464">
                  <c:v>45982</c:v>
                </c:pt>
                <c:pt idx="465">
                  <c:v>45982</c:v>
                </c:pt>
                <c:pt idx="466">
                  <c:v>45982</c:v>
                </c:pt>
                <c:pt idx="467">
                  <c:v>45982</c:v>
                </c:pt>
                <c:pt idx="468">
                  <c:v>45982</c:v>
                </c:pt>
                <c:pt idx="469">
                  <c:v>45982</c:v>
                </c:pt>
                <c:pt idx="470">
                  <c:v>45982</c:v>
                </c:pt>
                <c:pt idx="471">
                  <c:v>45982</c:v>
                </c:pt>
                <c:pt idx="472">
                  <c:v>45982</c:v>
                </c:pt>
                <c:pt idx="473">
                  <c:v>45982</c:v>
                </c:pt>
                <c:pt idx="474">
                  <c:v>45982</c:v>
                </c:pt>
                <c:pt idx="475">
                  <c:v>45982</c:v>
                </c:pt>
                <c:pt idx="476">
                  <c:v>45982</c:v>
                </c:pt>
                <c:pt idx="477">
                  <c:v>45982</c:v>
                </c:pt>
                <c:pt idx="478">
                  <c:v>45982</c:v>
                </c:pt>
                <c:pt idx="479">
                  <c:v>45982</c:v>
                </c:pt>
                <c:pt idx="480">
                  <c:v>45982</c:v>
                </c:pt>
                <c:pt idx="481">
                  <c:v>45982</c:v>
                </c:pt>
                <c:pt idx="482">
                  <c:v>45982</c:v>
                </c:pt>
                <c:pt idx="483">
                  <c:v>45982</c:v>
                </c:pt>
                <c:pt idx="484">
                  <c:v>45982</c:v>
                </c:pt>
                <c:pt idx="485">
                  <c:v>45982</c:v>
                </c:pt>
                <c:pt idx="486">
                  <c:v>45982</c:v>
                </c:pt>
                <c:pt idx="487">
                  <c:v>45982</c:v>
                </c:pt>
                <c:pt idx="488">
                  <c:v>45982</c:v>
                </c:pt>
                <c:pt idx="489">
                  <c:v>45982</c:v>
                </c:pt>
                <c:pt idx="490">
                  <c:v>45982</c:v>
                </c:pt>
                <c:pt idx="491">
                  <c:v>45982</c:v>
                </c:pt>
                <c:pt idx="492">
                  <c:v>45982</c:v>
                </c:pt>
                <c:pt idx="493">
                  <c:v>45982</c:v>
                </c:pt>
                <c:pt idx="494">
                  <c:v>45982</c:v>
                </c:pt>
                <c:pt idx="495">
                  <c:v>45982</c:v>
                </c:pt>
                <c:pt idx="496">
                  <c:v>45982</c:v>
                </c:pt>
                <c:pt idx="497">
                  <c:v>45982</c:v>
                </c:pt>
                <c:pt idx="498">
                  <c:v>45982</c:v>
                </c:pt>
                <c:pt idx="499">
                  <c:v>45982</c:v>
                </c:pt>
                <c:pt idx="500">
                  <c:v>45982</c:v>
                </c:pt>
                <c:pt idx="501">
                  <c:v>45982</c:v>
                </c:pt>
                <c:pt idx="502">
                  <c:v>45982</c:v>
                </c:pt>
                <c:pt idx="503">
                  <c:v>45982</c:v>
                </c:pt>
                <c:pt idx="504">
                  <c:v>45982</c:v>
                </c:pt>
                <c:pt idx="505">
                  <c:v>45982</c:v>
                </c:pt>
                <c:pt idx="506">
                  <c:v>45982</c:v>
                </c:pt>
                <c:pt idx="507">
                  <c:v>46038</c:v>
                </c:pt>
                <c:pt idx="508">
                  <c:v>46038</c:v>
                </c:pt>
                <c:pt idx="509">
                  <c:v>46038</c:v>
                </c:pt>
                <c:pt idx="510">
                  <c:v>46038</c:v>
                </c:pt>
                <c:pt idx="511">
                  <c:v>46038</c:v>
                </c:pt>
                <c:pt idx="512">
                  <c:v>46038</c:v>
                </c:pt>
                <c:pt idx="513">
                  <c:v>46038</c:v>
                </c:pt>
                <c:pt idx="514">
                  <c:v>46038</c:v>
                </c:pt>
                <c:pt idx="515">
                  <c:v>46038</c:v>
                </c:pt>
                <c:pt idx="516">
                  <c:v>46038</c:v>
                </c:pt>
                <c:pt idx="517">
                  <c:v>46038</c:v>
                </c:pt>
                <c:pt idx="518">
                  <c:v>46038</c:v>
                </c:pt>
                <c:pt idx="519">
                  <c:v>46038</c:v>
                </c:pt>
                <c:pt idx="520">
                  <c:v>46038</c:v>
                </c:pt>
                <c:pt idx="521">
                  <c:v>46038</c:v>
                </c:pt>
                <c:pt idx="522">
                  <c:v>46038</c:v>
                </c:pt>
                <c:pt idx="523">
                  <c:v>46038</c:v>
                </c:pt>
                <c:pt idx="524">
                  <c:v>46038</c:v>
                </c:pt>
                <c:pt idx="525">
                  <c:v>46038</c:v>
                </c:pt>
                <c:pt idx="526">
                  <c:v>46038</c:v>
                </c:pt>
                <c:pt idx="527">
                  <c:v>46038</c:v>
                </c:pt>
                <c:pt idx="528">
                  <c:v>46038</c:v>
                </c:pt>
                <c:pt idx="529">
                  <c:v>46038</c:v>
                </c:pt>
                <c:pt idx="530">
                  <c:v>46038</c:v>
                </c:pt>
                <c:pt idx="531">
                  <c:v>46038</c:v>
                </c:pt>
                <c:pt idx="532">
                  <c:v>46038</c:v>
                </c:pt>
                <c:pt idx="533">
                  <c:v>46038</c:v>
                </c:pt>
                <c:pt idx="534">
                  <c:v>46038</c:v>
                </c:pt>
                <c:pt idx="535">
                  <c:v>46038</c:v>
                </c:pt>
                <c:pt idx="536">
                  <c:v>46038</c:v>
                </c:pt>
                <c:pt idx="537">
                  <c:v>46038</c:v>
                </c:pt>
                <c:pt idx="538">
                  <c:v>46038</c:v>
                </c:pt>
                <c:pt idx="539">
                  <c:v>46038</c:v>
                </c:pt>
                <c:pt idx="540">
                  <c:v>46038</c:v>
                </c:pt>
                <c:pt idx="541">
                  <c:v>46038</c:v>
                </c:pt>
                <c:pt idx="542">
                  <c:v>46038</c:v>
                </c:pt>
                <c:pt idx="543">
                  <c:v>46038</c:v>
                </c:pt>
                <c:pt idx="544">
                  <c:v>46038</c:v>
                </c:pt>
                <c:pt idx="545">
                  <c:v>46038</c:v>
                </c:pt>
                <c:pt idx="546">
                  <c:v>46038</c:v>
                </c:pt>
                <c:pt idx="547">
                  <c:v>46038</c:v>
                </c:pt>
                <c:pt idx="548">
                  <c:v>46038</c:v>
                </c:pt>
                <c:pt idx="549">
                  <c:v>46038</c:v>
                </c:pt>
                <c:pt idx="550">
                  <c:v>46038</c:v>
                </c:pt>
                <c:pt idx="551">
                  <c:v>46038</c:v>
                </c:pt>
                <c:pt idx="552">
                  <c:v>46038</c:v>
                </c:pt>
                <c:pt idx="553">
                  <c:v>46038</c:v>
                </c:pt>
                <c:pt idx="554">
                  <c:v>46038</c:v>
                </c:pt>
                <c:pt idx="555">
                  <c:v>46038</c:v>
                </c:pt>
                <c:pt idx="556">
                  <c:v>46038</c:v>
                </c:pt>
                <c:pt idx="557">
                  <c:v>46038</c:v>
                </c:pt>
                <c:pt idx="558">
                  <c:v>46038</c:v>
                </c:pt>
                <c:pt idx="559">
                  <c:v>46038</c:v>
                </c:pt>
                <c:pt idx="560">
                  <c:v>46038</c:v>
                </c:pt>
                <c:pt idx="561">
                  <c:v>46038</c:v>
                </c:pt>
                <c:pt idx="562">
                  <c:v>46038</c:v>
                </c:pt>
                <c:pt idx="563">
                  <c:v>46038</c:v>
                </c:pt>
                <c:pt idx="564">
                  <c:v>46038</c:v>
                </c:pt>
                <c:pt idx="565">
                  <c:v>46038</c:v>
                </c:pt>
                <c:pt idx="566">
                  <c:v>46038</c:v>
                </c:pt>
                <c:pt idx="567">
                  <c:v>46038</c:v>
                </c:pt>
                <c:pt idx="568">
                  <c:v>46038</c:v>
                </c:pt>
                <c:pt idx="569">
                  <c:v>46038</c:v>
                </c:pt>
                <c:pt idx="570">
                  <c:v>46038</c:v>
                </c:pt>
                <c:pt idx="571">
                  <c:v>46038</c:v>
                </c:pt>
                <c:pt idx="572">
                  <c:v>46038</c:v>
                </c:pt>
                <c:pt idx="573">
                  <c:v>46038</c:v>
                </c:pt>
                <c:pt idx="574">
                  <c:v>46038</c:v>
                </c:pt>
                <c:pt idx="575">
                  <c:v>46038</c:v>
                </c:pt>
                <c:pt idx="576">
                  <c:v>46038</c:v>
                </c:pt>
                <c:pt idx="577">
                  <c:v>46038</c:v>
                </c:pt>
                <c:pt idx="578">
                  <c:v>46038</c:v>
                </c:pt>
                <c:pt idx="579">
                  <c:v>46038</c:v>
                </c:pt>
                <c:pt idx="580">
                  <c:v>46038</c:v>
                </c:pt>
                <c:pt idx="581">
                  <c:v>46038</c:v>
                </c:pt>
                <c:pt idx="582">
                  <c:v>46038</c:v>
                </c:pt>
                <c:pt idx="583">
                  <c:v>46038</c:v>
                </c:pt>
                <c:pt idx="584">
                  <c:v>46038</c:v>
                </c:pt>
                <c:pt idx="585">
                  <c:v>46038</c:v>
                </c:pt>
                <c:pt idx="586">
                  <c:v>46038</c:v>
                </c:pt>
                <c:pt idx="587">
                  <c:v>46038</c:v>
                </c:pt>
                <c:pt idx="588">
                  <c:v>46038</c:v>
                </c:pt>
                <c:pt idx="589">
                  <c:v>46038</c:v>
                </c:pt>
                <c:pt idx="590">
                  <c:v>46038</c:v>
                </c:pt>
                <c:pt idx="591">
                  <c:v>46038</c:v>
                </c:pt>
                <c:pt idx="592">
                  <c:v>46038</c:v>
                </c:pt>
                <c:pt idx="593">
                  <c:v>46038</c:v>
                </c:pt>
                <c:pt idx="594">
                  <c:v>46038</c:v>
                </c:pt>
                <c:pt idx="595">
                  <c:v>46038</c:v>
                </c:pt>
                <c:pt idx="596">
                  <c:v>46038</c:v>
                </c:pt>
                <c:pt idx="597">
                  <c:v>46038</c:v>
                </c:pt>
                <c:pt idx="598">
                  <c:v>46038</c:v>
                </c:pt>
                <c:pt idx="599">
                  <c:v>46038</c:v>
                </c:pt>
                <c:pt idx="600">
                  <c:v>46038</c:v>
                </c:pt>
                <c:pt idx="601">
                  <c:v>46038</c:v>
                </c:pt>
                <c:pt idx="602">
                  <c:v>46038</c:v>
                </c:pt>
                <c:pt idx="603">
                  <c:v>46038</c:v>
                </c:pt>
                <c:pt idx="604">
                  <c:v>46038</c:v>
                </c:pt>
                <c:pt idx="605">
                  <c:v>46038</c:v>
                </c:pt>
                <c:pt idx="606">
                  <c:v>46038</c:v>
                </c:pt>
                <c:pt idx="607">
                  <c:v>46038</c:v>
                </c:pt>
                <c:pt idx="608">
                  <c:v>46038</c:v>
                </c:pt>
                <c:pt idx="609">
                  <c:v>46038</c:v>
                </c:pt>
                <c:pt idx="610">
                  <c:v>46038</c:v>
                </c:pt>
                <c:pt idx="611">
                  <c:v>46038</c:v>
                </c:pt>
                <c:pt idx="612">
                  <c:v>46038</c:v>
                </c:pt>
                <c:pt idx="613">
                  <c:v>46038</c:v>
                </c:pt>
                <c:pt idx="614">
                  <c:v>46038</c:v>
                </c:pt>
                <c:pt idx="615">
                  <c:v>46038</c:v>
                </c:pt>
                <c:pt idx="616">
                  <c:v>46038</c:v>
                </c:pt>
                <c:pt idx="617">
                  <c:v>46038</c:v>
                </c:pt>
                <c:pt idx="618">
                  <c:v>46038</c:v>
                </c:pt>
                <c:pt idx="619">
                  <c:v>46038</c:v>
                </c:pt>
                <c:pt idx="620">
                  <c:v>46038</c:v>
                </c:pt>
                <c:pt idx="621">
                  <c:v>46038</c:v>
                </c:pt>
                <c:pt idx="622">
                  <c:v>46038</c:v>
                </c:pt>
                <c:pt idx="623">
                  <c:v>46038</c:v>
                </c:pt>
                <c:pt idx="624">
                  <c:v>46038</c:v>
                </c:pt>
                <c:pt idx="625">
                  <c:v>46038</c:v>
                </c:pt>
                <c:pt idx="626">
                  <c:v>46038</c:v>
                </c:pt>
                <c:pt idx="627">
                  <c:v>46038</c:v>
                </c:pt>
                <c:pt idx="628">
                  <c:v>46038</c:v>
                </c:pt>
                <c:pt idx="629">
                  <c:v>46038</c:v>
                </c:pt>
                <c:pt idx="630">
                  <c:v>46038</c:v>
                </c:pt>
                <c:pt idx="631">
                  <c:v>46038</c:v>
                </c:pt>
                <c:pt idx="632">
                  <c:v>46038</c:v>
                </c:pt>
                <c:pt idx="633">
                  <c:v>46038</c:v>
                </c:pt>
                <c:pt idx="634">
                  <c:v>46038</c:v>
                </c:pt>
                <c:pt idx="635">
                  <c:v>46038</c:v>
                </c:pt>
                <c:pt idx="636">
                  <c:v>46038</c:v>
                </c:pt>
                <c:pt idx="637">
                  <c:v>46038</c:v>
                </c:pt>
                <c:pt idx="638">
                  <c:v>46038</c:v>
                </c:pt>
                <c:pt idx="639">
                  <c:v>46038</c:v>
                </c:pt>
                <c:pt idx="640">
                  <c:v>46038</c:v>
                </c:pt>
                <c:pt idx="641">
                  <c:v>46038</c:v>
                </c:pt>
                <c:pt idx="642">
                  <c:v>46038</c:v>
                </c:pt>
                <c:pt idx="643">
                  <c:v>46038</c:v>
                </c:pt>
                <c:pt idx="644">
                  <c:v>46038</c:v>
                </c:pt>
                <c:pt idx="645">
                  <c:v>46038</c:v>
                </c:pt>
                <c:pt idx="646">
                  <c:v>46038</c:v>
                </c:pt>
                <c:pt idx="647">
                  <c:v>46038</c:v>
                </c:pt>
                <c:pt idx="648">
                  <c:v>46073</c:v>
                </c:pt>
                <c:pt idx="649">
                  <c:v>46073</c:v>
                </c:pt>
                <c:pt idx="650">
                  <c:v>46073</c:v>
                </c:pt>
                <c:pt idx="651">
                  <c:v>46073</c:v>
                </c:pt>
                <c:pt idx="652">
                  <c:v>46073</c:v>
                </c:pt>
                <c:pt idx="653">
                  <c:v>46073</c:v>
                </c:pt>
                <c:pt idx="654">
                  <c:v>46073</c:v>
                </c:pt>
                <c:pt idx="655">
                  <c:v>46073</c:v>
                </c:pt>
                <c:pt idx="656">
                  <c:v>46073</c:v>
                </c:pt>
                <c:pt idx="657">
                  <c:v>46073</c:v>
                </c:pt>
                <c:pt idx="658">
                  <c:v>46073</c:v>
                </c:pt>
                <c:pt idx="659">
                  <c:v>46073</c:v>
                </c:pt>
                <c:pt idx="660">
                  <c:v>46073</c:v>
                </c:pt>
                <c:pt idx="661">
                  <c:v>46073</c:v>
                </c:pt>
                <c:pt idx="662">
                  <c:v>46073</c:v>
                </c:pt>
                <c:pt idx="663">
                  <c:v>46073</c:v>
                </c:pt>
                <c:pt idx="664">
                  <c:v>46073</c:v>
                </c:pt>
                <c:pt idx="665">
                  <c:v>46073</c:v>
                </c:pt>
                <c:pt idx="666">
                  <c:v>46073</c:v>
                </c:pt>
                <c:pt idx="667">
                  <c:v>46073</c:v>
                </c:pt>
                <c:pt idx="668">
                  <c:v>46073</c:v>
                </c:pt>
                <c:pt idx="669">
                  <c:v>46073</c:v>
                </c:pt>
                <c:pt idx="670">
                  <c:v>46073</c:v>
                </c:pt>
                <c:pt idx="671">
                  <c:v>46073</c:v>
                </c:pt>
                <c:pt idx="672">
                  <c:v>46073</c:v>
                </c:pt>
                <c:pt idx="673">
                  <c:v>46073</c:v>
                </c:pt>
                <c:pt idx="674">
                  <c:v>46073</c:v>
                </c:pt>
                <c:pt idx="675">
                  <c:v>46073</c:v>
                </c:pt>
                <c:pt idx="676">
                  <c:v>46073</c:v>
                </c:pt>
                <c:pt idx="677">
                  <c:v>46073</c:v>
                </c:pt>
                <c:pt idx="678">
                  <c:v>46073</c:v>
                </c:pt>
                <c:pt idx="679">
                  <c:v>46073</c:v>
                </c:pt>
                <c:pt idx="680">
                  <c:v>46073</c:v>
                </c:pt>
                <c:pt idx="681">
                  <c:v>46073</c:v>
                </c:pt>
                <c:pt idx="682">
                  <c:v>46073</c:v>
                </c:pt>
                <c:pt idx="683">
                  <c:v>46073</c:v>
                </c:pt>
                <c:pt idx="684">
                  <c:v>46073</c:v>
                </c:pt>
                <c:pt idx="685">
                  <c:v>46073</c:v>
                </c:pt>
                <c:pt idx="686">
                  <c:v>46073</c:v>
                </c:pt>
                <c:pt idx="687">
                  <c:v>46073</c:v>
                </c:pt>
                <c:pt idx="688">
                  <c:v>46073</c:v>
                </c:pt>
                <c:pt idx="689">
                  <c:v>46073</c:v>
                </c:pt>
                <c:pt idx="690">
                  <c:v>46073</c:v>
                </c:pt>
                <c:pt idx="691">
                  <c:v>46073</c:v>
                </c:pt>
                <c:pt idx="692">
                  <c:v>46073</c:v>
                </c:pt>
                <c:pt idx="693">
                  <c:v>46073</c:v>
                </c:pt>
                <c:pt idx="694">
                  <c:v>46073</c:v>
                </c:pt>
                <c:pt idx="695">
                  <c:v>46073</c:v>
                </c:pt>
                <c:pt idx="696">
                  <c:v>46073</c:v>
                </c:pt>
                <c:pt idx="697">
                  <c:v>46073</c:v>
                </c:pt>
                <c:pt idx="698">
                  <c:v>46073</c:v>
                </c:pt>
                <c:pt idx="699">
                  <c:v>46073</c:v>
                </c:pt>
                <c:pt idx="700">
                  <c:v>46073</c:v>
                </c:pt>
                <c:pt idx="701">
                  <c:v>46073</c:v>
                </c:pt>
                <c:pt idx="702">
                  <c:v>46073</c:v>
                </c:pt>
                <c:pt idx="703">
                  <c:v>46073</c:v>
                </c:pt>
                <c:pt idx="704">
                  <c:v>46073</c:v>
                </c:pt>
                <c:pt idx="705">
                  <c:v>46073</c:v>
                </c:pt>
                <c:pt idx="706">
                  <c:v>46073</c:v>
                </c:pt>
                <c:pt idx="707">
                  <c:v>46073</c:v>
                </c:pt>
                <c:pt idx="708">
                  <c:v>46073</c:v>
                </c:pt>
                <c:pt idx="709">
                  <c:v>46073</c:v>
                </c:pt>
                <c:pt idx="710">
                  <c:v>46073</c:v>
                </c:pt>
                <c:pt idx="711">
                  <c:v>46073</c:v>
                </c:pt>
                <c:pt idx="712">
                  <c:v>46073</c:v>
                </c:pt>
                <c:pt idx="713">
                  <c:v>46073</c:v>
                </c:pt>
                <c:pt idx="714">
                  <c:v>46073</c:v>
                </c:pt>
                <c:pt idx="715">
                  <c:v>46073</c:v>
                </c:pt>
                <c:pt idx="716">
                  <c:v>46073</c:v>
                </c:pt>
                <c:pt idx="717">
                  <c:v>46073</c:v>
                </c:pt>
                <c:pt idx="718">
                  <c:v>46073</c:v>
                </c:pt>
                <c:pt idx="719">
                  <c:v>46073</c:v>
                </c:pt>
                <c:pt idx="720">
                  <c:v>46073</c:v>
                </c:pt>
                <c:pt idx="721">
                  <c:v>46073</c:v>
                </c:pt>
                <c:pt idx="722">
                  <c:v>46073</c:v>
                </c:pt>
                <c:pt idx="723">
                  <c:v>46073</c:v>
                </c:pt>
                <c:pt idx="724">
                  <c:v>46073</c:v>
                </c:pt>
                <c:pt idx="725">
                  <c:v>46073</c:v>
                </c:pt>
                <c:pt idx="726">
                  <c:v>46073</c:v>
                </c:pt>
                <c:pt idx="727">
                  <c:v>46073</c:v>
                </c:pt>
                <c:pt idx="728">
                  <c:v>46073</c:v>
                </c:pt>
                <c:pt idx="729">
                  <c:v>46073</c:v>
                </c:pt>
                <c:pt idx="730">
                  <c:v>46073</c:v>
                </c:pt>
                <c:pt idx="731">
                  <c:v>46073</c:v>
                </c:pt>
                <c:pt idx="732">
                  <c:v>46073</c:v>
                </c:pt>
                <c:pt idx="733">
                  <c:v>46073</c:v>
                </c:pt>
                <c:pt idx="734">
                  <c:v>46073</c:v>
                </c:pt>
                <c:pt idx="735">
                  <c:v>46073</c:v>
                </c:pt>
                <c:pt idx="736">
                  <c:v>46073</c:v>
                </c:pt>
                <c:pt idx="737">
                  <c:v>46073</c:v>
                </c:pt>
                <c:pt idx="738">
                  <c:v>46073</c:v>
                </c:pt>
                <c:pt idx="739">
                  <c:v>46073</c:v>
                </c:pt>
                <c:pt idx="740">
                  <c:v>46101</c:v>
                </c:pt>
                <c:pt idx="741">
                  <c:v>46101</c:v>
                </c:pt>
                <c:pt idx="742">
                  <c:v>46101</c:v>
                </c:pt>
                <c:pt idx="743">
                  <c:v>46101</c:v>
                </c:pt>
                <c:pt idx="744">
                  <c:v>46101</c:v>
                </c:pt>
                <c:pt idx="745">
                  <c:v>46101</c:v>
                </c:pt>
                <c:pt idx="746">
                  <c:v>46101</c:v>
                </c:pt>
                <c:pt idx="747">
                  <c:v>46101</c:v>
                </c:pt>
                <c:pt idx="748">
                  <c:v>46101</c:v>
                </c:pt>
                <c:pt idx="749">
                  <c:v>46101</c:v>
                </c:pt>
                <c:pt idx="750">
                  <c:v>46101</c:v>
                </c:pt>
                <c:pt idx="751">
                  <c:v>46101</c:v>
                </c:pt>
                <c:pt idx="752">
                  <c:v>46101</c:v>
                </c:pt>
                <c:pt idx="753">
                  <c:v>46101</c:v>
                </c:pt>
                <c:pt idx="754">
                  <c:v>46101</c:v>
                </c:pt>
                <c:pt idx="755">
                  <c:v>46101</c:v>
                </c:pt>
                <c:pt idx="756">
                  <c:v>46101</c:v>
                </c:pt>
                <c:pt idx="757">
                  <c:v>46101</c:v>
                </c:pt>
                <c:pt idx="758">
                  <c:v>46101</c:v>
                </c:pt>
                <c:pt idx="759">
                  <c:v>46101</c:v>
                </c:pt>
                <c:pt idx="760">
                  <c:v>46101</c:v>
                </c:pt>
                <c:pt idx="761">
                  <c:v>46101</c:v>
                </c:pt>
                <c:pt idx="762">
                  <c:v>46101</c:v>
                </c:pt>
                <c:pt idx="763">
                  <c:v>46101</c:v>
                </c:pt>
                <c:pt idx="764">
                  <c:v>46101</c:v>
                </c:pt>
                <c:pt idx="765">
                  <c:v>46101</c:v>
                </c:pt>
                <c:pt idx="766">
                  <c:v>46101</c:v>
                </c:pt>
                <c:pt idx="767">
                  <c:v>46101</c:v>
                </c:pt>
                <c:pt idx="768">
                  <c:v>46101</c:v>
                </c:pt>
                <c:pt idx="769">
                  <c:v>46101</c:v>
                </c:pt>
                <c:pt idx="770">
                  <c:v>46101</c:v>
                </c:pt>
                <c:pt idx="771">
                  <c:v>46101</c:v>
                </c:pt>
                <c:pt idx="772">
                  <c:v>46101</c:v>
                </c:pt>
                <c:pt idx="773">
                  <c:v>46101</c:v>
                </c:pt>
                <c:pt idx="774">
                  <c:v>46101</c:v>
                </c:pt>
                <c:pt idx="775">
                  <c:v>46101</c:v>
                </c:pt>
                <c:pt idx="776">
                  <c:v>46101</c:v>
                </c:pt>
                <c:pt idx="777">
                  <c:v>46101</c:v>
                </c:pt>
                <c:pt idx="778">
                  <c:v>46101</c:v>
                </c:pt>
                <c:pt idx="779">
                  <c:v>46101</c:v>
                </c:pt>
                <c:pt idx="780">
                  <c:v>46101</c:v>
                </c:pt>
                <c:pt idx="781">
                  <c:v>46101</c:v>
                </c:pt>
                <c:pt idx="782">
                  <c:v>46101</c:v>
                </c:pt>
                <c:pt idx="783">
                  <c:v>46101</c:v>
                </c:pt>
                <c:pt idx="784">
                  <c:v>46101</c:v>
                </c:pt>
                <c:pt idx="785">
                  <c:v>46101</c:v>
                </c:pt>
                <c:pt idx="786">
                  <c:v>46101</c:v>
                </c:pt>
                <c:pt idx="787">
                  <c:v>46101</c:v>
                </c:pt>
                <c:pt idx="788">
                  <c:v>46101</c:v>
                </c:pt>
                <c:pt idx="789">
                  <c:v>46101</c:v>
                </c:pt>
                <c:pt idx="790">
                  <c:v>46101</c:v>
                </c:pt>
                <c:pt idx="791">
                  <c:v>46101</c:v>
                </c:pt>
                <c:pt idx="792">
                  <c:v>46101</c:v>
                </c:pt>
                <c:pt idx="793">
                  <c:v>46101</c:v>
                </c:pt>
                <c:pt idx="794">
                  <c:v>46101</c:v>
                </c:pt>
                <c:pt idx="795">
                  <c:v>46101</c:v>
                </c:pt>
                <c:pt idx="796">
                  <c:v>46101</c:v>
                </c:pt>
                <c:pt idx="797">
                  <c:v>46101</c:v>
                </c:pt>
                <c:pt idx="798">
                  <c:v>46101</c:v>
                </c:pt>
                <c:pt idx="799">
                  <c:v>46101</c:v>
                </c:pt>
                <c:pt idx="800">
                  <c:v>46101</c:v>
                </c:pt>
                <c:pt idx="801">
                  <c:v>46101</c:v>
                </c:pt>
                <c:pt idx="802">
                  <c:v>46101</c:v>
                </c:pt>
                <c:pt idx="803">
                  <c:v>46101</c:v>
                </c:pt>
                <c:pt idx="804">
                  <c:v>46101</c:v>
                </c:pt>
                <c:pt idx="805">
                  <c:v>46101</c:v>
                </c:pt>
                <c:pt idx="806">
                  <c:v>46101</c:v>
                </c:pt>
                <c:pt idx="807">
                  <c:v>46101</c:v>
                </c:pt>
                <c:pt idx="808">
                  <c:v>46101</c:v>
                </c:pt>
                <c:pt idx="809">
                  <c:v>46101</c:v>
                </c:pt>
                <c:pt idx="810">
                  <c:v>46101</c:v>
                </c:pt>
                <c:pt idx="811">
                  <c:v>46101</c:v>
                </c:pt>
                <c:pt idx="812">
                  <c:v>46101</c:v>
                </c:pt>
                <c:pt idx="813">
                  <c:v>46101</c:v>
                </c:pt>
                <c:pt idx="814">
                  <c:v>46101</c:v>
                </c:pt>
                <c:pt idx="815">
                  <c:v>46101</c:v>
                </c:pt>
                <c:pt idx="816">
                  <c:v>46101</c:v>
                </c:pt>
                <c:pt idx="817">
                  <c:v>46101</c:v>
                </c:pt>
                <c:pt idx="818">
                  <c:v>46129</c:v>
                </c:pt>
                <c:pt idx="819">
                  <c:v>46129</c:v>
                </c:pt>
                <c:pt idx="820">
                  <c:v>46129</c:v>
                </c:pt>
                <c:pt idx="821">
                  <c:v>46129</c:v>
                </c:pt>
                <c:pt idx="822">
                  <c:v>46129</c:v>
                </c:pt>
                <c:pt idx="823">
                  <c:v>46129</c:v>
                </c:pt>
                <c:pt idx="824">
                  <c:v>46129</c:v>
                </c:pt>
                <c:pt idx="825">
                  <c:v>46129</c:v>
                </c:pt>
                <c:pt idx="826">
                  <c:v>46129</c:v>
                </c:pt>
                <c:pt idx="827">
                  <c:v>46129</c:v>
                </c:pt>
                <c:pt idx="828">
                  <c:v>46129</c:v>
                </c:pt>
                <c:pt idx="829">
                  <c:v>46129</c:v>
                </c:pt>
                <c:pt idx="830">
                  <c:v>46129</c:v>
                </c:pt>
                <c:pt idx="831">
                  <c:v>46129</c:v>
                </c:pt>
                <c:pt idx="832">
                  <c:v>46129</c:v>
                </c:pt>
                <c:pt idx="833">
                  <c:v>46129</c:v>
                </c:pt>
                <c:pt idx="834">
                  <c:v>46129</c:v>
                </c:pt>
                <c:pt idx="835">
                  <c:v>46129</c:v>
                </c:pt>
                <c:pt idx="836">
                  <c:v>46129</c:v>
                </c:pt>
                <c:pt idx="837">
                  <c:v>46129</c:v>
                </c:pt>
                <c:pt idx="838">
                  <c:v>46129</c:v>
                </c:pt>
                <c:pt idx="839">
                  <c:v>46129</c:v>
                </c:pt>
                <c:pt idx="840">
                  <c:v>46129</c:v>
                </c:pt>
                <c:pt idx="841">
                  <c:v>46129</c:v>
                </c:pt>
                <c:pt idx="842">
                  <c:v>46129</c:v>
                </c:pt>
                <c:pt idx="843">
                  <c:v>46129</c:v>
                </c:pt>
                <c:pt idx="844">
                  <c:v>46129</c:v>
                </c:pt>
                <c:pt idx="845">
                  <c:v>46129</c:v>
                </c:pt>
                <c:pt idx="846">
                  <c:v>46129</c:v>
                </c:pt>
                <c:pt idx="847">
                  <c:v>46129</c:v>
                </c:pt>
                <c:pt idx="848">
                  <c:v>46129</c:v>
                </c:pt>
                <c:pt idx="849">
                  <c:v>46129</c:v>
                </c:pt>
                <c:pt idx="850">
                  <c:v>46129</c:v>
                </c:pt>
                <c:pt idx="851">
                  <c:v>46129</c:v>
                </c:pt>
                <c:pt idx="852">
                  <c:v>46129</c:v>
                </c:pt>
                <c:pt idx="853">
                  <c:v>46129</c:v>
                </c:pt>
                <c:pt idx="854">
                  <c:v>46129</c:v>
                </c:pt>
                <c:pt idx="855">
                  <c:v>46129</c:v>
                </c:pt>
                <c:pt idx="856">
                  <c:v>46129</c:v>
                </c:pt>
                <c:pt idx="857">
                  <c:v>46129</c:v>
                </c:pt>
                <c:pt idx="858">
                  <c:v>46129</c:v>
                </c:pt>
                <c:pt idx="859">
                  <c:v>46129</c:v>
                </c:pt>
                <c:pt idx="860">
                  <c:v>46129</c:v>
                </c:pt>
                <c:pt idx="861">
                  <c:v>46129</c:v>
                </c:pt>
                <c:pt idx="862">
                  <c:v>46129</c:v>
                </c:pt>
                <c:pt idx="863">
                  <c:v>46129</c:v>
                </c:pt>
                <c:pt idx="864">
                  <c:v>46129</c:v>
                </c:pt>
                <c:pt idx="865">
                  <c:v>46129</c:v>
                </c:pt>
                <c:pt idx="866">
                  <c:v>46129</c:v>
                </c:pt>
                <c:pt idx="867">
                  <c:v>46129</c:v>
                </c:pt>
                <c:pt idx="868">
                  <c:v>46129</c:v>
                </c:pt>
                <c:pt idx="869">
                  <c:v>46129</c:v>
                </c:pt>
                <c:pt idx="870">
                  <c:v>46129</c:v>
                </c:pt>
                <c:pt idx="871">
                  <c:v>46129</c:v>
                </c:pt>
                <c:pt idx="872">
                  <c:v>46129</c:v>
                </c:pt>
                <c:pt idx="873">
                  <c:v>46129</c:v>
                </c:pt>
                <c:pt idx="874">
                  <c:v>46129</c:v>
                </c:pt>
                <c:pt idx="875">
                  <c:v>46129</c:v>
                </c:pt>
                <c:pt idx="876">
                  <c:v>46129</c:v>
                </c:pt>
                <c:pt idx="877">
                  <c:v>46129</c:v>
                </c:pt>
                <c:pt idx="878">
                  <c:v>46129</c:v>
                </c:pt>
                <c:pt idx="879">
                  <c:v>46129</c:v>
                </c:pt>
                <c:pt idx="880">
                  <c:v>46129</c:v>
                </c:pt>
                <c:pt idx="881">
                  <c:v>46129</c:v>
                </c:pt>
                <c:pt idx="882">
                  <c:v>46129</c:v>
                </c:pt>
                <c:pt idx="883">
                  <c:v>46129</c:v>
                </c:pt>
                <c:pt idx="884">
                  <c:v>46129</c:v>
                </c:pt>
                <c:pt idx="885">
                  <c:v>46129</c:v>
                </c:pt>
                <c:pt idx="886">
                  <c:v>46129</c:v>
                </c:pt>
                <c:pt idx="887">
                  <c:v>46129</c:v>
                </c:pt>
                <c:pt idx="888">
                  <c:v>46129</c:v>
                </c:pt>
                <c:pt idx="889">
                  <c:v>46129</c:v>
                </c:pt>
                <c:pt idx="890">
                  <c:v>46129</c:v>
                </c:pt>
                <c:pt idx="891">
                  <c:v>46129</c:v>
                </c:pt>
                <c:pt idx="892">
                  <c:v>46129</c:v>
                </c:pt>
                <c:pt idx="893">
                  <c:v>46129</c:v>
                </c:pt>
                <c:pt idx="894">
                  <c:v>46129</c:v>
                </c:pt>
                <c:pt idx="895">
                  <c:v>46129</c:v>
                </c:pt>
                <c:pt idx="896">
                  <c:v>46129</c:v>
                </c:pt>
                <c:pt idx="897">
                  <c:v>46129</c:v>
                </c:pt>
                <c:pt idx="898">
                  <c:v>46157</c:v>
                </c:pt>
                <c:pt idx="899">
                  <c:v>46157</c:v>
                </c:pt>
                <c:pt idx="900">
                  <c:v>46157</c:v>
                </c:pt>
                <c:pt idx="901">
                  <c:v>46157</c:v>
                </c:pt>
                <c:pt idx="902">
                  <c:v>46157</c:v>
                </c:pt>
                <c:pt idx="903">
                  <c:v>46157</c:v>
                </c:pt>
                <c:pt idx="904">
                  <c:v>46157</c:v>
                </c:pt>
                <c:pt idx="905">
                  <c:v>46157</c:v>
                </c:pt>
                <c:pt idx="906">
                  <c:v>46157</c:v>
                </c:pt>
                <c:pt idx="907">
                  <c:v>46157</c:v>
                </c:pt>
                <c:pt idx="908">
                  <c:v>46157</c:v>
                </c:pt>
                <c:pt idx="909">
                  <c:v>46157</c:v>
                </c:pt>
                <c:pt idx="910">
                  <c:v>46157</c:v>
                </c:pt>
                <c:pt idx="911">
                  <c:v>46157</c:v>
                </c:pt>
                <c:pt idx="912">
                  <c:v>46157</c:v>
                </c:pt>
                <c:pt idx="913">
                  <c:v>46157</c:v>
                </c:pt>
                <c:pt idx="914">
                  <c:v>46157</c:v>
                </c:pt>
                <c:pt idx="915">
                  <c:v>46157</c:v>
                </c:pt>
                <c:pt idx="916">
                  <c:v>46157</c:v>
                </c:pt>
                <c:pt idx="917">
                  <c:v>46157</c:v>
                </c:pt>
                <c:pt idx="918">
                  <c:v>46157</c:v>
                </c:pt>
                <c:pt idx="919">
                  <c:v>46157</c:v>
                </c:pt>
                <c:pt idx="920">
                  <c:v>46157</c:v>
                </c:pt>
                <c:pt idx="921">
                  <c:v>46157</c:v>
                </c:pt>
                <c:pt idx="922">
                  <c:v>46157</c:v>
                </c:pt>
                <c:pt idx="923">
                  <c:v>46157</c:v>
                </c:pt>
                <c:pt idx="924">
                  <c:v>46157</c:v>
                </c:pt>
                <c:pt idx="925">
                  <c:v>46157</c:v>
                </c:pt>
                <c:pt idx="926">
                  <c:v>46157</c:v>
                </c:pt>
                <c:pt idx="927">
                  <c:v>46157</c:v>
                </c:pt>
                <c:pt idx="928">
                  <c:v>46157</c:v>
                </c:pt>
                <c:pt idx="929">
                  <c:v>46157</c:v>
                </c:pt>
                <c:pt idx="930">
                  <c:v>46157</c:v>
                </c:pt>
                <c:pt idx="931">
                  <c:v>46157</c:v>
                </c:pt>
                <c:pt idx="932">
                  <c:v>46157</c:v>
                </c:pt>
                <c:pt idx="933">
                  <c:v>46157</c:v>
                </c:pt>
                <c:pt idx="934">
                  <c:v>46157</c:v>
                </c:pt>
                <c:pt idx="935">
                  <c:v>46157</c:v>
                </c:pt>
                <c:pt idx="936">
                  <c:v>46157</c:v>
                </c:pt>
                <c:pt idx="937">
                  <c:v>46157</c:v>
                </c:pt>
                <c:pt idx="938">
                  <c:v>46157</c:v>
                </c:pt>
                <c:pt idx="939">
                  <c:v>46157</c:v>
                </c:pt>
                <c:pt idx="940">
                  <c:v>46157</c:v>
                </c:pt>
                <c:pt idx="941">
                  <c:v>46157</c:v>
                </c:pt>
                <c:pt idx="942">
                  <c:v>46157</c:v>
                </c:pt>
                <c:pt idx="943">
                  <c:v>46157</c:v>
                </c:pt>
                <c:pt idx="944">
                  <c:v>46157</c:v>
                </c:pt>
                <c:pt idx="945">
                  <c:v>46157</c:v>
                </c:pt>
                <c:pt idx="946">
                  <c:v>46157</c:v>
                </c:pt>
                <c:pt idx="947">
                  <c:v>46157</c:v>
                </c:pt>
                <c:pt idx="948">
                  <c:v>46157</c:v>
                </c:pt>
                <c:pt idx="949">
                  <c:v>46157</c:v>
                </c:pt>
                <c:pt idx="950">
                  <c:v>46157</c:v>
                </c:pt>
                <c:pt idx="951">
                  <c:v>46157</c:v>
                </c:pt>
                <c:pt idx="952">
                  <c:v>46157</c:v>
                </c:pt>
                <c:pt idx="953">
                  <c:v>46157</c:v>
                </c:pt>
                <c:pt idx="954">
                  <c:v>46157</c:v>
                </c:pt>
                <c:pt idx="955">
                  <c:v>46157</c:v>
                </c:pt>
                <c:pt idx="956">
                  <c:v>46157</c:v>
                </c:pt>
                <c:pt idx="957">
                  <c:v>46157</c:v>
                </c:pt>
                <c:pt idx="958">
                  <c:v>46157</c:v>
                </c:pt>
                <c:pt idx="959">
                  <c:v>46157</c:v>
                </c:pt>
                <c:pt idx="960">
                  <c:v>46157</c:v>
                </c:pt>
                <c:pt idx="961">
                  <c:v>46157</c:v>
                </c:pt>
                <c:pt idx="962">
                  <c:v>46157</c:v>
                </c:pt>
                <c:pt idx="963">
                  <c:v>46157</c:v>
                </c:pt>
                <c:pt idx="964">
                  <c:v>46157</c:v>
                </c:pt>
                <c:pt idx="965">
                  <c:v>46157</c:v>
                </c:pt>
                <c:pt idx="966">
                  <c:v>46157</c:v>
                </c:pt>
                <c:pt idx="967">
                  <c:v>46157</c:v>
                </c:pt>
                <c:pt idx="968">
                  <c:v>46157</c:v>
                </c:pt>
                <c:pt idx="969">
                  <c:v>46157</c:v>
                </c:pt>
                <c:pt idx="970">
                  <c:v>46157</c:v>
                </c:pt>
                <c:pt idx="971">
                  <c:v>46157</c:v>
                </c:pt>
                <c:pt idx="972">
                  <c:v>46157</c:v>
                </c:pt>
                <c:pt idx="973">
                  <c:v>46157</c:v>
                </c:pt>
                <c:pt idx="974">
                  <c:v>46157</c:v>
                </c:pt>
                <c:pt idx="975">
                  <c:v>46157</c:v>
                </c:pt>
                <c:pt idx="976">
                  <c:v>46157</c:v>
                </c:pt>
                <c:pt idx="977">
                  <c:v>46157</c:v>
                </c:pt>
                <c:pt idx="978">
                  <c:v>46157</c:v>
                </c:pt>
                <c:pt idx="979">
                  <c:v>46157</c:v>
                </c:pt>
                <c:pt idx="980">
                  <c:v>46157</c:v>
                </c:pt>
                <c:pt idx="981">
                  <c:v>46157</c:v>
                </c:pt>
                <c:pt idx="982">
                  <c:v>46157</c:v>
                </c:pt>
                <c:pt idx="983">
                  <c:v>46157</c:v>
                </c:pt>
                <c:pt idx="984">
                  <c:v>46157</c:v>
                </c:pt>
                <c:pt idx="985">
                  <c:v>46157</c:v>
                </c:pt>
                <c:pt idx="986">
                  <c:v>46191</c:v>
                </c:pt>
                <c:pt idx="987">
                  <c:v>46191</c:v>
                </c:pt>
                <c:pt idx="988">
                  <c:v>46191</c:v>
                </c:pt>
                <c:pt idx="989">
                  <c:v>46191</c:v>
                </c:pt>
                <c:pt idx="990">
                  <c:v>46191</c:v>
                </c:pt>
                <c:pt idx="991">
                  <c:v>46191</c:v>
                </c:pt>
                <c:pt idx="992">
                  <c:v>46191</c:v>
                </c:pt>
                <c:pt idx="993">
                  <c:v>46191</c:v>
                </c:pt>
                <c:pt idx="994">
                  <c:v>46191</c:v>
                </c:pt>
                <c:pt idx="995">
                  <c:v>46191</c:v>
                </c:pt>
                <c:pt idx="996">
                  <c:v>46191</c:v>
                </c:pt>
                <c:pt idx="997">
                  <c:v>46191</c:v>
                </c:pt>
                <c:pt idx="998">
                  <c:v>46191</c:v>
                </c:pt>
                <c:pt idx="999">
                  <c:v>46191</c:v>
                </c:pt>
                <c:pt idx="1000">
                  <c:v>46191</c:v>
                </c:pt>
                <c:pt idx="1001">
                  <c:v>46191</c:v>
                </c:pt>
                <c:pt idx="1002">
                  <c:v>46191</c:v>
                </c:pt>
                <c:pt idx="1003">
                  <c:v>46191</c:v>
                </c:pt>
                <c:pt idx="1004">
                  <c:v>46191</c:v>
                </c:pt>
                <c:pt idx="1005">
                  <c:v>46191</c:v>
                </c:pt>
                <c:pt idx="1006">
                  <c:v>46191</c:v>
                </c:pt>
                <c:pt idx="1007">
                  <c:v>46191</c:v>
                </c:pt>
                <c:pt idx="1008">
                  <c:v>46191</c:v>
                </c:pt>
                <c:pt idx="1009">
                  <c:v>46191</c:v>
                </c:pt>
                <c:pt idx="1010">
                  <c:v>46191</c:v>
                </c:pt>
                <c:pt idx="1011">
                  <c:v>46191</c:v>
                </c:pt>
                <c:pt idx="1012">
                  <c:v>46191</c:v>
                </c:pt>
                <c:pt idx="1013">
                  <c:v>46191</c:v>
                </c:pt>
                <c:pt idx="1014">
                  <c:v>46191</c:v>
                </c:pt>
                <c:pt idx="1015">
                  <c:v>46191</c:v>
                </c:pt>
                <c:pt idx="1016">
                  <c:v>46191</c:v>
                </c:pt>
                <c:pt idx="1017">
                  <c:v>46191</c:v>
                </c:pt>
                <c:pt idx="1018">
                  <c:v>46191</c:v>
                </c:pt>
                <c:pt idx="1019">
                  <c:v>46191</c:v>
                </c:pt>
                <c:pt idx="1020">
                  <c:v>46191</c:v>
                </c:pt>
                <c:pt idx="1021">
                  <c:v>46191</c:v>
                </c:pt>
                <c:pt idx="1022">
                  <c:v>46191</c:v>
                </c:pt>
                <c:pt idx="1023">
                  <c:v>46191</c:v>
                </c:pt>
                <c:pt idx="1024">
                  <c:v>46191</c:v>
                </c:pt>
                <c:pt idx="1025">
                  <c:v>46191</c:v>
                </c:pt>
                <c:pt idx="1026">
                  <c:v>46191</c:v>
                </c:pt>
                <c:pt idx="1027">
                  <c:v>46191</c:v>
                </c:pt>
                <c:pt idx="1028">
                  <c:v>46191</c:v>
                </c:pt>
                <c:pt idx="1029">
                  <c:v>46191</c:v>
                </c:pt>
                <c:pt idx="1030">
                  <c:v>46191</c:v>
                </c:pt>
                <c:pt idx="1031">
                  <c:v>46191</c:v>
                </c:pt>
                <c:pt idx="1032">
                  <c:v>46191</c:v>
                </c:pt>
                <c:pt idx="1033">
                  <c:v>46191</c:v>
                </c:pt>
                <c:pt idx="1034">
                  <c:v>46191</c:v>
                </c:pt>
                <c:pt idx="1035">
                  <c:v>46191</c:v>
                </c:pt>
                <c:pt idx="1036">
                  <c:v>46191</c:v>
                </c:pt>
                <c:pt idx="1037">
                  <c:v>46191</c:v>
                </c:pt>
                <c:pt idx="1038">
                  <c:v>46191</c:v>
                </c:pt>
                <c:pt idx="1039">
                  <c:v>46191</c:v>
                </c:pt>
                <c:pt idx="1040">
                  <c:v>46191</c:v>
                </c:pt>
                <c:pt idx="1041">
                  <c:v>46191</c:v>
                </c:pt>
                <c:pt idx="1042">
                  <c:v>46191</c:v>
                </c:pt>
                <c:pt idx="1043">
                  <c:v>46191</c:v>
                </c:pt>
                <c:pt idx="1044">
                  <c:v>46191</c:v>
                </c:pt>
                <c:pt idx="1045">
                  <c:v>46191</c:v>
                </c:pt>
                <c:pt idx="1046">
                  <c:v>46191</c:v>
                </c:pt>
                <c:pt idx="1047">
                  <c:v>46191</c:v>
                </c:pt>
                <c:pt idx="1048">
                  <c:v>46191</c:v>
                </c:pt>
                <c:pt idx="1049">
                  <c:v>46191</c:v>
                </c:pt>
                <c:pt idx="1050">
                  <c:v>46191</c:v>
                </c:pt>
                <c:pt idx="1051">
                  <c:v>46191</c:v>
                </c:pt>
                <c:pt idx="1052">
                  <c:v>46191</c:v>
                </c:pt>
                <c:pt idx="1053">
                  <c:v>46191</c:v>
                </c:pt>
                <c:pt idx="1054">
                  <c:v>46191</c:v>
                </c:pt>
                <c:pt idx="1055">
                  <c:v>46191</c:v>
                </c:pt>
                <c:pt idx="1056">
                  <c:v>46191</c:v>
                </c:pt>
                <c:pt idx="1057">
                  <c:v>46191</c:v>
                </c:pt>
                <c:pt idx="1058">
                  <c:v>46191</c:v>
                </c:pt>
                <c:pt idx="1059">
                  <c:v>46191</c:v>
                </c:pt>
                <c:pt idx="1060">
                  <c:v>46191</c:v>
                </c:pt>
                <c:pt idx="1061">
                  <c:v>46191</c:v>
                </c:pt>
                <c:pt idx="1062">
                  <c:v>46191</c:v>
                </c:pt>
                <c:pt idx="1063">
                  <c:v>46191</c:v>
                </c:pt>
                <c:pt idx="1064">
                  <c:v>46191</c:v>
                </c:pt>
                <c:pt idx="1065">
                  <c:v>46191</c:v>
                </c:pt>
                <c:pt idx="1066">
                  <c:v>46191</c:v>
                </c:pt>
                <c:pt idx="1067">
                  <c:v>46191</c:v>
                </c:pt>
                <c:pt idx="1068">
                  <c:v>46191</c:v>
                </c:pt>
                <c:pt idx="1069">
                  <c:v>46191</c:v>
                </c:pt>
                <c:pt idx="1070">
                  <c:v>46191</c:v>
                </c:pt>
                <c:pt idx="1071">
                  <c:v>46191</c:v>
                </c:pt>
                <c:pt idx="1072">
                  <c:v>46191</c:v>
                </c:pt>
                <c:pt idx="1073">
                  <c:v>46191</c:v>
                </c:pt>
                <c:pt idx="1074">
                  <c:v>46191</c:v>
                </c:pt>
                <c:pt idx="1075">
                  <c:v>46191</c:v>
                </c:pt>
                <c:pt idx="1076">
                  <c:v>46191</c:v>
                </c:pt>
                <c:pt idx="1077">
                  <c:v>46191</c:v>
                </c:pt>
                <c:pt idx="1078">
                  <c:v>46191</c:v>
                </c:pt>
                <c:pt idx="1079">
                  <c:v>46191</c:v>
                </c:pt>
                <c:pt idx="1080">
                  <c:v>46191</c:v>
                </c:pt>
                <c:pt idx="1081">
                  <c:v>46191</c:v>
                </c:pt>
                <c:pt idx="1082">
                  <c:v>46191</c:v>
                </c:pt>
                <c:pt idx="1083">
                  <c:v>46191</c:v>
                </c:pt>
                <c:pt idx="1084">
                  <c:v>46191</c:v>
                </c:pt>
                <c:pt idx="1085">
                  <c:v>46191</c:v>
                </c:pt>
                <c:pt idx="1086">
                  <c:v>46191</c:v>
                </c:pt>
                <c:pt idx="1087">
                  <c:v>46191</c:v>
                </c:pt>
                <c:pt idx="1088">
                  <c:v>46191</c:v>
                </c:pt>
                <c:pt idx="1089">
                  <c:v>46191</c:v>
                </c:pt>
                <c:pt idx="1090">
                  <c:v>46191</c:v>
                </c:pt>
                <c:pt idx="1091">
                  <c:v>46191</c:v>
                </c:pt>
                <c:pt idx="1092">
                  <c:v>46191</c:v>
                </c:pt>
                <c:pt idx="1093">
                  <c:v>46191</c:v>
                </c:pt>
                <c:pt idx="1094">
                  <c:v>46191</c:v>
                </c:pt>
                <c:pt idx="1095">
                  <c:v>46191</c:v>
                </c:pt>
                <c:pt idx="1096">
                  <c:v>46191</c:v>
                </c:pt>
                <c:pt idx="1097">
                  <c:v>46191</c:v>
                </c:pt>
                <c:pt idx="1098">
                  <c:v>46191</c:v>
                </c:pt>
                <c:pt idx="1099">
                  <c:v>46191</c:v>
                </c:pt>
                <c:pt idx="1100">
                  <c:v>46191</c:v>
                </c:pt>
                <c:pt idx="1101">
                  <c:v>46191</c:v>
                </c:pt>
                <c:pt idx="1102">
                  <c:v>46191</c:v>
                </c:pt>
                <c:pt idx="1103">
                  <c:v>46191</c:v>
                </c:pt>
                <c:pt idx="1104">
                  <c:v>46191</c:v>
                </c:pt>
                <c:pt idx="1105">
                  <c:v>46191</c:v>
                </c:pt>
                <c:pt idx="1106">
                  <c:v>46191</c:v>
                </c:pt>
                <c:pt idx="1107">
                  <c:v>46191</c:v>
                </c:pt>
                <c:pt idx="1108">
                  <c:v>46191</c:v>
                </c:pt>
                <c:pt idx="1109">
                  <c:v>46191</c:v>
                </c:pt>
                <c:pt idx="1110">
                  <c:v>46191</c:v>
                </c:pt>
                <c:pt idx="1111">
                  <c:v>46191</c:v>
                </c:pt>
                <c:pt idx="1112">
                  <c:v>46191</c:v>
                </c:pt>
                <c:pt idx="1113">
                  <c:v>46191</c:v>
                </c:pt>
                <c:pt idx="1114">
                  <c:v>46191</c:v>
                </c:pt>
                <c:pt idx="1115">
                  <c:v>46191</c:v>
                </c:pt>
                <c:pt idx="1116">
                  <c:v>46191</c:v>
                </c:pt>
                <c:pt idx="1117">
                  <c:v>46191</c:v>
                </c:pt>
                <c:pt idx="1118">
                  <c:v>46191</c:v>
                </c:pt>
                <c:pt idx="1119">
                  <c:v>46191</c:v>
                </c:pt>
                <c:pt idx="1120">
                  <c:v>46191</c:v>
                </c:pt>
                <c:pt idx="1121">
                  <c:v>46191</c:v>
                </c:pt>
                <c:pt idx="1122">
                  <c:v>46255</c:v>
                </c:pt>
                <c:pt idx="1123">
                  <c:v>46255</c:v>
                </c:pt>
                <c:pt idx="1124">
                  <c:v>46255</c:v>
                </c:pt>
                <c:pt idx="1125">
                  <c:v>46255</c:v>
                </c:pt>
                <c:pt idx="1126">
                  <c:v>46255</c:v>
                </c:pt>
                <c:pt idx="1127">
                  <c:v>46255</c:v>
                </c:pt>
                <c:pt idx="1128">
                  <c:v>46255</c:v>
                </c:pt>
                <c:pt idx="1129">
                  <c:v>46255</c:v>
                </c:pt>
                <c:pt idx="1130">
                  <c:v>46255</c:v>
                </c:pt>
                <c:pt idx="1131">
                  <c:v>46255</c:v>
                </c:pt>
                <c:pt idx="1132">
                  <c:v>46255</c:v>
                </c:pt>
                <c:pt idx="1133">
                  <c:v>46255</c:v>
                </c:pt>
                <c:pt idx="1134">
                  <c:v>46255</c:v>
                </c:pt>
                <c:pt idx="1135">
                  <c:v>46255</c:v>
                </c:pt>
                <c:pt idx="1136">
                  <c:v>46255</c:v>
                </c:pt>
                <c:pt idx="1137">
                  <c:v>46255</c:v>
                </c:pt>
                <c:pt idx="1138">
                  <c:v>46255</c:v>
                </c:pt>
                <c:pt idx="1139">
                  <c:v>46255</c:v>
                </c:pt>
                <c:pt idx="1140">
                  <c:v>46255</c:v>
                </c:pt>
                <c:pt idx="1141">
                  <c:v>46255</c:v>
                </c:pt>
                <c:pt idx="1142">
                  <c:v>46255</c:v>
                </c:pt>
                <c:pt idx="1143">
                  <c:v>46255</c:v>
                </c:pt>
                <c:pt idx="1144">
                  <c:v>46255</c:v>
                </c:pt>
                <c:pt idx="1145">
                  <c:v>46255</c:v>
                </c:pt>
                <c:pt idx="1146">
                  <c:v>46255</c:v>
                </c:pt>
                <c:pt idx="1147">
                  <c:v>46255</c:v>
                </c:pt>
                <c:pt idx="1148">
                  <c:v>46255</c:v>
                </c:pt>
                <c:pt idx="1149">
                  <c:v>46255</c:v>
                </c:pt>
                <c:pt idx="1150">
                  <c:v>46255</c:v>
                </c:pt>
                <c:pt idx="1151">
                  <c:v>46255</c:v>
                </c:pt>
                <c:pt idx="1152">
                  <c:v>46255</c:v>
                </c:pt>
                <c:pt idx="1153">
                  <c:v>46255</c:v>
                </c:pt>
                <c:pt idx="1154">
                  <c:v>46255</c:v>
                </c:pt>
                <c:pt idx="1155">
                  <c:v>46255</c:v>
                </c:pt>
                <c:pt idx="1156">
                  <c:v>46255</c:v>
                </c:pt>
                <c:pt idx="1157">
                  <c:v>46255</c:v>
                </c:pt>
                <c:pt idx="1158">
                  <c:v>46255</c:v>
                </c:pt>
                <c:pt idx="1159">
                  <c:v>46255</c:v>
                </c:pt>
                <c:pt idx="1160">
                  <c:v>46255</c:v>
                </c:pt>
                <c:pt idx="1161">
                  <c:v>46255</c:v>
                </c:pt>
                <c:pt idx="1162">
                  <c:v>46255</c:v>
                </c:pt>
                <c:pt idx="1163">
                  <c:v>46255</c:v>
                </c:pt>
                <c:pt idx="1164">
                  <c:v>46255</c:v>
                </c:pt>
                <c:pt idx="1165">
                  <c:v>46255</c:v>
                </c:pt>
                <c:pt idx="1166">
                  <c:v>46255</c:v>
                </c:pt>
                <c:pt idx="1167">
                  <c:v>46255</c:v>
                </c:pt>
                <c:pt idx="1168">
                  <c:v>46255</c:v>
                </c:pt>
                <c:pt idx="1169">
                  <c:v>46255</c:v>
                </c:pt>
                <c:pt idx="1170">
                  <c:v>46255</c:v>
                </c:pt>
                <c:pt idx="1171">
                  <c:v>46255</c:v>
                </c:pt>
                <c:pt idx="1172">
                  <c:v>46255</c:v>
                </c:pt>
                <c:pt idx="1173">
                  <c:v>46255</c:v>
                </c:pt>
                <c:pt idx="1174">
                  <c:v>46255</c:v>
                </c:pt>
                <c:pt idx="1175">
                  <c:v>46255</c:v>
                </c:pt>
                <c:pt idx="1176">
                  <c:v>46255</c:v>
                </c:pt>
                <c:pt idx="1177">
                  <c:v>46255</c:v>
                </c:pt>
                <c:pt idx="1178">
                  <c:v>46255</c:v>
                </c:pt>
                <c:pt idx="1179">
                  <c:v>46255</c:v>
                </c:pt>
                <c:pt idx="1180">
                  <c:v>46255</c:v>
                </c:pt>
                <c:pt idx="1181">
                  <c:v>46255</c:v>
                </c:pt>
                <c:pt idx="1182">
                  <c:v>46255</c:v>
                </c:pt>
                <c:pt idx="1183">
                  <c:v>46255</c:v>
                </c:pt>
                <c:pt idx="1184">
                  <c:v>46255</c:v>
                </c:pt>
                <c:pt idx="1185">
                  <c:v>46255</c:v>
                </c:pt>
                <c:pt idx="1186">
                  <c:v>46255</c:v>
                </c:pt>
                <c:pt idx="1187">
                  <c:v>46255</c:v>
                </c:pt>
                <c:pt idx="1188">
                  <c:v>46283</c:v>
                </c:pt>
                <c:pt idx="1189">
                  <c:v>46283</c:v>
                </c:pt>
                <c:pt idx="1190">
                  <c:v>46283</c:v>
                </c:pt>
                <c:pt idx="1191">
                  <c:v>46283</c:v>
                </c:pt>
                <c:pt idx="1192">
                  <c:v>46283</c:v>
                </c:pt>
                <c:pt idx="1193">
                  <c:v>46283</c:v>
                </c:pt>
                <c:pt idx="1194">
                  <c:v>46283</c:v>
                </c:pt>
                <c:pt idx="1195">
                  <c:v>46283</c:v>
                </c:pt>
                <c:pt idx="1196">
                  <c:v>46283</c:v>
                </c:pt>
                <c:pt idx="1197">
                  <c:v>46283</c:v>
                </c:pt>
                <c:pt idx="1198">
                  <c:v>46283</c:v>
                </c:pt>
                <c:pt idx="1199">
                  <c:v>46283</c:v>
                </c:pt>
                <c:pt idx="1200">
                  <c:v>46283</c:v>
                </c:pt>
                <c:pt idx="1201">
                  <c:v>46283</c:v>
                </c:pt>
                <c:pt idx="1202">
                  <c:v>46283</c:v>
                </c:pt>
                <c:pt idx="1203">
                  <c:v>46283</c:v>
                </c:pt>
                <c:pt idx="1204">
                  <c:v>46283</c:v>
                </c:pt>
                <c:pt idx="1205">
                  <c:v>46283</c:v>
                </c:pt>
                <c:pt idx="1206">
                  <c:v>46283</c:v>
                </c:pt>
                <c:pt idx="1207">
                  <c:v>46283</c:v>
                </c:pt>
                <c:pt idx="1208">
                  <c:v>46283</c:v>
                </c:pt>
                <c:pt idx="1209">
                  <c:v>46283</c:v>
                </c:pt>
                <c:pt idx="1210">
                  <c:v>46283</c:v>
                </c:pt>
                <c:pt idx="1211">
                  <c:v>46283</c:v>
                </c:pt>
                <c:pt idx="1212">
                  <c:v>46283</c:v>
                </c:pt>
                <c:pt idx="1213">
                  <c:v>46283</c:v>
                </c:pt>
                <c:pt idx="1214">
                  <c:v>46283</c:v>
                </c:pt>
                <c:pt idx="1215">
                  <c:v>46283</c:v>
                </c:pt>
                <c:pt idx="1216">
                  <c:v>46283</c:v>
                </c:pt>
                <c:pt idx="1217">
                  <c:v>46283</c:v>
                </c:pt>
                <c:pt idx="1218">
                  <c:v>46283</c:v>
                </c:pt>
                <c:pt idx="1219">
                  <c:v>46283</c:v>
                </c:pt>
                <c:pt idx="1220">
                  <c:v>46283</c:v>
                </c:pt>
                <c:pt idx="1221">
                  <c:v>46283</c:v>
                </c:pt>
                <c:pt idx="1222">
                  <c:v>46283</c:v>
                </c:pt>
                <c:pt idx="1223">
                  <c:v>46283</c:v>
                </c:pt>
                <c:pt idx="1224">
                  <c:v>46283</c:v>
                </c:pt>
                <c:pt idx="1225">
                  <c:v>46283</c:v>
                </c:pt>
                <c:pt idx="1226">
                  <c:v>46283</c:v>
                </c:pt>
                <c:pt idx="1227">
                  <c:v>46283</c:v>
                </c:pt>
                <c:pt idx="1228">
                  <c:v>46283</c:v>
                </c:pt>
                <c:pt idx="1229">
                  <c:v>46283</c:v>
                </c:pt>
                <c:pt idx="1230">
                  <c:v>46283</c:v>
                </c:pt>
                <c:pt idx="1231">
                  <c:v>46283</c:v>
                </c:pt>
                <c:pt idx="1232">
                  <c:v>46283</c:v>
                </c:pt>
                <c:pt idx="1233">
                  <c:v>46283</c:v>
                </c:pt>
                <c:pt idx="1234">
                  <c:v>46283</c:v>
                </c:pt>
                <c:pt idx="1235">
                  <c:v>46283</c:v>
                </c:pt>
                <c:pt idx="1236">
                  <c:v>46283</c:v>
                </c:pt>
                <c:pt idx="1237">
                  <c:v>46283</c:v>
                </c:pt>
                <c:pt idx="1238">
                  <c:v>46283</c:v>
                </c:pt>
                <c:pt idx="1239">
                  <c:v>46283</c:v>
                </c:pt>
                <c:pt idx="1240">
                  <c:v>46283</c:v>
                </c:pt>
                <c:pt idx="1241">
                  <c:v>46283</c:v>
                </c:pt>
                <c:pt idx="1242">
                  <c:v>46283</c:v>
                </c:pt>
                <c:pt idx="1243">
                  <c:v>46283</c:v>
                </c:pt>
                <c:pt idx="1244">
                  <c:v>46283</c:v>
                </c:pt>
                <c:pt idx="1245">
                  <c:v>46283</c:v>
                </c:pt>
                <c:pt idx="1246">
                  <c:v>46283</c:v>
                </c:pt>
                <c:pt idx="1247">
                  <c:v>46283</c:v>
                </c:pt>
                <c:pt idx="1248">
                  <c:v>46283</c:v>
                </c:pt>
                <c:pt idx="1249">
                  <c:v>46283</c:v>
                </c:pt>
                <c:pt idx="1250">
                  <c:v>46283</c:v>
                </c:pt>
                <c:pt idx="1251">
                  <c:v>46283</c:v>
                </c:pt>
                <c:pt idx="1252">
                  <c:v>46283</c:v>
                </c:pt>
                <c:pt idx="1253">
                  <c:v>46283</c:v>
                </c:pt>
                <c:pt idx="1254">
                  <c:v>46283</c:v>
                </c:pt>
                <c:pt idx="1255">
                  <c:v>46283</c:v>
                </c:pt>
                <c:pt idx="1256">
                  <c:v>46283</c:v>
                </c:pt>
                <c:pt idx="1257">
                  <c:v>46283</c:v>
                </c:pt>
                <c:pt idx="1258">
                  <c:v>46283</c:v>
                </c:pt>
                <c:pt idx="1259">
                  <c:v>46283</c:v>
                </c:pt>
                <c:pt idx="1260">
                  <c:v>46283</c:v>
                </c:pt>
                <c:pt idx="1261">
                  <c:v>46283</c:v>
                </c:pt>
                <c:pt idx="1262">
                  <c:v>46283</c:v>
                </c:pt>
                <c:pt idx="1263">
                  <c:v>46283</c:v>
                </c:pt>
                <c:pt idx="1264">
                  <c:v>46283</c:v>
                </c:pt>
                <c:pt idx="1265">
                  <c:v>46283</c:v>
                </c:pt>
                <c:pt idx="1266">
                  <c:v>46283</c:v>
                </c:pt>
                <c:pt idx="1267">
                  <c:v>46283</c:v>
                </c:pt>
                <c:pt idx="1268">
                  <c:v>46283</c:v>
                </c:pt>
                <c:pt idx="1269">
                  <c:v>46283</c:v>
                </c:pt>
                <c:pt idx="1270">
                  <c:v>46283</c:v>
                </c:pt>
                <c:pt idx="1271">
                  <c:v>46283</c:v>
                </c:pt>
                <c:pt idx="1272">
                  <c:v>46283</c:v>
                </c:pt>
                <c:pt idx="1273">
                  <c:v>46283</c:v>
                </c:pt>
                <c:pt idx="1274">
                  <c:v>46283</c:v>
                </c:pt>
                <c:pt idx="1275">
                  <c:v>46283</c:v>
                </c:pt>
                <c:pt idx="1276">
                  <c:v>46283</c:v>
                </c:pt>
                <c:pt idx="1277">
                  <c:v>46283</c:v>
                </c:pt>
                <c:pt idx="1278">
                  <c:v>46283</c:v>
                </c:pt>
                <c:pt idx="1279">
                  <c:v>46283</c:v>
                </c:pt>
                <c:pt idx="1280">
                  <c:v>46283</c:v>
                </c:pt>
                <c:pt idx="1281">
                  <c:v>46283</c:v>
                </c:pt>
                <c:pt idx="1282">
                  <c:v>46283</c:v>
                </c:pt>
                <c:pt idx="1283">
                  <c:v>46283</c:v>
                </c:pt>
                <c:pt idx="1284">
                  <c:v>46283</c:v>
                </c:pt>
                <c:pt idx="1285">
                  <c:v>46283</c:v>
                </c:pt>
                <c:pt idx="1286">
                  <c:v>46283</c:v>
                </c:pt>
                <c:pt idx="1287">
                  <c:v>46283</c:v>
                </c:pt>
                <c:pt idx="1288">
                  <c:v>46283</c:v>
                </c:pt>
                <c:pt idx="1289">
                  <c:v>46283</c:v>
                </c:pt>
                <c:pt idx="1290">
                  <c:v>46283</c:v>
                </c:pt>
                <c:pt idx="1291">
                  <c:v>46283</c:v>
                </c:pt>
                <c:pt idx="1292">
                  <c:v>46283</c:v>
                </c:pt>
                <c:pt idx="1293">
                  <c:v>46283</c:v>
                </c:pt>
                <c:pt idx="1294">
                  <c:v>46283</c:v>
                </c:pt>
                <c:pt idx="1295">
                  <c:v>46283</c:v>
                </c:pt>
                <c:pt idx="1296">
                  <c:v>46283</c:v>
                </c:pt>
                <c:pt idx="1297">
                  <c:v>46283</c:v>
                </c:pt>
                <c:pt idx="1298">
                  <c:v>46283</c:v>
                </c:pt>
                <c:pt idx="1299">
                  <c:v>46283</c:v>
                </c:pt>
                <c:pt idx="1300">
                  <c:v>46283</c:v>
                </c:pt>
                <c:pt idx="1301">
                  <c:v>46283</c:v>
                </c:pt>
                <c:pt idx="1302">
                  <c:v>46283</c:v>
                </c:pt>
                <c:pt idx="1303">
                  <c:v>46283</c:v>
                </c:pt>
                <c:pt idx="1304">
                  <c:v>46283</c:v>
                </c:pt>
                <c:pt idx="1305">
                  <c:v>46374</c:v>
                </c:pt>
                <c:pt idx="1306">
                  <c:v>46374</c:v>
                </c:pt>
                <c:pt idx="1307">
                  <c:v>46374</c:v>
                </c:pt>
                <c:pt idx="1308">
                  <c:v>46374</c:v>
                </c:pt>
                <c:pt idx="1309">
                  <c:v>46374</c:v>
                </c:pt>
                <c:pt idx="1310">
                  <c:v>46374</c:v>
                </c:pt>
                <c:pt idx="1311">
                  <c:v>46374</c:v>
                </c:pt>
                <c:pt idx="1312">
                  <c:v>46374</c:v>
                </c:pt>
                <c:pt idx="1313">
                  <c:v>46374</c:v>
                </c:pt>
                <c:pt idx="1314">
                  <c:v>46374</c:v>
                </c:pt>
                <c:pt idx="1315">
                  <c:v>46374</c:v>
                </c:pt>
                <c:pt idx="1316">
                  <c:v>46374</c:v>
                </c:pt>
                <c:pt idx="1317">
                  <c:v>46374</c:v>
                </c:pt>
                <c:pt idx="1318">
                  <c:v>46374</c:v>
                </c:pt>
                <c:pt idx="1319">
                  <c:v>46374</c:v>
                </c:pt>
                <c:pt idx="1320">
                  <c:v>46374</c:v>
                </c:pt>
                <c:pt idx="1321">
                  <c:v>46374</c:v>
                </c:pt>
                <c:pt idx="1322">
                  <c:v>46374</c:v>
                </c:pt>
                <c:pt idx="1323">
                  <c:v>46374</c:v>
                </c:pt>
                <c:pt idx="1324">
                  <c:v>46374</c:v>
                </c:pt>
                <c:pt idx="1325">
                  <c:v>46374</c:v>
                </c:pt>
                <c:pt idx="1326">
                  <c:v>46374</c:v>
                </c:pt>
                <c:pt idx="1327">
                  <c:v>46374</c:v>
                </c:pt>
                <c:pt idx="1328">
                  <c:v>46374</c:v>
                </c:pt>
                <c:pt idx="1329">
                  <c:v>46374</c:v>
                </c:pt>
                <c:pt idx="1330">
                  <c:v>46374</c:v>
                </c:pt>
                <c:pt idx="1331">
                  <c:v>46374</c:v>
                </c:pt>
                <c:pt idx="1332">
                  <c:v>46374</c:v>
                </c:pt>
                <c:pt idx="1333">
                  <c:v>46374</c:v>
                </c:pt>
                <c:pt idx="1334">
                  <c:v>46374</c:v>
                </c:pt>
                <c:pt idx="1335">
                  <c:v>46374</c:v>
                </c:pt>
                <c:pt idx="1336">
                  <c:v>46374</c:v>
                </c:pt>
                <c:pt idx="1337">
                  <c:v>46374</c:v>
                </c:pt>
                <c:pt idx="1338">
                  <c:v>46374</c:v>
                </c:pt>
                <c:pt idx="1339">
                  <c:v>46374</c:v>
                </c:pt>
                <c:pt idx="1340">
                  <c:v>46374</c:v>
                </c:pt>
                <c:pt idx="1341">
                  <c:v>46374</c:v>
                </c:pt>
                <c:pt idx="1342">
                  <c:v>46374</c:v>
                </c:pt>
                <c:pt idx="1343">
                  <c:v>46374</c:v>
                </c:pt>
                <c:pt idx="1344">
                  <c:v>46374</c:v>
                </c:pt>
                <c:pt idx="1345">
                  <c:v>46374</c:v>
                </c:pt>
                <c:pt idx="1346">
                  <c:v>46374</c:v>
                </c:pt>
                <c:pt idx="1347">
                  <c:v>46374</c:v>
                </c:pt>
                <c:pt idx="1348">
                  <c:v>46374</c:v>
                </c:pt>
                <c:pt idx="1349">
                  <c:v>46374</c:v>
                </c:pt>
                <c:pt idx="1350">
                  <c:v>46374</c:v>
                </c:pt>
                <c:pt idx="1351">
                  <c:v>46374</c:v>
                </c:pt>
                <c:pt idx="1352">
                  <c:v>46374</c:v>
                </c:pt>
                <c:pt idx="1353">
                  <c:v>46374</c:v>
                </c:pt>
                <c:pt idx="1354">
                  <c:v>46374</c:v>
                </c:pt>
                <c:pt idx="1355">
                  <c:v>46374</c:v>
                </c:pt>
                <c:pt idx="1356">
                  <c:v>46374</c:v>
                </c:pt>
                <c:pt idx="1357">
                  <c:v>46374</c:v>
                </c:pt>
                <c:pt idx="1358">
                  <c:v>46374</c:v>
                </c:pt>
                <c:pt idx="1359">
                  <c:v>46374</c:v>
                </c:pt>
                <c:pt idx="1360">
                  <c:v>46374</c:v>
                </c:pt>
                <c:pt idx="1361">
                  <c:v>46374</c:v>
                </c:pt>
                <c:pt idx="1362">
                  <c:v>46374</c:v>
                </c:pt>
                <c:pt idx="1363">
                  <c:v>46374</c:v>
                </c:pt>
                <c:pt idx="1364">
                  <c:v>46374</c:v>
                </c:pt>
                <c:pt idx="1365">
                  <c:v>46374</c:v>
                </c:pt>
                <c:pt idx="1366">
                  <c:v>46374</c:v>
                </c:pt>
                <c:pt idx="1367">
                  <c:v>46374</c:v>
                </c:pt>
                <c:pt idx="1368">
                  <c:v>46374</c:v>
                </c:pt>
                <c:pt idx="1369">
                  <c:v>46374</c:v>
                </c:pt>
                <c:pt idx="1370">
                  <c:v>46374</c:v>
                </c:pt>
                <c:pt idx="1371">
                  <c:v>46374</c:v>
                </c:pt>
                <c:pt idx="1372">
                  <c:v>46374</c:v>
                </c:pt>
                <c:pt idx="1373">
                  <c:v>46374</c:v>
                </c:pt>
                <c:pt idx="1374">
                  <c:v>46374</c:v>
                </c:pt>
                <c:pt idx="1375">
                  <c:v>46374</c:v>
                </c:pt>
                <c:pt idx="1376">
                  <c:v>46374</c:v>
                </c:pt>
                <c:pt idx="1377">
                  <c:v>46374</c:v>
                </c:pt>
                <c:pt idx="1378">
                  <c:v>46374</c:v>
                </c:pt>
                <c:pt idx="1379">
                  <c:v>46374</c:v>
                </c:pt>
                <c:pt idx="1380">
                  <c:v>46374</c:v>
                </c:pt>
                <c:pt idx="1381">
                  <c:v>46374</c:v>
                </c:pt>
                <c:pt idx="1382">
                  <c:v>46374</c:v>
                </c:pt>
                <c:pt idx="1383">
                  <c:v>46374</c:v>
                </c:pt>
                <c:pt idx="1384">
                  <c:v>46374</c:v>
                </c:pt>
                <c:pt idx="1385">
                  <c:v>46374</c:v>
                </c:pt>
                <c:pt idx="1386">
                  <c:v>46374</c:v>
                </c:pt>
                <c:pt idx="1387">
                  <c:v>46374</c:v>
                </c:pt>
                <c:pt idx="1388">
                  <c:v>46374</c:v>
                </c:pt>
                <c:pt idx="1389">
                  <c:v>46374</c:v>
                </c:pt>
                <c:pt idx="1390">
                  <c:v>46374</c:v>
                </c:pt>
                <c:pt idx="1391">
                  <c:v>46374</c:v>
                </c:pt>
                <c:pt idx="1392">
                  <c:v>46374</c:v>
                </c:pt>
                <c:pt idx="1393">
                  <c:v>46374</c:v>
                </c:pt>
                <c:pt idx="1394">
                  <c:v>46374</c:v>
                </c:pt>
                <c:pt idx="1395">
                  <c:v>46374</c:v>
                </c:pt>
                <c:pt idx="1396">
                  <c:v>46374</c:v>
                </c:pt>
                <c:pt idx="1397">
                  <c:v>46374</c:v>
                </c:pt>
                <c:pt idx="1398">
                  <c:v>46374</c:v>
                </c:pt>
                <c:pt idx="1399">
                  <c:v>46374</c:v>
                </c:pt>
                <c:pt idx="1400">
                  <c:v>46374</c:v>
                </c:pt>
                <c:pt idx="1401">
                  <c:v>46374</c:v>
                </c:pt>
                <c:pt idx="1402">
                  <c:v>46374</c:v>
                </c:pt>
                <c:pt idx="1403">
                  <c:v>46374</c:v>
                </c:pt>
                <c:pt idx="1404">
                  <c:v>46374</c:v>
                </c:pt>
                <c:pt idx="1405">
                  <c:v>46374</c:v>
                </c:pt>
                <c:pt idx="1406">
                  <c:v>46374</c:v>
                </c:pt>
                <c:pt idx="1407">
                  <c:v>46374</c:v>
                </c:pt>
                <c:pt idx="1408">
                  <c:v>46374</c:v>
                </c:pt>
                <c:pt idx="1409">
                  <c:v>46374</c:v>
                </c:pt>
                <c:pt idx="1410">
                  <c:v>46374</c:v>
                </c:pt>
                <c:pt idx="1411">
                  <c:v>46374</c:v>
                </c:pt>
                <c:pt idx="1412">
                  <c:v>46374</c:v>
                </c:pt>
                <c:pt idx="1413">
                  <c:v>46374</c:v>
                </c:pt>
                <c:pt idx="1414">
                  <c:v>46374</c:v>
                </c:pt>
                <c:pt idx="1415">
                  <c:v>46374</c:v>
                </c:pt>
                <c:pt idx="1416">
                  <c:v>46374</c:v>
                </c:pt>
                <c:pt idx="1417">
                  <c:v>46374</c:v>
                </c:pt>
                <c:pt idx="1418">
                  <c:v>46374</c:v>
                </c:pt>
                <c:pt idx="1419">
                  <c:v>46374</c:v>
                </c:pt>
                <c:pt idx="1420">
                  <c:v>46374</c:v>
                </c:pt>
                <c:pt idx="1421">
                  <c:v>46374</c:v>
                </c:pt>
                <c:pt idx="1422">
                  <c:v>46374</c:v>
                </c:pt>
                <c:pt idx="1423">
                  <c:v>46374</c:v>
                </c:pt>
                <c:pt idx="1424">
                  <c:v>46374</c:v>
                </c:pt>
                <c:pt idx="1425">
                  <c:v>46374</c:v>
                </c:pt>
                <c:pt idx="1426">
                  <c:v>46402</c:v>
                </c:pt>
                <c:pt idx="1427">
                  <c:v>46402</c:v>
                </c:pt>
                <c:pt idx="1428">
                  <c:v>46402</c:v>
                </c:pt>
                <c:pt idx="1429">
                  <c:v>46402</c:v>
                </c:pt>
                <c:pt idx="1430">
                  <c:v>46402</c:v>
                </c:pt>
                <c:pt idx="1431">
                  <c:v>46402</c:v>
                </c:pt>
                <c:pt idx="1432">
                  <c:v>46402</c:v>
                </c:pt>
                <c:pt idx="1433">
                  <c:v>46402</c:v>
                </c:pt>
                <c:pt idx="1434">
                  <c:v>46402</c:v>
                </c:pt>
                <c:pt idx="1435">
                  <c:v>46402</c:v>
                </c:pt>
                <c:pt idx="1436">
                  <c:v>46402</c:v>
                </c:pt>
                <c:pt idx="1437">
                  <c:v>46402</c:v>
                </c:pt>
                <c:pt idx="1438">
                  <c:v>46402</c:v>
                </c:pt>
                <c:pt idx="1439">
                  <c:v>46402</c:v>
                </c:pt>
                <c:pt idx="1440">
                  <c:v>46402</c:v>
                </c:pt>
                <c:pt idx="1441">
                  <c:v>46402</c:v>
                </c:pt>
                <c:pt idx="1442">
                  <c:v>46402</c:v>
                </c:pt>
                <c:pt idx="1443">
                  <c:v>46402</c:v>
                </c:pt>
                <c:pt idx="1444">
                  <c:v>46402</c:v>
                </c:pt>
                <c:pt idx="1445">
                  <c:v>46402</c:v>
                </c:pt>
                <c:pt idx="1446">
                  <c:v>46402</c:v>
                </c:pt>
                <c:pt idx="1447">
                  <c:v>46402</c:v>
                </c:pt>
                <c:pt idx="1448">
                  <c:v>46402</c:v>
                </c:pt>
                <c:pt idx="1449">
                  <c:v>46402</c:v>
                </c:pt>
                <c:pt idx="1450">
                  <c:v>46402</c:v>
                </c:pt>
                <c:pt idx="1451">
                  <c:v>46402</c:v>
                </c:pt>
                <c:pt idx="1452">
                  <c:v>46402</c:v>
                </c:pt>
                <c:pt idx="1453">
                  <c:v>46402</c:v>
                </c:pt>
                <c:pt idx="1454">
                  <c:v>46402</c:v>
                </c:pt>
                <c:pt idx="1455">
                  <c:v>46402</c:v>
                </c:pt>
                <c:pt idx="1456">
                  <c:v>46402</c:v>
                </c:pt>
                <c:pt idx="1457">
                  <c:v>46402</c:v>
                </c:pt>
                <c:pt idx="1458">
                  <c:v>46402</c:v>
                </c:pt>
                <c:pt idx="1459">
                  <c:v>46402</c:v>
                </c:pt>
                <c:pt idx="1460">
                  <c:v>46402</c:v>
                </c:pt>
                <c:pt idx="1461">
                  <c:v>46402</c:v>
                </c:pt>
                <c:pt idx="1462">
                  <c:v>46402</c:v>
                </c:pt>
                <c:pt idx="1463">
                  <c:v>46402</c:v>
                </c:pt>
                <c:pt idx="1464">
                  <c:v>46402</c:v>
                </c:pt>
                <c:pt idx="1465">
                  <c:v>46402</c:v>
                </c:pt>
                <c:pt idx="1466">
                  <c:v>46402</c:v>
                </c:pt>
                <c:pt idx="1467">
                  <c:v>46402</c:v>
                </c:pt>
                <c:pt idx="1468">
                  <c:v>46402</c:v>
                </c:pt>
                <c:pt idx="1469">
                  <c:v>46402</c:v>
                </c:pt>
                <c:pt idx="1470">
                  <c:v>46402</c:v>
                </c:pt>
                <c:pt idx="1471">
                  <c:v>46402</c:v>
                </c:pt>
                <c:pt idx="1472">
                  <c:v>46402</c:v>
                </c:pt>
                <c:pt idx="1473">
                  <c:v>46402</c:v>
                </c:pt>
                <c:pt idx="1474">
                  <c:v>46402</c:v>
                </c:pt>
                <c:pt idx="1475">
                  <c:v>46402</c:v>
                </c:pt>
                <c:pt idx="1476">
                  <c:v>46402</c:v>
                </c:pt>
                <c:pt idx="1477">
                  <c:v>46402</c:v>
                </c:pt>
                <c:pt idx="1478">
                  <c:v>46402</c:v>
                </c:pt>
                <c:pt idx="1479">
                  <c:v>46402</c:v>
                </c:pt>
                <c:pt idx="1480">
                  <c:v>46402</c:v>
                </c:pt>
                <c:pt idx="1481">
                  <c:v>46402</c:v>
                </c:pt>
                <c:pt idx="1482">
                  <c:v>46402</c:v>
                </c:pt>
                <c:pt idx="1483">
                  <c:v>46402</c:v>
                </c:pt>
                <c:pt idx="1484">
                  <c:v>46402</c:v>
                </c:pt>
                <c:pt idx="1485">
                  <c:v>46402</c:v>
                </c:pt>
                <c:pt idx="1486">
                  <c:v>46402</c:v>
                </c:pt>
                <c:pt idx="1487">
                  <c:v>46402</c:v>
                </c:pt>
                <c:pt idx="1488">
                  <c:v>46402</c:v>
                </c:pt>
                <c:pt idx="1489">
                  <c:v>46402</c:v>
                </c:pt>
                <c:pt idx="1490">
                  <c:v>46402</c:v>
                </c:pt>
                <c:pt idx="1491">
                  <c:v>46402</c:v>
                </c:pt>
                <c:pt idx="1492">
                  <c:v>46402</c:v>
                </c:pt>
                <c:pt idx="1493">
                  <c:v>46402</c:v>
                </c:pt>
                <c:pt idx="1494">
                  <c:v>46402</c:v>
                </c:pt>
                <c:pt idx="1495">
                  <c:v>46402</c:v>
                </c:pt>
                <c:pt idx="1496">
                  <c:v>46402</c:v>
                </c:pt>
                <c:pt idx="1497">
                  <c:v>46402</c:v>
                </c:pt>
                <c:pt idx="1498">
                  <c:v>46402</c:v>
                </c:pt>
                <c:pt idx="1499">
                  <c:v>46402</c:v>
                </c:pt>
                <c:pt idx="1500">
                  <c:v>46402</c:v>
                </c:pt>
                <c:pt idx="1501">
                  <c:v>46402</c:v>
                </c:pt>
                <c:pt idx="1502">
                  <c:v>46402</c:v>
                </c:pt>
                <c:pt idx="1503">
                  <c:v>46402</c:v>
                </c:pt>
                <c:pt idx="1504">
                  <c:v>46402</c:v>
                </c:pt>
                <c:pt idx="1505">
                  <c:v>46402</c:v>
                </c:pt>
                <c:pt idx="1506">
                  <c:v>46402</c:v>
                </c:pt>
                <c:pt idx="1507">
                  <c:v>46402</c:v>
                </c:pt>
                <c:pt idx="1508">
                  <c:v>46402</c:v>
                </c:pt>
                <c:pt idx="1509">
                  <c:v>46402</c:v>
                </c:pt>
                <c:pt idx="1510">
                  <c:v>46402</c:v>
                </c:pt>
                <c:pt idx="1511">
                  <c:v>46402</c:v>
                </c:pt>
                <c:pt idx="1512">
                  <c:v>46402</c:v>
                </c:pt>
                <c:pt idx="1513">
                  <c:v>46402</c:v>
                </c:pt>
                <c:pt idx="1514">
                  <c:v>46402</c:v>
                </c:pt>
                <c:pt idx="1515">
                  <c:v>46402</c:v>
                </c:pt>
                <c:pt idx="1516">
                  <c:v>46402</c:v>
                </c:pt>
                <c:pt idx="1517">
                  <c:v>46402</c:v>
                </c:pt>
                <c:pt idx="1518">
                  <c:v>46402</c:v>
                </c:pt>
                <c:pt idx="1519">
                  <c:v>46402</c:v>
                </c:pt>
                <c:pt idx="1520">
                  <c:v>46402</c:v>
                </c:pt>
                <c:pt idx="1521">
                  <c:v>46402</c:v>
                </c:pt>
                <c:pt idx="1522">
                  <c:v>46402</c:v>
                </c:pt>
                <c:pt idx="1523">
                  <c:v>46402</c:v>
                </c:pt>
                <c:pt idx="1524">
                  <c:v>46402</c:v>
                </c:pt>
                <c:pt idx="1525">
                  <c:v>46402</c:v>
                </c:pt>
                <c:pt idx="1526">
                  <c:v>46402</c:v>
                </c:pt>
                <c:pt idx="1527">
                  <c:v>46402</c:v>
                </c:pt>
                <c:pt idx="1528">
                  <c:v>46402</c:v>
                </c:pt>
                <c:pt idx="1529">
                  <c:v>46402</c:v>
                </c:pt>
                <c:pt idx="1530">
                  <c:v>46402</c:v>
                </c:pt>
                <c:pt idx="1531">
                  <c:v>46402</c:v>
                </c:pt>
                <c:pt idx="1532">
                  <c:v>46402</c:v>
                </c:pt>
                <c:pt idx="1533">
                  <c:v>46402</c:v>
                </c:pt>
                <c:pt idx="1534">
                  <c:v>46402</c:v>
                </c:pt>
                <c:pt idx="1535">
                  <c:v>46402</c:v>
                </c:pt>
                <c:pt idx="1536">
                  <c:v>46402</c:v>
                </c:pt>
                <c:pt idx="1537">
                  <c:v>46402</c:v>
                </c:pt>
                <c:pt idx="1538">
                  <c:v>46402</c:v>
                </c:pt>
                <c:pt idx="1539">
                  <c:v>46402</c:v>
                </c:pt>
                <c:pt idx="1540">
                  <c:v>46402</c:v>
                </c:pt>
                <c:pt idx="1541">
                  <c:v>46402</c:v>
                </c:pt>
                <c:pt idx="1542">
                  <c:v>46402</c:v>
                </c:pt>
                <c:pt idx="1543">
                  <c:v>46402</c:v>
                </c:pt>
                <c:pt idx="1544">
                  <c:v>46402</c:v>
                </c:pt>
                <c:pt idx="1545">
                  <c:v>46402</c:v>
                </c:pt>
                <c:pt idx="1546">
                  <c:v>46402</c:v>
                </c:pt>
                <c:pt idx="1547">
                  <c:v>46402</c:v>
                </c:pt>
                <c:pt idx="1548">
                  <c:v>46555</c:v>
                </c:pt>
                <c:pt idx="1549">
                  <c:v>46555</c:v>
                </c:pt>
                <c:pt idx="1550">
                  <c:v>46555</c:v>
                </c:pt>
                <c:pt idx="1551">
                  <c:v>46555</c:v>
                </c:pt>
                <c:pt idx="1552">
                  <c:v>46555</c:v>
                </c:pt>
                <c:pt idx="1553">
                  <c:v>46555</c:v>
                </c:pt>
                <c:pt idx="1554">
                  <c:v>46555</c:v>
                </c:pt>
                <c:pt idx="1555">
                  <c:v>46555</c:v>
                </c:pt>
                <c:pt idx="1556">
                  <c:v>46555</c:v>
                </c:pt>
                <c:pt idx="1557">
                  <c:v>46555</c:v>
                </c:pt>
                <c:pt idx="1558">
                  <c:v>46555</c:v>
                </c:pt>
                <c:pt idx="1559">
                  <c:v>46555</c:v>
                </c:pt>
                <c:pt idx="1560">
                  <c:v>46555</c:v>
                </c:pt>
                <c:pt idx="1561">
                  <c:v>46555</c:v>
                </c:pt>
                <c:pt idx="1562">
                  <c:v>46555</c:v>
                </c:pt>
                <c:pt idx="1563">
                  <c:v>46555</c:v>
                </c:pt>
                <c:pt idx="1564">
                  <c:v>46555</c:v>
                </c:pt>
                <c:pt idx="1565">
                  <c:v>46555</c:v>
                </c:pt>
                <c:pt idx="1566">
                  <c:v>46555</c:v>
                </c:pt>
                <c:pt idx="1567">
                  <c:v>46555</c:v>
                </c:pt>
                <c:pt idx="1568">
                  <c:v>46555</c:v>
                </c:pt>
                <c:pt idx="1569">
                  <c:v>46555</c:v>
                </c:pt>
                <c:pt idx="1570">
                  <c:v>46555</c:v>
                </c:pt>
                <c:pt idx="1571">
                  <c:v>46555</c:v>
                </c:pt>
                <c:pt idx="1572">
                  <c:v>46555</c:v>
                </c:pt>
                <c:pt idx="1573">
                  <c:v>46555</c:v>
                </c:pt>
                <c:pt idx="1574">
                  <c:v>46555</c:v>
                </c:pt>
                <c:pt idx="1575">
                  <c:v>46555</c:v>
                </c:pt>
                <c:pt idx="1576">
                  <c:v>46555</c:v>
                </c:pt>
                <c:pt idx="1577">
                  <c:v>46555</c:v>
                </c:pt>
                <c:pt idx="1578">
                  <c:v>46555</c:v>
                </c:pt>
                <c:pt idx="1579">
                  <c:v>46555</c:v>
                </c:pt>
                <c:pt idx="1580">
                  <c:v>46555</c:v>
                </c:pt>
                <c:pt idx="1581">
                  <c:v>46555</c:v>
                </c:pt>
                <c:pt idx="1582">
                  <c:v>46555</c:v>
                </c:pt>
                <c:pt idx="1583">
                  <c:v>46555</c:v>
                </c:pt>
                <c:pt idx="1584">
                  <c:v>46555</c:v>
                </c:pt>
                <c:pt idx="1585">
                  <c:v>46555</c:v>
                </c:pt>
                <c:pt idx="1586">
                  <c:v>46555</c:v>
                </c:pt>
                <c:pt idx="1587">
                  <c:v>46555</c:v>
                </c:pt>
                <c:pt idx="1588">
                  <c:v>46555</c:v>
                </c:pt>
                <c:pt idx="1589">
                  <c:v>46555</c:v>
                </c:pt>
                <c:pt idx="1590">
                  <c:v>46555</c:v>
                </c:pt>
                <c:pt idx="1591">
                  <c:v>46555</c:v>
                </c:pt>
                <c:pt idx="1592">
                  <c:v>46555</c:v>
                </c:pt>
                <c:pt idx="1593">
                  <c:v>46555</c:v>
                </c:pt>
                <c:pt idx="1594">
                  <c:v>46555</c:v>
                </c:pt>
                <c:pt idx="1595">
                  <c:v>46555</c:v>
                </c:pt>
                <c:pt idx="1596">
                  <c:v>46555</c:v>
                </c:pt>
                <c:pt idx="1597">
                  <c:v>46555</c:v>
                </c:pt>
                <c:pt idx="1598">
                  <c:v>46555</c:v>
                </c:pt>
                <c:pt idx="1599">
                  <c:v>46555</c:v>
                </c:pt>
                <c:pt idx="1600">
                  <c:v>46555</c:v>
                </c:pt>
                <c:pt idx="1601">
                  <c:v>46555</c:v>
                </c:pt>
                <c:pt idx="1602">
                  <c:v>46555</c:v>
                </c:pt>
                <c:pt idx="1603">
                  <c:v>46555</c:v>
                </c:pt>
                <c:pt idx="1604">
                  <c:v>46555</c:v>
                </c:pt>
                <c:pt idx="1605">
                  <c:v>46555</c:v>
                </c:pt>
                <c:pt idx="1606">
                  <c:v>46555</c:v>
                </c:pt>
                <c:pt idx="1607">
                  <c:v>46555</c:v>
                </c:pt>
                <c:pt idx="1608">
                  <c:v>46555</c:v>
                </c:pt>
                <c:pt idx="1609">
                  <c:v>46555</c:v>
                </c:pt>
                <c:pt idx="1610">
                  <c:v>46555</c:v>
                </c:pt>
                <c:pt idx="1611">
                  <c:v>46555</c:v>
                </c:pt>
                <c:pt idx="1612">
                  <c:v>46555</c:v>
                </c:pt>
                <c:pt idx="1613">
                  <c:v>46555</c:v>
                </c:pt>
                <c:pt idx="1614">
                  <c:v>46555</c:v>
                </c:pt>
                <c:pt idx="1615">
                  <c:v>46555</c:v>
                </c:pt>
                <c:pt idx="1616">
                  <c:v>46555</c:v>
                </c:pt>
                <c:pt idx="1617">
                  <c:v>46555</c:v>
                </c:pt>
                <c:pt idx="1618">
                  <c:v>46555</c:v>
                </c:pt>
                <c:pt idx="1619">
                  <c:v>46555</c:v>
                </c:pt>
                <c:pt idx="1620">
                  <c:v>46555</c:v>
                </c:pt>
                <c:pt idx="1621">
                  <c:v>46555</c:v>
                </c:pt>
                <c:pt idx="1622">
                  <c:v>46555</c:v>
                </c:pt>
                <c:pt idx="1623">
                  <c:v>46555</c:v>
                </c:pt>
                <c:pt idx="1624">
                  <c:v>46555</c:v>
                </c:pt>
                <c:pt idx="1625">
                  <c:v>46555</c:v>
                </c:pt>
                <c:pt idx="1626">
                  <c:v>46555</c:v>
                </c:pt>
                <c:pt idx="1627">
                  <c:v>46555</c:v>
                </c:pt>
                <c:pt idx="1628">
                  <c:v>46555</c:v>
                </c:pt>
                <c:pt idx="1629">
                  <c:v>46555</c:v>
                </c:pt>
                <c:pt idx="1630">
                  <c:v>46555</c:v>
                </c:pt>
                <c:pt idx="1631">
                  <c:v>46555</c:v>
                </c:pt>
                <c:pt idx="1632">
                  <c:v>46555</c:v>
                </c:pt>
                <c:pt idx="1633">
                  <c:v>46555</c:v>
                </c:pt>
                <c:pt idx="1634">
                  <c:v>46555</c:v>
                </c:pt>
                <c:pt idx="1635">
                  <c:v>46555</c:v>
                </c:pt>
                <c:pt idx="1636">
                  <c:v>46555</c:v>
                </c:pt>
                <c:pt idx="1637">
                  <c:v>46555</c:v>
                </c:pt>
                <c:pt idx="1638">
                  <c:v>46555</c:v>
                </c:pt>
                <c:pt idx="1639">
                  <c:v>46555</c:v>
                </c:pt>
                <c:pt idx="1640">
                  <c:v>46555</c:v>
                </c:pt>
                <c:pt idx="1641">
                  <c:v>46555</c:v>
                </c:pt>
                <c:pt idx="1642">
                  <c:v>46555</c:v>
                </c:pt>
                <c:pt idx="1643">
                  <c:v>46555</c:v>
                </c:pt>
                <c:pt idx="1644">
                  <c:v>46555</c:v>
                </c:pt>
                <c:pt idx="1645">
                  <c:v>46555</c:v>
                </c:pt>
                <c:pt idx="1646">
                  <c:v>46555</c:v>
                </c:pt>
                <c:pt idx="1647">
                  <c:v>46555</c:v>
                </c:pt>
                <c:pt idx="1648">
                  <c:v>46555</c:v>
                </c:pt>
                <c:pt idx="1649">
                  <c:v>46555</c:v>
                </c:pt>
                <c:pt idx="1650">
                  <c:v>46555</c:v>
                </c:pt>
                <c:pt idx="1651">
                  <c:v>46555</c:v>
                </c:pt>
                <c:pt idx="1652">
                  <c:v>46555</c:v>
                </c:pt>
                <c:pt idx="1653">
                  <c:v>46555</c:v>
                </c:pt>
                <c:pt idx="1654">
                  <c:v>46555</c:v>
                </c:pt>
                <c:pt idx="1655">
                  <c:v>46555</c:v>
                </c:pt>
                <c:pt idx="1656">
                  <c:v>46555</c:v>
                </c:pt>
                <c:pt idx="1657">
                  <c:v>46555</c:v>
                </c:pt>
                <c:pt idx="1658">
                  <c:v>46555</c:v>
                </c:pt>
                <c:pt idx="1659">
                  <c:v>46738</c:v>
                </c:pt>
                <c:pt idx="1660">
                  <c:v>46738</c:v>
                </c:pt>
                <c:pt idx="1661">
                  <c:v>46738</c:v>
                </c:pt>
                <c:pt idx="1662">
                  <c:v>46738</c:v>
                </c:pt>
                <c:pt idx="1663">
                  <c:v>46738</c:v>
                </c:pt>
                <c:pt idx="1664">
                  <c:v>46738</c:v>
                </c:pt>
                <c:pt idx="1665">
                  <c:v>46738</c:v>
                </c:pt>
                <c:pt idx="1666">
                  <c:v>46738</c:v>
                </c:pt>
                <c:pt idx="1667">
                  <c:v>46738</c:v>
                </c:pt>
                <c:pt idx="1668">
                  <c:v>46738</c:v>
                </c:pt>
                <c:pt idx="1669">
                  <c:v>46738</c:v>
                </c:pt>
                <c:pt idx="1670">
                  <c:v>46738</c:v>
                </c:pt>
                <c:pt idx="1671">
                  <c:v>46738</c:v>
                </c:pt>
                <c:pt idx="1672">
                  <c:v>46738</c:v>
                </c:pt>
                <c:pt idx="1673">
                  <c:v>46738</c:v>
                </c:pt>
                <c:pt idx="1674">
                  <c:v>46738</c:v>
                </c:pt>
                <c:pt idx="1675">
                  <c:v>46738</c:v>
                </c:pt>
                <c:pt idx="1676">
                  <c:v>46738</c:v>
                </c:pt>
                <c:pt idx="1677">
                  <c:v>46738</c:v>
                </c:pt>
                <c:pt idx="1678">
                  <c:v>46738</c:v>
                </c:pt>
                <c:pt idx="1679">
                  <c:v>46738</c:v>
                </c:pt>
                <c:pt idx="1680">
                  <c:v>46738</c:v>
                </c:pt>
                <c:pt idx="1681">
                  <c:v>46738</c:v>
                </c:pt>
                <c:pt idx="1682">
                  <c:v>46738</c:v>
                </c:pt>
                <c:pt idx="1683">
                  <c:v>46738</c:v>
                </c:pt>
                <c:pt idx="1684">
                  <c:v>46738</c:v>
                </c:pt>
                <c:pt idx="1685">
                  <c:v>46738</c:v>
                </c:pt>
                <c:pt idx="1686">
                  <c:v>46738</c:v>
                </c:pt>
                <c:pt idx="1687">
                  <c:v>46738</c:v>
                </c:pt>
                <c:pt idx="1688">
                  <c:v>46738</c:v>
                </c:pt>
                <c:pt idx="1689">
                  <c:v>46738</c:v>
                </c:pt>
                <c:pt idx="1690">
                  <c:v>46738</c:v>
                </c:pt>
                <c:pt idx="1691">
                  <c:v>46738</c:v>
                </c:pt>
                <c:pt idx="1692">
                  <c:v>46738</c:v>
                </c:pt>
                <c:pt idx="1693">
                  <c:v>46738</c:v>
                </c:pt>
                <c:pt idx="1694">
                  <c:v>46738</c:v>
                </c:pt>
                <c:pt idx="1695">
                  <c:v>46738</c:v>
                </c:pt>
                <c:pt idx="1696">
                  <c:v>46738</c:v>
                </c:pt>
                <c:pt idx="1697">
                  <c:v>46738</c:v>
                </c:pt>
                <c:pt idx="1698">
                  <c:v>46738</c:v>
                </c:pt>
                <c:pt idx="1699">
                  <c:v>46738</c:v>
                </c:pt>
                <c:pt idx="1700">
                  <c:v>46738</c:v>
                </c:pt>
                <c:pt idx="1701">
                  <c:v>46738</c:v>
                </c:pt>
                <c:pt idx="1702">
                  <c:v>46738</c:v>
                </c:pt>
                <c:pt idx="1703">
                  <c:v>46738</c:v>
                </c:pt>
                <c:pt idx="1704">
                  <c:v>46738</c:v>
                </c:pt>
                <c:pt idx="1705">
                  <c:v>46738</c:v>
                </c:pt>
                <c:pt idx="1706">
                  <c:v>46738</c:v>
                </c:pt>
                <c:pt idx="1707">
                  <c:v>46738</c:v>
                </c:pt>
                <c:pt idx="1708">
                  <c:v>46738</c:v>
                </c:pt>
                <c:pt idx="1709">
                  <c:v>46738</c:v>
                </c:pt>
                <c:pt idx="1710">
                  <c:v>46738</c:v>
                </c:pt>
                <c:pt idx="1711">
                  <c:v>46738</c:v>
                </c:pt>
                <c:pt idx="1712">
                  <c:v>46738</c:v>
                </c:pt>
                <c:pt idx="1713">
                  <c:v>46738</c:v>
                </c:pt>
                <c:pt idx="1714">
                  <c:v>46738</c:v>
                </c:pt>
                <c:pt idx="1715">
                  <c:v>46738</c:v>
                </c:pt>
                <c:pt idx="1716">
                  <c:v>46738</c:v>
                </c:pt>
                <c:pt idx="1717">
                  <c:v>46738</c:v>
                </c:pt>
                <c:pt idx="1718">
                  <c:v>46738</c:v>
                </c:pt>
                <c:pt idx="1719">
                  <c:v>46738</c:v>
                </c:pt>
                <c:pt idx="1720">
                  <c:v>46738</c:v>
                </c:pt>
                <c:pt idx="1721">
                  <c:v>46738</c:v>
                </c:pt>
                <c:pt idx="1722">
                  <c:v>46738</c:v>
                </c:pt>
                <c:pt idx="1723">
                  <c:v>46738</c:v>
                </c:pt>
                <c:pt idx="1724">
                  <c:v>46738</c:v>
                </c:pt>
                <c:pt idx="1725">
                  <c:v>46738</c:v>
                </c:pt>
                <c:pt idx="1726">
                  <c:v>46738</c:v>
                </c:pt>
                <c:pt idx="1727">
                  <c:v>46738</c:v>
                </c:pt>
                <c:pt idx="1728">
                  <c:v>46738</c:v>
                </c:pt>
                <c:pt idx="1729">
                  <c:v>46738</c:v>
                </c:pt>
                <c:pt idx="1730">
                  <c:v>46738</c:v>
                </c:pt>
                <c:pt idx="1731">
                  <c:v>46738</c:v>
                </c:pt>
                <c:pt idx="1732">
                  <c:v>46738</c:v>
                </c:pt>
                <c:pt idx="1733">
                  <c:v>46738</c:v>
                </c:pt>
                <c:pt idx="1734">
                  <c:v>46738</c:v>
                </c:pt>
                <c:pt idx="1735">
                  <c:v>46738</c:v>
                </c:pt>
                <c:pt idx="1736">
                  <c:v>46738</c:v>
                </c:pt>
                <c:pt idx="1737">
                  <c:v>46738</c:v>
                </c:pt>
                <c:pt idx="1738">
                  <c:v>46738</c:v>
                </c:pt>
                <c:pt idx="1739">
                  <c:v>46738</c:v>
                </c:pt>
                <c:pt idx="1740">
                  <c:v>46738</c:v>
                </c:pt>
                <c:pt idx="1741">
                  <c:v>46738</c:v>
                </c:pt>
                <c:pt idx="1742">
                  <c:v>46738</c:v>
                </c:pt>
                <c:pt idx="1743">
                  <c:v>46738</c:v>
                </c:pt>
                <c:pt idx="1744">
                  <c:v>46738</c:v>
                </c:pt>
                <c:pt idx="1745">
                  <c:v>46738</c:v>
                </c:pt>
                <c:pt idx="1746">
                  <c:v>46738</c:v>
                </c:pt>
                <c:pt idx="1747">
                  <c:v>46738</c:v>
                </c:pt>
                <c:pt idx="1748">
                  <c:v>46738</c:v>
                </c:pt>
                <c:pt idx="1749">
                  <c:v>46738</c:v>
                </c:pt>
                <c:pt idx="1750">
                  <c:v>46738</c:v>
                </c:pt>
                <c:pt idx="1751">
                  <c:v>46738</c:v>
                </c:pt>
                <c:pt idx="1752">
                  <c:v>46738</c:v>
                </c:pt>
                <c:pt idx="1753">
                  <c:v>46738</c:v>
                </c:pt>
                <c:pt idx="1754">
                  <c:v>46738</c:v>
                </c:pt>
                <c:pt idx="1755">
                  <c:v>46738</c:v>
                </c:pt>
                <c:pt idx="1756">
                  <c:v>46738</c:v>
                </c:pt>
                <c:pt idx="1757">
                  <c:v>46738</c:v>
                </c:pt>
                <c:pt idx="1758">
                  <c:v>46738</c:v>
                </c:pt>
                <c:pt idx="1759">
                  <c:v>46738</c:v>
                </c:pt>
                <c:pt idx="1760">
                  <c:v>46738</c:v>
                </c:pt>
                <c:pt idx="1761">
                  <c:v>46738</c:v>
                </c:pt>
                <c:pt idx="1762">
                  <c:v>46738</c:v>
                </c:pt>
                <c:pt idx="1763">
                  <c:v>46738</c:v>
                </c:pt>
                <c:pt idx="1764">
                  <c:v>46738</c:v>
                </c:pt>
                <c:pt idx="1765">
                  <c:v>46738</c:v>
                </c:pt>
                <c:pt idx="1766">
                  <c:v>46738</c:v>
                </c:pt>
                <c:pt idx="1767">
                  <c:v>46738</c:v>
                </c:pt>
                <c:pt idx="1768">
                  <c:v>46738</c:v>
                </c:pt>
                <c:pt idx="1769">
                  <c:v>46738</c:v>
                </c:pt>
                <c:pt idx="1770">
                  <c:v>46738</c:v>
                </c:pt>
                <c:pt idx="1771">
                  <c:v>46738</c:v>
                </c:pt>
                <c:pt idx="1772">
                  <c:v>46738</c:v>
                </c:pt>
                <c:pt idx="1773">
                  <c:v>46738</c:v>
                </c:pt>
                <c:pt idx="1774">
                  <c:v>46738</c:v>
                </c:pt>
                <c:pt idx="1775">
                  <c:v>46738</c:v>
                </c:pt>
                <c:pt idx="1776">
                  <c:v>46738</c:v>
                </c:pt>
                <c:pt idx="1777">
                  <c:v>46738</c:v>
                </c:pt>
                <c:pt idx="1778">
                  <c:v>46738</c:v>
                </c:pt>
                <c:pt idx="1779">
                  <c:v>46738</c:v>
                </c:pt>
                <c:pt idx="1780">
                  <c:v>46738</c:v>
                </c:pt>
                <c:pt idx="1781">
                  <c:v>46738</c:v>
                </c:pt>
                <c:pt idx="1782">
                  <c:v>46738</c:v>
                </c:pt>
                <c:pt idx="1783">
                  <c:v>46738</c:v>
                </c:pt>
                <c:pt idx="1784">
                  <c:v>46738</c:v>
                </c:pt>
                <c:pt idx="1785">
                  <c:v>46738</c:v>
                </c:pt>
                <c:pt idx="1786">
                  <c:v>46738</c:v>
                </c:pt>
                <c:pt idx="1787">
                  <c:v>46738</c:v>
                </c:pt>
                <c:pt idx="1788">
                  <c:v>46738</c:v>
                </c:pt>
                <c:pt idx="1789">
                  <c:v>46738</c:v>
                </c:pt>
                <c:pt idx="1790">
                  <c:v>46738</c:v>
                </c:pt>
                <c:pt idx="1791">
                  <c:v>46738</c:v>
                </c:pt>
                <c:pt idx="1792">
                  <c:v>46738</c:v>
                </c:pt>
                <c:pt idx="1793">
                  <c:v>46738</c:v>
                </c:pt>
                <c:pt idx="1794">
                  <c:v>46738</c:v>
                </c:pt>
                <c:pt idx="1795">
                  <c:v>46738</c:v>
                </c:pt>
                <c:pt idx="1796">
                  <c:v>46738</c:v>
                </c:pt>
                <c:pt idx="1797">
                  <c:v>46738</c:v>
                </c:pt>
                <c:pt idx="1798">
                  <c:v>46738</c:v>
                </c:pt>
                <c:pt idx="1799">
                  <c:v>46738</c:v>
                </c:pt>
                <c:pt idx="1800">
                  <c:v>46738</c:v>
                </c:pt>
                <c:pt idx="1801">
                  <c:v>46773</c:v>
                </c:pt>
                <c:pt idx="1802">
                  <c:v>46773</c:v>
                </c:pt>
                <c:pt idx="1803">
                  <c:v>46773</c:v>
                </c:pt>
                <c:pt idx="1804">
                  <c:v>46773</c:v>
                </c:pt>
                <c:pt idx="1805">
                  <c:v>46773</c:v>
                </c:pt>
                <c:pt idx="1806">
                  <c:v>46773</c:v>
                </c:pt>
                <c:pt idx="1807">
                  <c:v>46773</c:v>
                </c:pt>
                <c:pt idx="1808">
                  <c:v>46773</c:v>
                </c:pt>
                <c:pt idx="1809">
                  <c:v>46773</c:v>
                </c:pt>
                <c:pt idx="1810">
                  <c:v>46773</c:v>
                </c:pt>
                <c:pt idx="1811">
                  <c:v>46773</c:v>
                </c:pt>
                <c:pt idx="1812">
                  <c:v>46773</c:v>
                </c:pt>
                <c:pt idx="1813">
                  <c:v>46773</c:v>
                </c:pt>
                <c:pt idx="1814">
                  <c:v>46773</c:v>
                </c:pt>
                <c:pt idx="1815">
                  <c:v>46773</c:v>
                </c:pt>
                <c:pt idx="1816">
                  <c:v>46773</c:v>
                </c:pt>
                <c:pt idx="1817">
                  <c:v>46773</c:v>
                </c:pt>
                <c:pt idx="1818">
                  <c:v>46773</c:v>
                </c:pt>
                <c:pt idx="1819">
                  <c:v>46773</c:v>
                </c:pt>
                <c:pt idx="1820">
                  <c:v>46773</c:v>
                </c:pt>
                <c:pt idx="1821">
                  <c:v>46773</c:v>
                </c:pt>
                <c:pt idx="1822">
                  <c:v>46773</c:v>
                </c:pt>
                <c:pt idx="1823">
                  <c:v>46773</c:v>
                </c:pt>
                <c:pt idx="1824">
                  <c:v>46773</c:v>
                </c:pt>
                <c:pt idx="1825">
                  <c:v>46773</c:v>
                </c:pt>
                <c:pt idx="1826">
                  <c:v>46773</c:v>
                </c:pt>
                <c:pt idx="1827">
                  <c:v>46773</c:v>
                </c:pt>
                <c:pt idx="1828">
                  <c:v>46773</c:v>
                </c:pt>
                <c:pt idx="1829">
                  <c:v>46773</c:v>
                </c:pt>
                <c:pt idx="1830">
                  <c:v>46773</c:v>
                </c:pt>
                <c:pt idx="1831">
                  <c:v>46773</c:v>
                </c:pt>
                <c:pt idx="1832">
                  <c:v>46773</c:v>
                </c:pt>
                <c:pt idx="1833">
                  <c:v>46773</c:v>
                </c:pt>
                <c:pt idx="1834">
                  <c:v>46773</c:v>
                </c:pt>
                <c:pt idx="1835">
                  <c:v>46773</c:v>
                </c:pt>
                <c:pt idx="1836">
                  <c:v>46773</c:v>
                </c:pt>
                <c:pt idx="1837">
                  <c:v>46773</c:v>
                </c:pt>
                <c:pt idx="1838">
                  <c:v>46773</c:v>
                </c:pt>
                <c:pt idx="1839">
                  <c:v>46773</c:v>
                </c:pt>
                <c:pt idx="1840">
                  <c:v>46773</c:v>
                </c:pt>
                <c:pt idx="1841">
                  <c:v>46773</c:v>
                </c:pt>
                <c:pt idx="1842">
                  <c:v>46773</c:v>
                </c:pt>
                <c:pt idx="1843">
                  <c:v>46773</c:v>
                </c:pt>
                <c:pt idx="1844">
                  <c:v>46773</c:v>
                </c:pt>
                <c:pt idx="1845">
                  <c:v>46773</c:v>
                </c:pt>
                <c:pt idx="1846">
                  <c:v>46773</c:v>
                </c:pt>
                <c:pt idx="1847">
                  <c:v>46773</c:v>
                </c:pt>
                <c:pt idx="1848">
                  <c:v>46773</c:v>
                </c:pt>
                <c:pt idx="1849">
                  <c:v>46773</c:v>
                </c:pt>
                <c:pt idx="1850">
                  <c:v>46773</c:v>
                </c:pt>
                <c:pt idx="1851">
                  <c:v>46773</c:v>
                </c:pt>
                <c:pt idx="1852">
                  <c:v>46773</c:v>
                </c:pt>
                <c:pt idx="1853">
                  <c:v>46773</c:v>
                </c:pt>
                <c:pt idx="1854">
                  <c:v>46773</c:v>
                </c:pt>
                <c:pt idx="1855">
                  <c:v>46773</c:v>
                </c:pt>
                <c:pt idx="1856">
                  <c:v>46773</c:v>
                </c:pt>
                <c:pt idx="1857">
                  <c:v>46773</c:v>
                </c:pt>
                <c:pt idx="1858">
                  <c:v>46773</c:v>
                </c:pt>
                <c:pt idx="1859">
                  <c:v>46773</c:v>
                </c:pt>
                <c:pt idx="1860">
                  <c:v>46773</c:v>
                </c:pt>
                <c:pt idx="1861">
                  <c:v>46773</c:v>
                </c:pt>
                <c:pt idx="1862">
                  <c:v>46773</c:v>
                </c:pt>
                <c:pt idx="1863">
                  <c:v>46773</c:v>
                </c:pt>
                <c:pt idx="1864">
                  <c:v>46773</c:v>
                </c:pt>
                <c:pt idx="1865">
                  <c:v>46773</c:v>
                </c:pt>
                <c:pt idx="1866">
                  <c:v>46773</c:v>
                </c:pt>
                <c:pt idx="1867">
                  <c:v>46773</c:v>
                </c:pt>
                <c:pt idx="1868">
                  <c:v>46773</c:v>
                </c:pt>
                <c:pt idx="1869">
                  <c:v>46773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91-40CB-8134-F9E0269E45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913935"/>
        <c:axId val="132913455"/>
      </c:lineChart>
      <c:catAx>
        <c:axId val="1223531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51663"/>
        <c:crosses val="autoZero"/>
        <c:auto val="1"/>
        <c:lblAlgn val="ctr"/>
        <c:lblOffset val="100"/>
        <c:noMultiLvlLbl val="0"/>
      </c:catAx>
      <c:valAx>
        <c:axId val="12235166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53103"/>
        <c:crosses val="autoZero"/>
        <c:crossBetween val="between"/>
      </c:valAx>
      <c:valAx>
        <c:axId val="132913455"/>
        <c:scaling>
          <c:orientation val="minMax"/>
          <c:min val="45940"/>
        </c:scaling>
        <c:delete val="0"/>
        <c:axPos val="r"/>
        <c:numFmt formatCode="m/d/yy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13935"/>
        <c:crosses val="max"/>
        <c:crossBetween val="between"/>
      </c:valAx>
      <c:catAx>
        <c:axId val="132913935"/>
        <c:scaling>
          <c:orientation val="minMax"/>
        </c:scaling>
        <c:delete val="1"/>
        <c:axPos val="b"/>
        <c:majorTickMark val="out"/>
        <c:minorTickMark val="none"/>
        <c:tickLblPos val="nextTo"/>
        <c:crossAx val="1329134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0</xdr:row>
      <xdr:rowOff>0</xdr:rowOff>
    </xdr:from>
    <xdr:to>
      <xdr:col>28</xdr:col>
      <xdr:colOff>525866</xdr:colOff>
      <xdr:row>15</xdr:row>
      <xdr:rowOff>63184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6CC3811-1910-42A1-8FFC-08686AA4DA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finance.yahoo.com/quote/AAPL260618C00135000/" TargetMode="External"/><Relationship Id="rId3182" Type="http://schemas.openxmlformats.org/officeDocument/2006/relationships/hyperlink" Target="https://finance.yahoo.com/quote/AAPL/options/?straddle=false&amp;strike=200&amp;type=all" TargetMode="External"/><Relationship Id="rId3042" Type="http://schemas.openxmlformats.org/officeDocument/2006/relationships/hyperlink" Target="https://finance.yahoo.com/quote/AAPL/options/?straddle=false&amp;strike=125&amp;type=all" TargetMode="External"/><Relationship Id="rId170" Type="http://schemas.openxmlformats.org/officeDocument/2006/relationships/hyperlink" Target="https://finance.yahoo.com/quote/AAPL/options/?straddle=false&amp;strike=185&amp;type=all" TargetMode="External"/><Relationship Id="rId987" Type="http://schemas.openxmlformats.org/officeDocument/2006/relationships/hyperlink" Target="https://finance.yahoo.com/quote/AAPL260116P00075000/" TargetMode="External"/><Relationship Id="rId2668" Type="http://schemas.openxmlformats.org/officeDocument/2006/relationships/hyperlink" Target="https://finance.yahoo.com/quote/AAPL/options/?straddle=false&amp;strike=35&amp;type=all" TargetMode="External"/><Relationship Id="rId2875" Type="http://schemas.openxmlformats.org/officeDocument/2006/relationships/hyperlink" Target="https://finance.yahoo.com/quote/AAPL270115P00320000/" TargetMode="External"/><Relationship Id="rId3719" Type="http://schemas.openxmlformats.org/officeDocument/2006/relationships/hyperlink" Target="https://finance.yahoo.com/quote/AAPL251010P00262500/" TargetMode="External"/><Relationship Id="rId847" Type="http://schemas.openxmlformats.org/officeDocument/2006/relationships/hyperlink" Target="https://finance.yahoo.com/quote/AAPL260116C00080000/" TargetMode="External"/><Relationship Id="rId1477" Type="http://schemas.openxmlformats.org/officeDocument/2006/relationships/hyperlink" Target="https://finance.yahoo.com/quote/AAPL260417C00230000/" TargetMode="External"/><Relationship Id="rId1684" Type="http://schemas.openxmlformats.org/officeDocument/2006/relationships/hyperlink" Target="https://finance.yahoo.com/quote/AAPL/options/?straddle=false&amp;strike=400&amp;type=all" TargetMode="External"/><Relationship Id="rId1891" Type="http://schemas.openxmlformats.org/officeDocument/2006/relationships/hyperlink" Target="https://finance.yahoo.com/quote/AAPL260618C00300000/" TargetMode="External"/><Relationship Id="rId2528" Type="http://schemas.openxmlformats.org/officeDocument/2006/relationships/hyperlink" Target="https://finance.yahoo.com/quote/AAPL/options/?straddle=false&amp;strike=410&amp;type=all" TargetMode="External"/><Relationship Id="rId2735" Type="http://schemas.openxmlformats.org/officeDocument/2006/relationships/hyperlink" Target="https://finance.yahoo.com/quote/AAPL270115C00240000/" TargetMode="External"/><Relationship Id="rId2942" Type="http://schemas.openxmlformats.org/officeDocument/2006/relationships/hyperlink" Target="https://finance.yahoo.com/quote/AAPL/options/?straddle=false&amp;strike=155&amp;type=all" TargetMode="External"/><Relationship Id="rId707" Type="http://schemas.openxmlformats.org/officeDocument/2006/relationships/hyperlink" Target="https://finance.yahoo.com/quote/AAPL251121C00305000/" TargetMode="External"/><Relationship Id="rId914" Type="http://schemas.openxmlformats.org/officeDocument/2006/relationships/hyperlink" Target="https://finance.yahoo.com/quote/AAPL/options/?straddle=false&amp;strike=245&amp;type=all" TargetMode="External"/><Relationship Id="rId1337" Type="http://schemas.openxmlformats.org/officeDocument/2006/relationships/hyperlink" Target="https://finance.yahoo.com/quote/AAPL260320C00250000/" TargetMode="External"/><Relationship Id="rId1544" Type="http://schemas.openxmlformats.org/officeDocument/2006/relationships/hyperlink" Target="https://finance.yahoo.com/quote/AAPL/options/?straddle=false&amp;strike=165&amp;type=all" TargetMode="External"/><Relationship Id="rId1751" Type="http://schemas.openxmlformats.org/officeDocument/2006/relationships/hyperlink" Target="https://finance.yahoo.com/quote/AAPL260515P00210000/" TargetMode="External"/><Relationship Id="rId2802" Type="http://schemas.openxmlformats.org/officeDocument/2006/relationships/hyperlink" Target="https://finance.yahoo.com/quote/AAPL/options/?straddle=false&amp;strike=70&amp;type=all" TargetMode="External"/><Relationship Id="rId43" Type="http://schemas.openxmlformats.org/officeDocument/2006/relationships/hyperlink" Target="https://finance.yahoo.com/quote/AAPL251017C00210000/" TargetMode="External"/><Relationship Id="rId1404" Type="http://schemas.openxmlformats.org/officeDocument/2006/relationships/hyperlink" Target="https://finance.yahoo.com/quote/AAPL/options/?straddle=false&amp;strike=190&amp;type=all" TargetMode="External"/><Relationship Id="rId1611" Type="http://schemas.openxmlformats.org/officeDocument/2006/relationships/hyperlink" Target="https://finance.yahoo.com/quote/AAPL260515C00120000/" TargetMode="External"/><Relationship Id="rId3369" Type="http://schemas.openxmlformats.org/officeDocument/2006/relationships/hyperlink" Target="https://finance.yahoo.com/quote/AAPL271217P00275000/" TargetMode="External"/><Relationship Id="rId3576" Type="http://schemas.openxmlformats.org/officeDocument/2006/relationships/hyperlink" Target="https://finance.yahoo.com/quote/AAPL/options/?straddle=false&amp;strike=215&amp;type=all" TargetMode="External"/><Relationship Id="rId497" Type="http://schemas.openxmlformats.org/officeDocument/2006/relationships/hyperlink" Target="https://finance.yahoo.com/quote/AAPL251031P00200000/" TargetMode="External"/><Relationship Id="rId2178" Type="http://schemas.openxmlformats.org/officeDocument/2006/relationships/hyperlink" Target="https://finance.yahoo.com/quote/AAPL/options/?straddle=false&amp;strike=340&amp;type=all" TargetMode="External"/><Relationship Id="rId2385" Type="http://schemas.openxmlformats.org/officeDocument/2006/relationships/hyperlink" Target="https://finance.yahoo.com/quote/AAPL260918P00260000/" TargetMode="External"/><Relationship Id="rId3229" Type="http://schemas.openxmlformats.org/officeDocument/2006/relationships/hyperlink" Target="https://finance.yahoo.com/quote/AAPL271217C00320000/" TargetMode="External"/><Relationship Id="rId357" Type="http://schemas.openxmlformats.org/officeDocument/2006/relationships/hyperlink" Target="https://finance.yahoo.com/quote/AAPL251024P00200000/" TargetMode="External"/><Relationship Id="rId1194" Type="http://schemas.openxmlformats.org/officeDocument/2006/relationships/hyperlink" Target="https://finance.yahoo.com/quote/AAPL/options/?straddle=false&amp;strike=380&amp;type=all" TargetMode="External"/><Relationship Id="rId2038" Type="http://schemas.openxmlformats.org/officeDocument/2006/relationships/hyperlink" Target="https://finance.yahoo.com/quote/AAPL/options/?straddle=false&amp;strike=350&amp;type=all" TargetMode="External"/><Relationship Id="rId2592" Type="http://schemas.openxmlformats.org/officeDocument/2006/relationships/hyperlink" Target="https://finance.yahoo.com/quote/AAPL/options/?straddle=false&amp;strike=155&amp;type=all" TargetMode="External"/><Relationship Id="rId3436" Type="http://schemas.openxmlformats.org/officeDocument/2006/relationships/hyperlink" Target="https://finance.yahoo.com/quote/AAPL/options/?straddle=false&amp;strike=210&amp;type=all" TargetMode="External"/><Relationship Id="rId3643" Type="http://schemas.openxmlformats.org/officeDocument/2006/relationships/hyperlink" Target="https://finance.yahoo.com/quote/AAPL251010C00325000/" TargetMode="External"/><Relationship Id="rId217" Type="http://schemas.openxmlformats.org/officeDocument/2006/relationships/hyperlink" Target="https://finance.yahoo.com/quote/AAPL251017P00260000/" TargetMode="External"/><Relationship Id="rId564" Type="http://schemas.openxmlformats.org/officeDocument/2006/relationships/hyperlink" Target="https://finance.yahoo.com/quote/AAPL/options/?straddle=false&amp;strike=255&amp;type=all" TargetMode="External"/><Relationship Id="rId771" Type="http://schemas.openxmlformats.org/officeDocument/2006/relationships/hyperlink" Target="https://finance.yahoo.com/quote/AAPL251121P00210000/" TargetMode="External"/><Relationship Id="rId2245" Type="http://schemas.openxmlformats.org/officeDocument/2006/relationships/hyperlink" Target="https://finance.yahoo.com/quote/AAPL260918C00215000/" TargetMode="External"/><Relationship Id="rId2452" Type="http://schemas.openxmlformats.org/officeDocument/2006/relationships/hyperlink" Target="https://finance.yahoo.com/quote/AAPL/options/?straddle=false&amp;strike=115&amp;type=all" TargetMode="External"/><Relationship Id="rId3503" Type="http://schemas.openxmlformats.org/officeDocument/2006/relationships/hyperlink" Target="https://finance.yahoo.com/quote/AAPL280121P00170000/" TargetMode="External"/><Relationship Id="rId3710" Type="http://schemas.openxmlformats.org/officeDocument/2006/relationships/hyperlink" Target="https://finance.yahoo.com/quote/AAPL/options/?straddle=false&amp;strike=250&amp;type=all" TargetMode="External"/><Relationship Id="rId424" Type="http://schemas.openxmlformats.org/officeDocument/2006/relationships/hyperlink" Target="https://finance.yahoo.com/quote/AAPL/options/?straddle=false&amp;strike=225&amp;type=all" TargetMode="External"/><Relationship Id="rId631" Type="http://schemas.openxmlformats.org/officeDocument/2006/relationships/hyperlink" Target="https://finance.yahoo.com/quote/AAPL251121C00115000/" TargetMode="External"/><Relationship Id="rId1054" Type="http://schemas.openxmlformats.org/officeDocument/2006/relationships/hyperlink" Target="https://finance.yahoo.com/quote/AAPL/options/?straddle=false&amp;strike=240&amp;type=all" TargetMode="External"/><Relationship Id="rId1261" Type="http://schemas.openxmlformats.org/officeDocument/2006/relationships/hyperlink" Target="https://finance.yahoo.com/quote/AAPL260220P00255000/" TargetMode="External"/><Relationship Id="rId2105" Type="http://schemas.openxmlformats.org/officeDocument/2006/relationships/hyperlink" Target="https://finance.yahoo.com/quote/AAPL260821C00320000/" TargetMode="External"/><Relationship Id="rId2312" Type="http://schemas.openxmlformats.org/officeDocument/2006/relationships/hyperlink" Target="https://finance.yahoo.com/quote/AAPL/options/?straddle=false&amp;strike=75&amp;type=all" TargetMode="External"/><Relationship Id="rId1121" Type="http://schemas.openxmlformats.org/officeDocument/2006/relationships/hyperlink" Target="https://finance.yahoo.com/quote/AAPL260220C00160000/" TargetMode="External"/><Relationship Id="rId3086" Type="http://schemas.openxmlformats.org/officeDocument/2006/relationships/hyperlink" Target="https://finance.yahoo.com/quote/AAPL/options/?straddle=false&amp;strike=270&amp;type=all" TargetMode="External"/><Relationship Id="rId3293" Type="http://schemas.openxmlformats.org/officeDocument/2006/relationships/hyperlink" Target="https://finance.yahoo.com/quote/AAPL271217P00085000/" TargetMode="External"/><Relationship Id="rId1938" Type="http://schemas.openxmlformats.org/officeDocument/2006/relationships/hyperlink" Target="https://finance.yahoo.com/quote/AAPL/options/?straddle=false&amp;strike=70&amp;type=all" TargetMode="External"/><Relationship Id="rId3153" Type="http://schemas.openxmlformats.org/officeDocument/2006/relationships/hyperlink" Target="https://finance.yahoo.com/quote/AAPL271217C00130000/" TargetMode="External"/><Relationship Id="rId3360" Type="http://schemas.openxmlformats.org/officeDocument/2006/relationships/hyperlink" Target="https://finance.yahoo.com/quote/AAPL/options/?straddle=false&amp;strike=250&amp;type=all" TargetMode="External"/><Relationship Id="rId281" Type="http://schemas.openxmlformats.org/officeDocument/2006/relationships/hyperlink" Target="https://finance.yahoo.com/quote/AAPL251024C00215000/" TargetMode="External"/><Relationship Id="rId3013" Type="http://schemas.openxmlformats.org/officeDocument/2006/relationships/hyperlink" Target="https://finance.yahoo.com/quote/AAPL270617P00055000/" TargetMode="External"/><Relationship Id="rId141" Type="http://schemas.openxmlformats.org/officeDocument/2006/relationships/hyperlink" Target="https://finance.yahoo.com/quote/AAPL251017P00115000/" TargetMode="External"/><Relationship Id="rId3220" Type="http://schemas.openxmlformats.org/officeDocument/2006/relationships/hyperlink" Target="https://finance.yahoo.com/quote/AAPL/options/?straddle=false&amp;strike=295&amp;type=all" TargetMode="External"/><Relationship Id="rId7" Type="http://schemas.openxmlformats.org/officeDocument/2006/relationships/hyperlink" Target="https://finance.yahoo.com/quote/AAPL251017C00120000/" TargetMode="External"/><Relationship Id="rId2779" Type="http://schemas.openxmlformats.org/officeDocument/2006/relationships/hyperlink" Target="https://finance.yahoo.com/quote/AAPL270115P00005000/" TargetMode="External"/><Relationship Id="rId2986" Type="http://schemas.openxmlformats.org/officeDocument/2006/relationships/hyperlink" Target="https://finance.yahoo.com/quote/AAPL/options/?straddle=false&amp;strike=330&amp;type=all" TargetMode="External"/><Relationship Id="rId958" Type="http://schemas.openxmlformats.org/officeDocument/2006/relationships/hyperlink" Target="https://finance.yahoo.com/quote/AAPL/options/?straddle=false&amp;strike=390&amp;type=all" TargetMode="External"/><Relationship Id="rId1588" Type="http://schemas.openxmlformats.org/officeDocument/2006/relationships/hyperlink" Target="https://finance.yahoo.com/quote/AAPL/options/?straddle=false&amp;strike=275&amp;type=all" TargetMode="External"/><Relationship Id="rId1795" Type="http://schemas.openxmlformats.org/officeDocument/2006/relationships/hyperlink" Target="https://finance.yahoo.com/quote/AAPL260618C00055000/" TargetMode="External"/><Relationship Id="rId2639" Type="http://schemas.openxmlformats.org/officeDocument/2006/relationships/hyperlink" Target="https://finance.yahoo.com/quote/AAPL261218P00350000/" TargetMode="External"/><Relationship Id="rId2846" Type="http://schemas.openxmlformats.org/officeDocument/2006/relationships/hyperlink" Target="https://finance.yahoo.com/quote/AAPL/options/?straddle=false&amp;strike=185&amp;type=all" TargetMode="External"/><Relationship Id="rId87" Type="http://schemas.openxmlformats.org/officeDocument/2006/relationships/hyperlink" Target="https://finance.yahoo.com/quote/AAPL251017C00267500/" TargetMode="External"/><Relationship Id="rId818" Type="http://schemas.openxmlformats.org/officeDocument/2006/relationships/hyperlink" Target="https://finance.yahoo.com/quote/AAPL/options/?straddle=false&amp;strike=5&amp;type=all" TargetMode="External"/><Relationship Id="rId1448" Type="http://schemas.openxmlformats.org/officeDocument/2006/relationships/hyperlink" Target="https://finance.yahoo.com/quote/AAPL/options/?straddle=false&amp;strike=155&amp;type=all" TargetMode="External"/><Relationship Id="rId1655" Type="http://schemas.openxmlformats.org/officeDocument/2006/relationships/hyperlink" Target="https://finance.yahoo.com/quote/AAPL260515C00260000/" TargetMode="External"/><Relationship Id="rId2706" Type="http://schemas.openxmlformats.org/officeDocument/2006/relationships/hyperlink" Target="https://finance.yahoo.com/quote/AAPL/options/?straddle=false&amp;strike=145&amp;type=all" TargetMode="External"/><Relationship Id="rId1308" Type="http://schemas.openxmlformats.org/officeDocument/2006/relationships/hyperlink" Target="https://finance.yahoo.com/quote/AAPL/options/?straddle=false&amp;strike=150&amp;type=all" TargetMode="External"/><Relationship Id="rId1862" Type="http://schemas.openxmlformats.org/officeDocument/2006/relationships/hyperlink" Target="https://finance.yahoo.com/quote/AAPL/options/?straddle=false&amp;strike=220&amp;type=all" TargetMode="External"/><Relationship Id="rId2913" Type="http://schemas.openxmlformats.org/officeDocument/2006/relationships/hyperlink" Target="https://finance.yahoo.com/quote/AAPL270617C00085000/" TargetMode="External"/><Relationship Id="rId1515" Type="http://schemas.openxmlformats.org/officeDocument/2006/relationships/hyperlink" Target="https://finance.yahoo.com/quote/AAPL260417C00325000/" TargetMode="External"/><Relationship Id="rId1722" Type="http://schemas.openxmlformats.org/officeDocument/2006/relationships/hyperlink" Target="https://finance.yahoo.com/quote/AAPL/options/?straddle=false&amp;strike=130&amp;type=all" TargetMode="External"/><Relationship Id="rId14" Type="http://schemas.openxmlformats.org/officeDocument/2006/relationships/hyperlink" Target="https://finance.yahoo.com/quote/AAPL/options/?straddle=false&amp;strike=135&amp;type=all" TargetMode="External"/><Relationship Id="rId3687" Type="http://schemas.openxmlformats.org/officeDocument/2006/relationships/hyperlink" Target="https://finance.yahoo.com/quote/AAPL251010P00222500/" TargetMode="External"/><Relationship Id="rId2289" Type="http://schemas.openxmlformats.org/officeDocument/2006/relationships/hyperlink" Target="https://finance.yahoo.com/quote/AAPL260918C00350000/" TargetMode="External"/><Relationship Id="rId2496" Type="http://schemas.openxmlformats.org/officeDocument/2006/relationships/hyperlink" Target="https://finance.yahoo.com/quote/AAPL/options/?straddle=false&amp;strike=250&amp;type=all" TargetMode="External"/><Relationship Id="rId3547" Type="http://schemas.openxmlformats.org/officeDocument/2006/relationships/hyperlink" Target="https://finance.yahoo.com/quote/AAPL251010C00135000/" TargetMode="External"/><Relationship Id="rId468" Type="http://schemas.openxmlformats.org/officeDocument/2006/relationships/hyperlink" Target="https://finance.yahoo.com/quote/AAPL/options/?straddle=false&amp;strike=120&amp;type=all" TargetMode="External"/><Relationship Id="rId675" Type="http://schemas.openxmlformats.org/officeDocument/2006/relationships/hyperlink" Target="https://finance.yahoo.com/quote/AAPL251121C00225000/" TargetMode="External"/><Relationship Id="rId882" Type="http://schemas.openxmlformats.org/officeDocument/2006/relationships/hyperlink" Target="https://finance.yahoo.com/quote/AAPL/options/?straddle=false&amp;strike=165&amp;type=all" TargetMode="External"/><Relationship Id="rId1098" Type="http://schemas.openxmlformats.org/officeDocument/2006/relationships/hyperlink" Target="https://finance.yahoo.com/quote/AAPL/options/?straddle=false&amp;strike=390&amp;type=all" TargetMode="External"/><Relationship Id="rId2149" Type="http://schemas.openxmlformats.org/officeDocument/2006/relationships/hyperlink" Target="https://finance.yahoo.com/quote/AAPL260821P00200000/" TargetMode="External"/><Relationship Id="rId2356" Type="http://schemas.openxmlformats.org/officeDocument/2006/relationships/hyperlink" Target="https://finance.yahoo.com/quote/AAPL/options/?straddle=false&amp;strike=185&amp;type=all" TargetMode="External"/><Relationship Id="rId2563" Type="http://schemas.openxmlformats.org/officeDocument/2006/relationships/hyperlink" Target="https://finance.yahoo.com/quote/AAPL261218P00085000/" TargetMode="External"/><Relationship Id="rId2770" Type="http://schemas.openxmlformats.org/officeDocument/2006/relationships/hyperlink" Target="https://finance.yahoo.com/quote/AAPL/options/?straddle=false&amp;strike=410&amp;type=all" TargetMode="External"/><Relationship Id="rId3407" Type="http://schemas.openxmlformats.org/officeDocument/2006/relationships/hyperlink" Target="https://finance.yahoo.com/quote/AAPL280121C00080000/" TargetMode="External"/><Relationship Id="rId3614" Type="http://schemas.openxmlformats.org/officeDocument/2006/relationships/hyperlink" Target="https://finance.yahoo.com/quote/AAPL/options/?straddle=false&amp;strike=262.5&amp;type=all" TargetMode="External"/><Relationship Id="rId328" Type="http://schemas.openxmlformats.org/officeDocument/2006/relationships/hyperlink" Target="https://finance.yahoo.com/quote/AAPL/options/?straddle=false&amp;strike=110&amp;type=all" TargetMode="External"/><Relationship Id="rId535" Type="http://schemas.openxmlformats.org/officeDocument/2006/relationships/hyperlink" Target="https://finance.yahoo.com/quote/AAPL251031P00295000/" TargetMode="External"/><Relationship Id="rId742" Type="http://schemas.openxmlformats.org/officeDocument/2006/relationships/hyperlink" Target="https://finance.yahoo.com/quote/AAPL/options/?straddle=false&amp;strike=135&amp;type=all" TargetMode="External"/><Relationship Id="rId1165" Type="http://schemas.openxmlformats.org/officeDocument/2006/relationships/hyperlink" Target="https://finance.yahoo.com/quote/AAPL260220C00270000/" TargetMode="External"/><Relationship Id="rId1372" Type="http://schemas.openxmlformats.org/officeDocument/2006/relationships/hyperlink" Target="https://finance.yahoo.com/quote/AAPL/options/?straddle=false&amp;strike=110&amp;type=all" TargetMode="External"/><Relationship Id="rId2009" Type="http://schemas.openxmlformats.org/officeDocument/2006/relationships/hyperlink" Target="https://finance.yahoo.com/quote/AAPL260618P00250000/" TargetMode="External"/><Relationship Id="rId2216" Type="http://schemas.openxmlformats.org/officeDocument/2006/relationships/hyperlink" Target="https://finance.yahoo.com/quote/AAPL/options/?straddle=false&amp;strike=140&amp;type=all" TargetMode="External"/><Relationship Id="rId2423" Type="http://schemas.openxmlformats.org/officeDocument/2006/relationships/hyperlink" Target="https://finance.yahoo.com/quote/AAPL261218C00030000/" TargetMode="External"/><Relationship Id="rId2630" Type="http://schemas.openxmlformats.org/officeDocument/2006/relationships/hyperlink" Target="https://finance.yahoo.com/quote/AAPL/options/?straddle=false&amp;strike=300&amp;type=all" TargetMode="External"/><Relationship Id="rId602" Type="http://schemas.openxmlformats.org/officeDocument/2006/relationships/hyperlink" Target="https://finance.yahoo.com/quote/AAPL/options/?straddle=false&amp;strike=210&amp;type=all" TargetMode="External"/><Relationship Id="rId1025" Type="http://schemas.openxmlformats.org/officeDocument/2006/relationships/hyperlink" Target="https://finance.yahoo.com/quote/AAPL260116P00170000/" TargetMode="External"/><Relationship Id="rId1232" Type="http://schemas.openxmlformats.org/officeDocument/2006/relationships/hyperlink" Target="https://finance.yahoo.com/quote/AAPL/options/?straddle=false&amp;strike=180&amp;type=all" TargetMode="External"/><Relationship Id="rId3197" Type="http://schemas.openxmlformats.org/officeDocument/2006/relationships/hyperlink" Target="https://finance.yahoo.com/quote/AAPL271217C00240000/" TargetMode="External"/><Relationship Id="rId3057" Type="http://schemas.openxmlformats.org/officeDocument/2006/relationships/hyperlink" Target="https://finance.yahoo.com/quote/AAPL270617P00165000/" TargetMode="External"/><Relationship Id="rId185" Type="http://schemas.openxmlformats.org/officeDocument/2006/relationships/hyperlink" Target="https://finance.yahoo.com/quote/AAPL251017P00220000/" TargetMode="External"/><Relationship Id="rId1909" Type="http://schemas.openxmlformats.org/officeDocument/2006/relationships/hyperlink" Target="https://finance.yahoo.com/quote/AAPL260618C00390000/" TargetMode="External"/><Relationship Id="rId3264" Type="http://schemas.openxmlformats.org/officeDocument/2006/relationships/hyperlink" Target="https://finance.yahoo.com/quote/AAPL/options/?straddle=false&amp;strike=405&amp;type=all" TargetMode="External"/><Relationship Id="rId3471" Type="http://schemas.openxmlformats.org/officeDocument/2006/relationships/hyperlink" Target="https://finance.yahoo.com/quote/AAPL280121C00390000/" TargetMode="External"/><Relationship Id="rId392" Type="http://schemas.openxmlformats.org/officeDocument/2006/relationships/hyperlink" Target="https://finance.yahoo.com/quote/AAPL/options/?straddle=false&amp;strike=290&amp;type=all" TargetMode="External"/><Relationship Id="rId2073" Type="http://schemas.openxmlformats.org/officeDocument/2006/relationships/hyperlink" Target="https://finance.yahoo.com/quote/AAPL260821C00180000/" TargetMode="External"/><Relationship Id="rId2280" Type="http://schemas.openxmlformats.org/officeDocument/2006/relationships/hyperlink" Target="https://finance.yahoo.com/quote/AAPL/options/?straddle=false&amp;strike=300&amp;type=all" TargetMode="External"/><Relationship Id="rId3124" Type="http://schemas.openxmlformats.org/officeDocument/2006/relationships/hyperlink" Target="https://finance.yahoo.com/quote/AAPL/options/?straddle=false&amp;strike=55&amp;type=all" TargetMode="External"/><Relationship Id="rId3331" Type="http://schemas.openxmlformats.org/officeDocument/2006/relationships/hyperlink" Target="https://finance.yahoo.com/quote/AAPL271217P00180000/" TargetMode="External"/><Relationship Id="rId252" Type="http://schemas.openxmlformats.org/officeDocument/2006/relationships/hyperlink" Target="https://finance.yahoo.com/quote/AAPL/options/?straddle=false&amp;strike=360&amp;type=all" TargetMode="External"/><Relationship Id="rId2140" Type="http://schemas.openxmlformats.org/officeDocument/2006/relationships/hyperlink" Target="https://finance.yahoo.com/quote/AAPL/options/?straddle=false&amp;strike=175&amp;type=all" TargetMode="External"/><Relationship Id="rId112" Type="http://schemas.openxmlformats.org/officeDocument/2006/relationships/hyperlink" Target="https://finance.yahoo.com/quote/AAPL/options/?straddle=false&amp;strike=320&amp;type=all" TargetMode="External"/><Relationship Id="rId1699" Type="http://schemas.openxmlformats.org/officeDocument/2006/relationships/hyperlink" Target="https://finance.yahoo.com/quote/AAPL260515P00070000/" TargetMode="External"/><Relationship Id="rId2000" Type="http://schemas.openxmlformats.org/officeDocument/2006/relationships/hyperlink" Target="https://finance.yahoo.com/quote/AAPL/options/?straddle=false&amp;strike=225&amp;type=all" TargetMode="External"/><Relationship Id="rId2957" Type="http://schemas.openxmlformats.org/officeDocument/2006/relationships/hyperlink" Target="https://finance.yahoo.com/quote/AAPL270617C00195000/" TargetMode="External"/><Relationship Id="rId929" Type="http://schemas.openxmlformats.org/officeDocument/2006/relationships/hyperlink" Target="https://finance.yahoo.com/quote/AAPL260116C00285000/" TargetMode="External"/><Relationship Id="rId1559" Type="http://schemas.openxmlformats.org/officeDocument/2006/relationships/hyperlink" Target="https://finance.yahoo.com/quote/AAPL260417P00205000/" TargetMode="External"/><Relationship Id="rId1766" Type="http://schemas.openxmlformats.org/officeDocument/2006/relationships/hyperlink" Target="https://finance.yahoo.com/quote/AAPL/options/?straddle=false&amp;strike=280&amp;type=all" TargetMode="External"/><Relationship Id="rId1973" Type="http://schemas.openxmlformats.org/officeDocument/2006/relationships/hyperlink" Target="https://finance.yahoo.com/quote/AAPL260618P00160000/" TargetMode="External"/><Relationship Id="rId2817" Type="http://schemas.openxmlformats.org/officeDocument/2006/relationships/hyperlink" Target="https://finance.yahoo.com/quote/AAPL270115P00115000/" TargetMode="External"/><Relationship Id="rId58" Type="http://schemas.openxmlformats.org/officeDocument/2006/relationships/hyperlink" Target="https://finance.yahoo.com/quote/AAPL/options/?straddle=false&amp;strike=230&amp;type=all" TargetMode="External"/><Relationship Id="rId1419" Type="http://schemas.openxmlformats.org/officeDocument/2006/relationships/hyperlink" Target="https://finance.yahoo.com/quote/AAPL260320P00260000/" TargetMode="External"/><Relationship Id="rId1626" Type="http://schemas.openxmlformats.org/officeDocument/2006/relationships/hyperlink" Target="https://finance.yahoo.com/quote/AAPL/options/?straddle=false&amp;strike=155&amp;type=all" TargetMode="External"/><Relationship Id="rId1833" Type="http://schemas.openxmlformats.org/officeDocument/2006/relationships/hyperlink" Target="https://finance.yahoo.com/quote/AAPL260618C00150000/" TargetMode="External"/><Relationship Id="rId1900" Type="http://schemas.openxmlformats.org/officeDocument/2006/relationships/hyperlink" Target="https://finance.yahoo.com/quote/AAPL/options/?straddle=false&amp;strike=340&amp;type=all" TargetMode="External"/><Relationship Id="rId3658" Type="http://schemas.openxmlformats.org/officeDocument/2006/relationships/hyperlink" Target="https://finance.yahoo.com/quote/AAPL/options/?straddle=false&amp;strike=155&amp;type=all" TargetMode="External"/><Relationship Id="rId579" Type="http://schemas.openxmlformats.org/officeDocument/2006/relationships/hyperlink" Target="https://finance.yahoo.com/quote/AAPL251107C00295000/" TargetMode="External"/><Relationship Id="rId786" Type="http://schemas.openxmlformats.org/officeDocument/2006/relationships/hyperlink" Target="https://finance.yahoo.com/quote/AAPL/options/?straddle=false&amp;strike=245&amp;type=all" TargetMode="External"/><Relationship Id="rId993" Type="http://schemas.openxmlformats.org/officeDocument/2006/relationships/hyperlink" Target="https://finance.yahoo.com/quote/AAPL260116P00090000/" TargetMode="External"/><Relationship Id="rId2467" Type="http://schemas.openxmlformats.org/officeDocument/2006/relationships/hyperlink" Target="https://finance.yahoo.com/quote/AAPL261218C00155000/" TargetMode="External"/><Relationship Id="rId2674" Type="http://schemas.openxmlformats.org/officeDocument/2006/relationships/hyperlink" Target="https://finance.yahoo.com/quote/AAPL/options/?straddle=false&amp;strike=50&amp;type=all" TargetMode="External"/><Relationship Id="rId3518" Type="http://schemas.openxmlformats.org/officeDocument/2006/relationships/hyperlink" Target="https://finance.yahoo.com/quote/AAPL/options/?straddle=false&amp;strike=210&amp;type=all" TargetMode="External"/><Relationship Id="rId439" Type="http://schemas.openxmlformats.org/officeDocument/2006/relationships/hyperlink" Target="https://finance.yahoo.com/quote/AAPL251031C00265000/" TargetMode="External"/><Relationship Id="rId646" Type="http://schemas.openxmlformats.org/officeDocument/2006/relationships/hyperlink" Target="https://finance.yahoo.com/quote/AAPL/options/?straddle=false&amp;strike=150&amp;type=all" TargetMode="External"/><Relationship Id="rId1069" Type="http://schemas.openxmlformats.org/officeDocument/2006/relationships/hyperlink" Target="https://finance.yahoo.com/quote/AAPL260116P00280000/" TargetMode="External"/><Relationship Id="rId1276" Type="http://schemas.openxmlformats.org/officeDocument/2006/relationships/hyperlink" Target="https://finance.yahoo.com/quote/AAPL/options/?straddle=false&amp;strike=290&amp;type=all" TargetMode="External"/><Relationship Id="rId1483" Type="http://schemas.openxmlformats.org/officeDocument/2006/relationships/hyperlink" Target="https://finance.yahoo.com/quote/AAPL260417C00245000/" TargetMode="External"/><Relationship Id="rId2327" Type="http://schemas.openxmlformats.org/officeDocument/2006/relationships/hyperlink" Target="https://finance.yahoo.com/quote/AAPL260918P00115000/" TargetMode="External"/><Relationship Id="rId2881" Type="http://schemas.openxmlformats.org/officeDocument/2006/relationships/hyperlink" Target="https://finance.yahoo.com/quote/AAPL270115P00350000/" TargetMode="External"/><Relationship Id="rId3725" Type="http://schemas.openxmlformats.org/officeDocument/2006/relationships/hyperlink" Target="https://finance.yahoo.com/quote/AAPL251010P00270000/" TargetMode="External"/><Relationship Id="rId506" Type="http://schemas.openxmlformats.org/officeDocument/2006/relationships/hyperlink" Target="https://finance.yahoo.com/quote/AAPL/options/?straddle=false&amp;strike=220&amp;type=all" TargetMode="External"/><Relationship Id="rId853" Type="http://schemas.openxmlformats.org/officeDocument/2006/relationships/hyperlink" Target="https://finance.yahoo.com/quote/AAPL260116C00095000/" TargetMode="External"/><Relationship Id="rId1136" Type="http://schemas.openxmlformats.org/officeDocument/2006/relationships/hyperlink" Target="https://finance.yahoo.com/quote/AAPL/options/?straddle=false&amp;strike=195&amp;type=all" TargetMode="External"/><Relationship Id="rId1690" Type="http://schemas.openxmlformats.org/officeDocument/2006/relationships/hyperlink" Target="https://finance.yahoo.com/quote/AAPL/options/?straddle=false&amp;strike=15&amp;type=all" TargetMode="External"/><Relationship Id="rId2534" Type="http://schemas.openxmlformats.org/officeDocument/2006/relationships/hyperlink" Target="https://finance.yahoo.com/quote/AAPL/options/?straddle=false&amp;strike=440&amp;type=all" TargetMode="External"/><Relationship Id="rId2741" Type="http://schemas.openxmlformats.org/officeDocument/2006/relationships/hyperlink" Target="https://finance.yahoo.com/quote/AAPL270115C00270000/" TargetMode="External"/><Relationship Id="rId713" Type="http://schemas.openxmlformats.org/officeDocument/2006/relationships/hyperlink" Target="https://finance.yahoo.com/quote/AAPL251121C00320000/" TargetMode="External"/><Relationship Id="rId920" Type="http://schemas.openxmlformats.org/officeDocument/2006/relationships/hyperlink" Target="https://finance.yahoo.com/quote/AAPL/options/?straddle=false&amp;strike=260&amp;type=all" TargetMode="External"/><Relationship Id="rId1343" Type="http://schemas.openxmlformats.org/officeDocument/2006/relationships/hyperlink" Target="https://finance.yahoo.com/quote/AAPL260320C00280000/" TargetMode="External"/><Relationship Id="rId1550" Type="http://schemas.openxmlformats.org/officeDocument/2006/relationships/hyperlink" Target="https://finance.yahoo.com/quote/AAPL/options/?straddle=false&amp;strike=180&amp;type=all" TargetMode="External"/><Relationship Id="rId2601" Type="http://schemas.openxmlformats.org/officeDocument/2006/relationships/hyperlink" Target="https://finance.yahoo.com/quote/AAPL261218P00180000/" TargetMode="External"/><Relationship Id="rId1203" Type="http://schemas.openxmlformats.org/officeDocument/2006/relationships/hyperlink" Target="https://finance.yahoo.com/quote/AAPL260220P00110000/" TargetMode="External"/><Relationship Id="rId1410" Type="http://schemas.openxmlformats.org/officeDocument/2006/relationships/hyperlink" Target="https://finance.yahoo.com/quote/AAPL/options/?straddle=false&amp;strike=210&amp;type=all" TargetMode="External"/><Relationship Id="rId3168" Type="http://schemas.openxmlformats.org/officeDocument/2006/relationships/hyperlink" Target="https://finance.yahoo.com/quote/AAPL/options/?straddle=false&amp;strike=165&amp;type=all" TargetMode="External"/><Relationship Id="rId3375" Type="http://schemas.openxmlformats.org/officeDocument/2006/relationships/hyperlink" Target="https://finance.yahoo.com/quote/AAPL271217P00290000/" TargetMode="External"/><Relationship Id="rId3582" Type="http://schemas.openxmlformats.org/officeDocument/2006/relationships/hyperlink" Target="https://finance.yahoo.com/quote/AAPL/options/?straddle=false&amp;strike=222.5&amp;type=all" TargetMode="External"/><Relationship Id="rId296" Type="http://schemas.openxmlformats.org/officeDocument/2006/relationships/hyperlink" Target="https://finance.yahoo.com/quote/AAPL/options/?straddle=false&amp;strike=250&amp;type=all" TargetMode="External"/><Relationship Id="rId2184" Type="http://schemas.openxmlformats.org/officeDocument/2006/relationships/hyperlink" Target="https://finance.yahoo.com/quote/AAPL/options/?straddle=false&amp;strike=60&amp;type=all" TargetMode="External"/><Relationship Id="rId2391" Type="http://schemas.openxmlformats.org/officeDocument/2006/relationships/hyperlink" Target="https://finance.yahoo.com/quote/AAPL260918P00275000/" TargetMode="External"/><Relationship Id="rId3028" Type="http://schemas.openxmlformats.org/officeDocument/2006/relationships/hyperlink" Target="https://finance.yahoo.com/quote/AAPL/options/?straddle=false&amp;strike=90&amp;type=all" TargetMode="External"/><Relationship Id="rId3235" Type="http://schemas.openxmlformats.org/officeDocument/2006/relationships/hyperlink" Target="https://finance.yahoo.com/quote/AAPL271217C00335000/" TargetMode="External"/><Relationship Id="rId3442" Type="http://schemas.openxmlformats.org/officeDocument/2006/relationships/hyperlink" Target="https://finance.yahoo.com/quote/AAPL/options/?straddle=false&amp;strike=240&amp;type=all" TargetMode="External"/><Relationship Id="rId156" Type="http://schemas.openxmlformats.org/officeDocument/2006/relationships/hyperlink" Target="https://finance.yahoo.com/quote/AAPL/options/?straddle=false&amp;strike=150&amp;type=all" TargetMode="External"/><Relationship Id="rId363" Type="http://schemas.openxmlformats.org/officeDocument/2006/relationships/hyperlink" Target="https://finance.yahoo.com/quote/AAPL251024P00215000/" TargetMode="External"/><Relationship Id="rId570" Type="http://schemas.openxmlformats.org/officeDocument/2006/relationships/hyperlink" Target="https://finance.yahoo.com/quote/AAPL/options/?straddle=false&amp;strike=270&amp;type=all" TargetMode="External"/><Relationship Id="rId2044" Type="http://schemas.openxmlformats.org/officeDocument/2006/relationships/hyperlink" Target="https://finance.yahoo.com/quote/AAPL/options/?straddle=false&amp;strike=380&amp;type=all" TargetMode="External"/><Relationship Id="rId2251" Type="http://schemas.openxmlformats.org/officeDocument/2006/relationships/hyperlink" Target="https://finance.yahoo.com/quote/AAPL260918C00230000/" TargetMode="External"/><Relationship Id="rId3302" Type="http://schemas.openxmlformats.org/officeDocument/2006/relationships/hyperlink" Target="https://finance.yahoo.com/quote/AAPL/options/?straddle=false&amp;strike=105&amp;type=all" TargetMode="External"/><Relationship Id="rId223" Type="http://schemas.openxmlformats.org/officeDocument/2006/relationships/hyperlink" Target="https://finance.yahoo.com/quote/AAPL251017P00267500/" TargetMode="External"/><Relationship Id="rId430" Type="http://schemas.openxmlformats.org/officeDocument/2006/relationships/hyperlink" Target="https://finance.yahoo.com/quote/AAPL/options/?straddle=false&amp;strike=240&amp;type=all" TargetMode="External"/><Relationship Id="rId1060" Type="http://schemas.openxmlformats.org/officeDocument/2006/relationships/hyperlink" Target="https://finance.yahoo.com/quote/AAPL/options/?straddle=false&amp;strike=255&amp;type=all" TargetMode="External"/><Relationship Id="rId2111" Type="http://schemas.openxmlformats.org/officeDocument/2006/relationships/hyperlink" Target="https://finance.yahoo.com/quote/AAPL260821C00350000/" TargetMode="External"/><Relationship Id="rId1877" Type="http://schemas.openxmlformats.org/officeDocument/2006/relationships/hyperlink" Target="https://finance.yahoo.com/quote/AAPL260618C00260000/" TargetMode="External"/><Relationship Id="rId2928" Type="http://schemas.openxmlformats.org/officeDocument/2006/relationships/hyperlink" Target="https://finance.yahoo.com/quote/AAPL/options/?straddle=false&amp;strike=120&amp;type=all" TargetMode="External"/><Relationship Id="rId1737" Type="http://schemas.openxmlformats.org/officeDocument/2006/relationships/hyperlink" Target="https://finance.yahoo.com/quote/AAPL260515P00170000/" TargetMode="External"/><Relationship Id="rId1944" Type="http://schemas.openxmlformats.org/officeDocument/2006/relationships/hyperlink" Target="https://finance.yahoo.com/quote/AAPL/options/?straddle=false&amp;strike=85&amp;type=all" TargetMode="External"/><Relationship Id="rId3092" Type="http://schemas.openxmlformats.org/officeDocument/2006/relationships/hyperlink" Target="https://finance.yahoo.com/quote/AAPL/options/?straddle=false&amp;strike=300&amp;type=all" TargetMode="External"/><Relationship Id="rId29" Type="http://schemas.openxmlformats.org/officeDocument/2006/relationships/hyperlink" Target="https://finance.yahoo.com/quote/AAPL251017C00175000/" TargetMode="External"/><Relationship Id="rId1804" Type="http://schemas.openxmlformats.org/officeDocument/2006/relationships/hyperlink" Target="https://finance.yahoo.com/quote/AAPL/options/?straddle=false&amp;strike=75&amp;type=all" TargetMode="External"/><Relationship Id="rId897" Type="http://schemas.openxmlformats.org/officeDocument/2006/relationships/hyperlink" Target="https://finance.yahoo.com/quote/AAPL260116C00205000/" TargetMode="External"/><Relationship Id="rId2578" Type="http://schemas.openxmlformats.org/officeDocument/2006/relationships/hyperlink" Target="https://finance.yahoo.com/quote/AAPL/options/?straddle=false&amp;strike=120&amp;type=all" TargetMode="External"/><Relationship Id="rId2785" Type="http://schemas.openxmlformats.org/officeDocument/2006/relationships/hyperlink" Target="https://finance.yahoo.com/quote/AAPL270115P00020000/" TargetMode="External"/><Relationship Id="rId2992" Type="http://schemas.openxmlformats.org/officeDocument/2006/relationships/hyperlink" Target="https://finance.yahoo.com/quote/AAPL/options/?straddle=false&amp;strike=360&amp;type=all" TargetMode="External"/><Relationship Id="rId3629" Type="http://schemas.openxmlformats.org/officeDocument/2006/relationships/hyperlink" Target="https://finance.yahoo.com/quote/AAPL251010C00290000/" TargetMode="External"/><Relationship Id="rId757" Type="http://schemas.openxmlformats.org/officeDocument/2006/relationships/hyperlink" Target="https://finance.yahoo.com/quote/AAPL251121P00175000/" TargetMode="External"/><Relationship Id="rId964" Type="http://schemas.openxmlformats.org/officeDocument/2006/relationships/hyperlink" Target="https://finance.yahoo.com/quote/AAPL/options/?straddle=false&amp;strike=15&amp;type=all" TargetMode="External"/><Relationship Id="rId1387" Type="http://schemas.openxmlformats.org/officeDocument/2006/relationships/hyperlink" Target="https://finance.yahoo.com/quote/AAPL260320P00150000/" TargetMode="External"/><Relationship Id="rId1594" Type="http://schemas.openxmlformats.org/officeDocument/2006/relationships/hyperlink" Target="https://finance.yahoo.com/quote/AAPL/options/?straddle=false&amp;strike=290&amp;type=all" TargetMode="External"/><Relationship Id="rId2438" Type="http://schemas.openxmlformats.org/officeDocument/2006/relationships/hyperlink" Target="https://finance.yahoo.com/quote/AAPL/options/?straddle=false&amp;strike=80&amp;type=all" TargetMode="External"/><Relationship Id="rId2645" Type="http://schemas.openxmlformats.org/officeDocument/2006/relationships/hyperlink" Target="https://finance.yahoo.com/quote/AAPL261218P00390000/" TargetMode="External"/><Relationship Id="rId2852" Type="http://schemas.openxmlformats.org/officeDocument/2006/relationships/hyperlink" Target="https://finance.yahoo.com/quote/AAPL/options/?straddle=false&amp;strike=200&amp;type=all" TargetMode="External"/><Relationship Id="rId93" Type="http://schemas.openxmlformats.org/officeDocument/2006/relationships/hyperlink" Target="https://finance.yahoo.com/quote/AAPL251017C00275000/" TargetMode="External"/><Relationship Id="rId617" Type="http://schemas.openxmlformats.org/officeDocument/2006/relationships/hyperlink" Target="https://finance.yahoo.com/quote/AAPL251107P00250000/" TargetMode="External"/><Relationship Id="rId824" Type="http://schemas.openxmlformats.org/officeDocument/2006/relationships/hyperlink" Target="https://finance.yahoo.com/quote/AAPL/options/?straddle=false&amp;strike=20&amp;type=all" TargetMode="External"/><Relationship Id="rId1247" Type="http://schemas.openxmlformats.org/officeDocument/2006/relationships/hyperlink" Target="https://finance.yahoo.com/quote/AAPL260220P00220000/" TargetMode="External"/><Relationship Id="rId1454" Type="http://schemas.openxmlformats.org/officeDocument/2006/relationships/hyperlink" Target="https://finance.yahoo.com/quote/AAPL/options/?straddle=false&amp;strike=170&amp;type=all" TargetMode="External"/><Relationship Id="rId1661" Type="http://schemas.openxmlformats.org/officeDocument/2006/relationships/hyperlink" Target="https://finance.yahoo.com/quote/AAPL260515C00290000/" TargetMode="External"/><Relationship Id="rId2505" Type="http://schemas.openxmlformats.org/officeDocument/2006/relationships/hyperlink" Target="https://finance.yahoo.com/quote/AAPL261218C00300000/" TargetMode="External"/><Relationship Id="rId2712" Type="http://schemas.openxmlformats.org/officeDocument/2006/relationships/hyperlink" Target="https://finance.yahoo.com/quote/AAPL/options/?straddle=false&amp;strike=160&amp;type=all" TargetMode="External"/><Relationship Id="rId1107" Type="http://schemas.openxmlformats.org/officeDocument/2006/relationships/hyperlink" Target="https://finance.yahoo.com/quote/AAPL260220C00125000/" TargetMode="External"/><Relationship Id="rId1314" Type="http://schemas.openxmlformats.org/officeDocument/2006/relationships/hyperlink" Target="https://finance.yahoo.com/quote/AAPL/options/?straddle=false&amp;strike=165&amp;type=all" TargetMode="External"/><Relationship Id="rId1521" Type="http://schemas.openxmlformats.org/officeDocument/2006/relationships/hyperlink" Target="https://finance.yahoo.com/quote/AAPL260417C00350000/" TargetMode="External"/><Relationship Id="rId3279" Type="http://schemas.openxmlformats.org/officeDocument/2006/relationships/hyperlink" Target="https://finance.yahoo.com/quote/AAPL271217P00050000/" TargetMode="External"/><Relationship Id="rId3486" Type="http://schemas.openxmlformats.org/officeDocument/2006/relationships/hyperlink" Target="https://finance.yahoo.com/quote/AAPL/options/?straddle=false&amp;strike=100&amp;type=all" TargetMode="External"/><Relationship Id="rId3693" Type="http://schemas.openxmlformats.org/officeDocument/2006/relationships/hyperlink" Target="https://finance.yahoo.com/quote/AAPL251010P00230000/" TargetMode="External"/><Relationship Id="rId20" Type="http://schemas.openxmlformats.org/officeDocument/2006/relationships/hyperlink" Target="https://finance.yahoo.com/quote/AAPL/options/?straddle=false&amp;strike=150&amp;type=all" TargetMode="External"/><Relationship Id="rId2088" Type="http://schemas.openxmlformats.org/officeDocument/2006/relationships/hyperlink" Target="https://finance.yahoo.com/quote/AAPL/options/?straddle=false&amp;strike=230&amp;type=all" TargetMode="External"/><Relationship Id="rId2295" Type="http://schemas.openxmlformats.org/officeDocument/2006/relationships/hyperlink" Target="https://finance.yahoo.com/quote/AAPL260918C00380000/" TargetMode="External"/><Relationship Id="rId3139" Type="http://schemas.openxmlformats.org/officeDocument/2006/relationships/hyperlink" Target="https://finance.yahoo.com/quote/AAPL271217C00095000/" TargetMode="External"/><Relationship Id="rId3346" Type="http://schemas.openxmlformats.org/officeDocument/2006/relationships/hyperlink" Target="https://finance.yahoo.com/quote/AAPL/options/?straddle=false&amp;strike=215&amp;type=all" TargetMode="External"/><Relationship Id="rId267" Type="http://schemas.openxmlformats.org/officeDocument/2006/relationships/hyperlink" Target="https://finance.yahoo.com/quote/AAPL251024C00180000/" TargetMode="External"/><Relationship Id="rId474" Type="http://schemas.openxmlformats.org/officeDocument/2006/relationships/hyperlink" Target="https://finance.yahoo.com/quote/AAPL/options/?straddle=false&amp;strike=140&amp;type=all" TargetMode="External"/><Relationship Id="rId2155" Type="http://schemas.openxmlformats.org/officeDocument/2006/relationships/hyperlink" Target="https://finance.yahoo.com/quote/AAPL260821P00230000/" TargetMode="External"/><Relationship Id="rId3553" Type="http://schemas.openxmlformats.org/officeDocument/2006/relationships/hyperlink" Target="https://finance.yahoo.com/quote/AAPL251010C00160000/" TargetMode="External"/><Relationship Id="rId127" Type="http://schemas.openxmlformats.org/officeDocument/2006/relationships/hyperlink" Target="https://finance.yahoo.com/quote/AAPL251017C00360000/" TargetMode="External"/><Relationship Id="rId681" Type="http://schemas.openxmlformats.org/officeDocument/2006/relationships/hyperlink" Target="https://finance.yahoo.com/quote/AAPL251121C00240000/" TargetMode="External"/><Relationship Id="rId2362" Type="http://schemas.openxmlformats.org/officeDocument/2006/relationships/hyperlink" Target="https://finance.yahoo.com/quote/AAPL/options/?straddle=false&amp;strike=200&amp;type=all" TargetMode="External"/><Relationship Id="rId3206" Type="http://schemas.openxmlformats.org/officeDocument/2006/relationships/hyperlink" Target="https://finance.yahoo.com/quote/AAPL/options/?straddle=false&amp;strike=260&amp;type=all" TargetMode="External"/><Relationship Id="rId3413" Type="http://schemas.openxmlformats.org/officeDocument/2006/relationships/hyperlink" Target="https://finance.yahoo.com/quote/AAPL280121C00135000/" TargetMode="External"/><Relationship Id="rId3620" Type="http://schemas.openxmlformats.org/officeDocument/2006/relationships/hyperlink" Target="https://finance.yahoo.com/quote/AAPL/options/?straddle=false&amp;strike=270&amp;type=all" TargetMode="External"/><Relationship Id="rId334" Type="http://schemas.openxmlformats.org/officeDocument/2006/relationships/hyperlink" Target="https://finance.yahoo.com/quote/AAPL/options/?straddle=false&amp;strike=140&amp;type=all" TargetMode="External"/><Relationship Id="rId541" Type="http://schemas.openxmlformats.org/officeDocument/2006/relationships/hyperlink" Target="https://finance.yahoo.com/quote/AAPL251031P00315000/" TargetMode="External"/><Relationship Id="rId1171" Type="http://schemas.openxmlformats.org/officeDocument/2006/relationships/hyperlink" Target="https://finance.yahoo.com/quote/AAPL260220C00285000/" TargetMode="External"/><Relationship Id="rId2015" Type="http://schemas.openxmlformats.org/officeDocument/2006/relationships/hyperlink" Target="https://finance.yahoo.com/quote/AAPL260618P00265000/" TargetMode="External"/><Relationship Id="rId2222" Type="http://schemas.openxmlformats.org/officeDocument/2006/relationships/hyperlink" Target="https://finance.yahoo.com/quote/AAPL/options/?straddle=false&amp;strike=155&amp;type=all" TargetMode="External"/><Relationship Id="rId401" Type="http://schemas.openxmlformats.org/officeDocument/2006/relationships/hyperlink" Target="https://finance.yahoo.com/quote/AAPL251031C00155000/" TargetMode="External"/><Relationship Id="rId1031" Type="http://schemas.openxmlformats.org/officeDocument/2006/relationships/hyperlink" Target="https://finance.yahoo.com/quote/AAPL260116P00185000/" TargetMode="External"/><Relationship Id="rId1988" Type="http://schemas.openxmlformats.org/officeDocument/2006/relationships/hyperlink" Target="https://finance.yahoo.com/quote/AAPL/options/?straddle=false&amp;strike=195&amp;type=all" TargetMode="External"/><Relationship Id="rId1848" Type="http://schemas.openxmlformats.org/officeDocument/2006/relationships/hyperlink" Target="https://finance.yahoo.com/quote/AAPL/options/?straddle=false&amp;strike=185&amp;type=all" TargetMode="External"/><Relationship Id="rId3063" Type="http://schemas.openxmlformats.org/officeDocument/2006/relationships/hyperlink" Target="https://finance.yahoo.com/quote/AAPL270617P00180000/" TargetMode="External"/><Relationship Id="rId3270" Type="http://schemas.openxmlformats.org/officeDocument/2006/relationships/hyperlink" Target="https://finance.yahoo.com/quote/AAPL/options/?straddle=false&amp;strike=420&amp;type=all" TargetMode="External"/><Relationship Id="rId191" Type="http://schemas.openxmlformats.org/officeDocument/2006/relationships/hyperlink" Target="https://finance.yahoo.com/quote/AAPL251017P00227500/" TargetMode="External"/><Relationship Id="rId1708" Type="http://schemas.openxmlformats.org/officeDocument/2006/relationships/hyperlink" Target="https://finance.yahoo.com/quote/AAPL/options/?straddle=false&amp;strike=95&amp;type=all" TargetMode="External"/><Relationship Id="rId1915" Type="http://schemas.openxmlformats.org/officeDocument/2006/relationships/hyperlink" Target="https://finance.yahoo.com/quote/AAPL260618P00015000/" TargetMode="External"/><Relationship Id="rId3130" Type="http://schemas.openxmlformats.org/officeDocument/2006/relationships/hyperlink" Target="https://finance.yahoo.com/quote/AAPL/options/?straddle=false&amp;strike=70&amp;type=all" TargetMode="External"/><Relationship Id="rId2689" Type="http://schemas.openxmlformats.org/officeDocument/2006/relationships/hyperlink" Target="https://finance.yahoo.com/quote/AAPL270115C00105000/" TargetMode="External"/><Relationship Id="rId2896" Type="http://schemas.openxmlformats.org/officeDocument/2006/relationships/hyperlink" Target="https://finance.yahoo.com/quote/AAPL/options/?straddle=false&amp;strike=440&amp;type=all" TargetMode="External"/><Relationship Id="rId868" Type="http://schemas.openxmlformats.org/officeDocument/2006/relationships/hyperlink" Target="https://finance.yahoo.com/quote/AAPL/options/?straddle=false&amp;strike=130&amp;type=all" TargetMode="External"/><Relationship Id="rId1498" Type="http://schemas.openxmlformats.org/officeDocument/2006/relationships/hyperlink" Target="https://finance.yahoo.com/quote/AAPL/options/?straddle=false&amp;strike=280&amp;type=all" TargetMode="External"/><Relationship Id="rId2549" Type="http://schemas.openxmlformats.org/officeDocument/2006/relationships/hyperlink" Target="https://finance.yahoo.com/quote/AAPL261218P00035000/" TargetMode="External"/><Relationship Id="rId2756" Type="http://schemas.openxmlformats.org/officeDocument/2006/relationships/hyperlink" Target="https://finance.yahoo.com/quote/AAPL/options/?straddle=false&amp;strike=340&amp;type=all" TargetMode="External"/><Relationship Id="rId2963" Type="http://schemas.openxmlformats.org/officeDocument/2006/relationships/hyperlink" Target="https://finance.yahoo.com/quote/AAPL270617C00220000/" TargetMode="External"/><Relationship Id="rId728" Type="http://schemas.openxmlformats.org/officeDocument/2006/relationships/hyperlink" Target="https://finance.yahoo.com/quote/AAPL/options/?straddle=false&amp;strike=100&amp;type=all" TargetMode="External"/><Relationship Id="rId935" Type="http://schemas.openxmlformats.org/officeDocument/2006/relationships/hyperlink" Target="https://finance.yahoo.com/quote/AAPL260116C00300000/" TargetMode="External"/><Relationship Id="rId1358" Type="http://schemas.openxmlformats.org/officeDocument/2006/relationships/hyperlink" Target="https://finance.yahoo.com/quote/AAPL/options/?straddle=false&amp;strike=350&amp;type=all" TargetMode="External"/><Relationship Id="rId1565" Type="http://schemas.openxmlformats.org/officeDocument/2006/relationships/hyperlink" Target="https://finance.yahoo.com/quote/AAPL260417P00220000/" TargetMode="External"/><Relationship Id="rId1772" Type="http://schemas.openxmlformats.org/officeDocument/2006/relationships/hyperlink" Target="https://finance.yahoo.com/quote/AAPL/options/?straddle=false&amp;strike=310&amp;type=all" TargetMode="External"/><Relationship Id="rId2409" Type="http://schemas.openxmlformats.org/officeDocument/2006/relationships/hyperlink" Target="https://finance.yahoo.com/quote/AAPL260918P00360000/" TargetMode="External"/><Relationship Id="rId2616" Type="http://schemas.openxmlformats.org/officeDocument/2006/relationships/hyperlink" Target="https://finance.yahoo.com/quote/AAPL/options/?straddle=false&amp;strike=230&amp;type=all" TargetMode="External"/><Relationship Id="rId64" Type="http://schemas.openxmlformats.org/officeDocument/2006/relationships/hyperlink" Target="https://finance.yahoo.com/quote/AAPL/options/?straddle=false&amp;strike=237.5&amp;type=all" TargetMode="External"/><Relationship Id="rId1218" Type="http://schemas.openxmlformats.org/officeDocument/2006/relationships/hyperlink" Target="https://finance.yahoo.com/quote/AAPL/options/?straddle=false&amp;strike=145&amp;type=all" TargetMode="External"/><Relationship Id="rId1425" Type="http://schemas.openxmlformats.org/officeDocument/2006/relationships/hyperlink" Target="https://finance.yahoo.com/quote/AAPL260320P00290000/" TargetMode="External"/><Relationship Id="rId2823" Type="http://schemas.openxmlformats.org/officeDocument/2006/relationships/hyperlink" Target="https://finance.yahoo.com/quote/AAPL270115P00130000/" TargetMode="External"/><Relationship Id="rId1632" Type="http://schemas.openxmlformats.org/officeDocument/2006/relationships/hyperlink" Target="https://finance.yahoo.com/quote/AAPL/options/?straddle=false&amp;strike=170&amp;type=all" TargetMode="External"/><Relationship Id="rId2199" Type="http://schemas.openxmlformats.org/officeDocument/2006/relationships/hyperlink" Target="https://finance.yahoo.com/quote/AAPL260918C00100000/" TargetMode="External"/><Relationship Id="rId3597" Type="http://schemas.openxmlformats.org/officeDocument/2006/relationships/hyperlink" Target="https://finance.yahoo.com/quote/AAPL251010C00242500/" TargetMode="External"/><Relationship Id="rId3457" Type="http://schemas.openxmlformats.org/officeDocument/2006/relationships/hyperlink" Target="https://finance.yahoo.com/quote/AAPL280121C00320000/" TargetMode="External"/><Relationship Id="rId3664" Type="http://schemas.openxmlformats.org/officeDocument/2006/relationships/hyperlink" Target="https://finance.yahoo.com/quote/AAPL/options/?straddle=false&amp;strike=170&amp;type=all" TargetMode="External"/><Relationship Id="rId378" Type="http://schemas.openxmlformats.org/officeDocument/2006/relationships/hyperlink" Target="https://finance.yahoo.com/quote/AAPL/options/?straddle=false&amp;strike=250&amp;type=all" TargetMode="External"/><Relationship Id="rId585" Type="http://schemas.openxmlformats.org/officeDocument/2006/relationships/hyperlink" Target="https://finance.yahoo.com/quote/AAPL251107C00320000/" TargetMode="External"/><Relationship Id="rId792" Type="http://schemas.openxmlformats.org/officeDocument/2006/relationships/hyperlink" Target="https://finance.yahoo.com/quote/AAPL/options/?straddle=false&amp;strike=260&amp;type=all" TargetMode="External"/><Relationship Id="rId2059" Type="http://schemas.openxmlformats.org/officeDocument/2006/relationships/hyperlink" Target="https://finance.yahoo.com/quote/AAPL260821C00145000/" TargetMode="External"/><Relationship Id="rId2266" Type="http://schemas.openxmlformats.org/officeDocument/2006/relationships/hyperlink" Target="https://finance.yahoo.com/quote/AAPL/options/?straddle=false&amp;strike=265&amp;type=all" TargetMode="External"/><Relationship Id="rId2473" Type="http://schemas.openxmlformats.org/officeDocument/2006/relationships/hyperlink" Target="https://finance.yahoo.com/quote/AAPL261218C00170000/" TargetMode="External"/><Relationship Id="rId2680" Type="http://schemas.openxmlformats.org/officeDocument/2006/relationships/hyperlink" Target="https://finance.yahoo.com/quote/AAPL/options/?straddle=false&amp;strike=80&amp;type=all" TargetMode="External"/><Relationship Id="rId3317" Type="http://schemas.openxmlformats.org/officeDocument/2006/relationships/hyperlink" Target="https://finance.yahoo.com/quote/AAPL271217P00145000/" TargetMode="External"/><Relationship Id="rId3524" Type="http://schemas.openxmlformats.org/officeDocument/2006/relationships/hyperlink" Target="https://finance.yahoo.com/quote/AAPL/options/?straddle=false&amp;strike=240&amp;type=all" TargetMode="External"/><Relationship Id="rId3731" Type="http://schemas.openxmlformats.org/officeDocument/2006/relationships/hyperlink" Target="https://finance.yahoo.com/quote/AAPL251010P00280000/" TargetMode="External"/><Relationship Id="rId238" Type="http://schemas.openxmlformats.org/officeDocument/2006/relationships/hyperlink" Target="https://finance.yahoo.com/quote/AAPL/options/?straddle=false&amp;strike=300&amp;type=all" TargetMode="External"/><Relationship Id="rId445" Type="http://schemas.openxmlformats.org/officeDocument/2006/relationships/hyperlink" Target="https://finance.yahoo.com/quote/AAPL251031C00280000/" TargetMode="External"/><Relationship Id="rId652" Type="http://schemas.openxmlformats.org/officeDocument/2006/relationships/hyperlink" Target="https://finance.yahoo.com/quote/AAPL/options/?straddle=false&amp;strike=165&amp;type=all" TargetMode="External"/><Relationship Id="rId1075" Type="http://schemas.openxmlformats.org/officeDocument/2006/relationships/hyperlink" Target="https://finance.yahoo.com/quote/AAPL260116P00295000/" TargetMode="External"/><Relationship Id="rId1282" Type="http://schemas.openxmlformats.org/officeDocument/2006/relationships/hyperlink" Target="https://finance.yahoo.com/quote/AAPL/options/?straddle=false&amp;strike=310&amp;type=all" TargetMode="External"/><Relationship Id="rId2126" Type="http://schemas.openxmlformats.org/officeDocument/2006/relationships/hyperlink" Target="https://finance.yahoo.com/quote/AAPL/options/?straddle=false&amp;strike=140&amp;type=all" TargetMode="External"/><Relationship Id="rId2333" Type="http://schemas.openxmlformats.org/officeDocument/2006/relationships/hyperlink" Target="https://finance.yahoo.com/quote/AAPL260918P00130000/" TargetMode="External"/><Relationship Id="rId2540" Type="http://schemas.openxmlformats.org/officeDocument/2006/relationships/hyperlink" Target="https://finance.yahoo.com/quote/AAPL/options/?straddle=false&amp;strike=10&amp;type=all" TargetMode="External"/><Relationship Id="rId305" Type="http://schemas.openxmlformats.org/officeDocument/2006/relationships/hyperlink" Target="https://finance.yahoo.com/quote/AAPL251024C00275000/" TargetMode="External"/><Relationship Id="rId512" Type="http://schemas.openxmlformats.org/officeDocument/2006/relationships/hyperlink" Target="https://finance.yahoo.com/quote/AAPL/options/?straddle=false&amp;strike=235&amp;type=all" TargetMode="External"/><Relationship Id="rId1142" Type="http://schemas.openxmlformats.org/officeDocument/2006/relationships/hyperlink" Target="https://finance.yahoo.com/quote/AAPL/options/?straddle=false&amp;strike=210&amp;type=all" TargetMode="External"/><Relationship Id="rId2400" Type="http://schemas.openxmlformats.org/officeDocument/2006/relationships/hyperlink" Target="https://finance.yahoo.com/quote/AAPL/options/?straddle=false&amp;strike=295&amp;type=all" TargetMode="External"/><Relationship Id="rId1002" Type="http://schemas.openxmlformats.org/officeDocument/2006/relationships/hyperlink" Target="https://finance.yahoo.com/quote/AAPL/options/?straddle=false&amp;strike=110&amp;type=all" TargetMode="External"/><Relationship Id="rId1959" Type="http://schemas.openxmlformats.org/officeDocument/2006/relationships/hyperlink" Target="https://finance.yahoo.com/quote/AAPL260618P00125000/" TargetMode="External"/><Relationship Id="rId3174" Type="http://schemas.openxmlformats.org/officeDocument/2006/relationships/hyperlink" Target="https://finance.yahoo.com/quote/AAPL/options/?straddle=false&amp;strike=180&amp;type=all" TargetMode="External"/><Relationship Id="rId1819" Type="http://schemas.openxmlformats.org/officeDocument/2006/relationships/hyperlink" Target="https://finance.yahoo.com/quote/AAPL260618C00115000/" TargetMode="External"/><Relationship Id="rId3381" Type="http://schemas.openxmlformats.org/officeDocument/2006/relationships/hyperlink" Target="https://finance.yahoo.com/quote/AAPL271217P00305000/" TargetMode="External"/><Relationship Id="rId2190" Type="http://schemas.openxmlformats.org/officeDocument/2006/relationships/hyperlink" Target="https://finance.yahoo.com/quote/AAPL/options/?straddle=false&amp;strike=75&amp;type=all" TargetMode="External"/><Relationship Id="rId3034" Type="http://schemas.openxmlformats.org/officeDocument/2006/relationships/hyperlink" Target="https://finance.yahoo.com/quote/AAPL/options/?straddle=false&amp;strike=105&amp;type=all" TargetMode="External"/><Relationship Id="rId3241" Type="http://schemas.openxmlformats.org/officeDocument/2006/relationships/hyperlink" Target="https://finance.yahoo.com/quote/AAPL271217C00350000/" TargetMode="External"/><Relationship Id="rId162" Type="http://schemas.openxmlformats.org/officeDocument/2006/relationships/hyperlink" Target="https://finance.yahoo.com/quote/AAPL/options/?straddle=false&amp;strike=165&amp;type=all" TargetMode="External"/><Relationship Id="rId2050" Type="http://schemas.openxmlformats.org/officeDocument/2006/relationships/hyperlink" Target="https://finance.yahoo.com/quote/AAPL/options/?straddle=false&amp;strike=120&amp;type=all" TargetMode="External"/><Relationship Id="rId3101" Type="http://schemas.openxmlformats.org/officeDocument/2006/relationships/hyperlink" Target="https://finance.yahoo.com/quote/AAPL270617P00350000/" TargetMode="External"/><Relationship Id="rId979" Type="http://schemas.openxmlformats.org/officeDocument/2006/relationships/hyperlink" Target="https://finance.yahoo.com/quote/AAPL260116P00055000/" TargetMode="External"/><Relationship Id="rId839" Type="http://schemas.openxmlformats.org/officeDocument/2006/relationships/hyperlink" Target="https://finance.yahoo.com/quote/AAPL260116C00060000/" TargetMode="External"/><Relationship Id="rId1469" Type="http://schemas.openxmlformats.org/officeDocument/2006/relationships/hyperlink" Target="https://finance.yahoo.com/quote/AAPL260417C00210000/" TargetMode="External"/><Relationship Id="rId2867" Type="http://schemas.openxmlformats.org/officeDocument/2006/relationships/hyperlink" Target="https://finance.yahoo.com/quote/AAPL270115P00280000/" TargetMode="External"/><Relationship Id="rId1676" Type="http://schemas.openxmlformats.org/officeDocument/2006/relationships/hyperlink" Target="https://finance.yahoo.com/quote/AAPL/options/?straddle=false&amp;strike=360&amp;type=all" TargetMode="External"/><Relationship Id="rId1883" Type="http://schemas.openxmlformats.org/officeDocument/2006/relationships/hyperlink" Target="https://finance.yahoo.com/quote/AAPL260618C00275000/" TargetMode="External"/><Relationship Id="rId2727" Type="http://schemas.openxmlformats.org/officeDocument/2006/relationships/hyperlink" Target="https://finance.yahoo.com/quote/AAPL270115C00200000/" TargetMode="External"/><Relationship Id="rId2934" Type="http://schemas.openxmlformats.org/officeDocument/2006/relationships/hyperlink" Target="https://finance.yahoo.com/quote/AAPL/options/?straddle=false&amp;strike=135&amp;type=all" TargetMode="External"/><Relationship Id="rId906" Type="http://schemas.openxmlformats.org/officeDocument/2006/relationships/hyperlink" Target="https://finance.yahoo.com/quote/AAPL/options/?straddle=false&amp;strike=225&amp;type=all" TargetMode="External"/><Relationship Id="rId1329" Type="http://schemas.openxmlformats.org/officeDocument/2006/relationships/hyperlink" Target="https://finance.yahoo.com/quote/AAPL260320C00210000/" TargetMode="External"/><Relationship Id="rId1536" Type="http://schemas.openxmlformats.org/officeDocument/2006/relationships/hyperlink" Target="https://finance.yahoo.com/quote/AAPL/options/?straddle=false&amp;strike=145&amp;type=all" TargetMode="External"/><Relationship Id="rId1743" Type="http://schemas.openxmlformats.org/officeDocument/2006/relationships/hyperlink" Target="https://finance.yahoo.com/quote/AAPL260515P00185000/" TargetMode="External"/><Relationship Id="rId1950" Type="http://schemas.openxmlformats.org/officeDocument/2006/relationships/hyperlink" Target="https://finance.yahoo.com/quote/AAPL/options/?straddle=false&amp;strike=100&amp;type=all" TargetMode="External"/><Relationship Id="rId35" Type="http://schemas.openxmlformats.org/officeDocument/2006/relationships/hyperlink" Target="https://finance.yahoo.com/quote/AAPL251017C00190000/" TargetMode="External"/><Relationship Id="rId1603" Type="http://schemas.openxmlformats.org/officeDocument/2006/relationships/hyperlink" Target="https://finance.yahoo.com/quote/AAPL260515C00060000/" TargetMode="External"/><Relationship Id="rId1810" Type="http://schemas.openxmlformats.org/officeDocument/2006/relationships/hyperlink" Target="https://finance.yahoo.com/quote/AAPL/options/?straddle=false&amp;strike=90&amp;type=all" TargetMode="External"/><Relationship Id="rId3568" Type="http://schemas.openxmlformats.org/officeDocument/2006/relationships/hyperlink" Target="https://finance.yahoo.com/quote/AAPL/options/?straddle=false&amp;strike=195&amp;type=all" TargetMode="External"/><Relationship Id="rId489" Type="http://schemas.openxmlformats.org/officeDocument/2006/relationships/hyperlink" Target="https://finance.yahoo.com/quote/AAPL251031P00180000/" TargetMode="External"/><Relationship Id="rId696" Type="http://schemas.openxmlformats.org/officeDocument/2006/relationships/hyperlink" Target="https://finance.yahoo.com/quote/AAPL/options/?straddle=false&amp;strike=275&amp;type=all" TargetMode="External"/><Relationship Id="rId2377" Type="http://schemas.openxmlformats.org/officeDocument/2006/relationships/hyperlink" Target="https://finance.yahoo.com/quote/AAPL260918P00240000/" TargetMode="External"/><Relationship Id="rId2584" Type="http://schemas.openxmlformats.org/officeDocument/2006/relationships/hyperlink" Target="https://finance.yahoo.com/quote/AAPL/options/?straddle=false&amp;strike=135&amp;type=all" TargetMode="External"/><Relationship Id="rId2791" Type="http://schemas.openxmlformats.org/officeDocument/2006/relationships/hyperlink" Target="https://finance.yahoo.com/quote/AAPL270115P00035000/" TargetMode="External"/><Relationship Id="rId3428" Type="http://schemas.openxmlformats.org/officeDocument/2006/relationships/hyperlink" Target="https://finance.yahoo.com/quote/AAPL/options/?straddle=false&amp;strike=185&amp;type=all" TargetMode="External"/><Relationship Id="rId3635" Type="http://schemas.openxmlformats.org/officeDocument/2006/relationships/hyperlink" Target="https://finance.yahoo.com/quote/AAPL251010C00305000/" TargetMode="External"/><Relationship Id="rId349" Type="http://schemas.openxmlformats.org/officeDocument/2006/relationships/hyperlink" Target="https://finance.yahoo.com/quote/AAPL251024P00180000/" TargetMode="External"/><Relationship Id="rId556" Type="http://schemas.openxmlformats.org/officeDocument/2006/relationships/hyperlink" Target="https://finance.yahoo.com/quote/AAPL/options/?straddle=false&amp;strike=235&amp;type=all" TargetMode="External"/><Relationship Id="rId763" Type="http://schemas.openxmlformats.org/officeDocument/2006/relationships/hyperlink" Target="https://finance.yahoo.com/quote/AAPL251121P00190000/" TargetMode="External"/><Relationship Id="rId1186" Type="http://schemas.openxmlformats.org/officeDocument/2006/relationships/hyperlink" Target="https://finance.yahoo.com/quote/AAPL/options/?straddle=false&amp;strike=340&amp;type=all" TargetMode="External"/><Relationship Id="rId1393" Type="http://schemas.openxmlformats.org/officeDocument/2006/relationships/hyperlink" Target="https://finance.yahoo.com/quote/AAPL260320P00165000/" TargetMode="External"/><Relationship Id="rId2237" Type="http://schemas.openxmlformats.org/officeDocument/2006/relationships/hyperlink" Target="https://finance.yahoo.com/quote/AAPL260918C00195000/" TargetMode="External"/><Relationship Id="rId2444" Type="http://schemas.openxmlformats.org/officeDocument/2006/relationships/hyperlink" Target="https://finance.yahoo.com/quote/AAPL/options/?straddle=false&amp;strike=95&amp;type=all" TargetMode="External"/><Relationship Id="rId209" Type="http://schemas.openxmlformats.org/officeDocument/2006/relationships/hyperlink" Target="https://finance.yahoo.com/quote/AAPL251017P00250000/" TargetMode="External"/><Relationship Id="rId416" Type="http://schemas.openxmlformats.org/officeDocument/2006/relationships/hyperlink" Target="https://finance.yahoo.com/quote/AAPL/options/?straddle=false&amp;strike=205&amp;type=all" TargetMode="External"/><Relationship Id="rId970" Type="http://schemas.openxmlformats.org/officeDocument/2006/relationships/hyperlink" Target="https://finance.yahoo.com/quote/AAPL/options/?straddle=false&amp;strike=30&amp;type=all" TargetMode="External"/><Relationship Id="rId1046" Type="http://schemas.openxmlformats.org/officeDocument/2006/relationships/hyperlink" Target="https://finance.yahoo.com/quote/AAPL/options/?straddle=false&amp;strike=220&amp;type=all" TargetMode="External"/><Relationship Id="rId1253" Type="http://schemas.openxmlformats.org/officeDocument/2006/relationships/hyperlink" Target="https://finance.yahoo.com/quote/AAPL260220P00235000/" TargetMode="External"/><Relationship Id="rId2651" Type="http://schemas.openxmlformats.org/officeDocument/2006/relationships/hyperlink" Target="https://finance.yahoo.com/quote/AAPL261218P00440000/" TargetMode="External"/><Relationship Id="rId3702" Type="http://schemas.openxmlformats.org/officeDocument/2006/relationships/hyperlink" Target="https://finance.yahoo.com/quote/AAPL/options/?straddle=false&amp;strike=240&amp;type=all" TargetMode="External"/><Relationship Id="rId623" Type="http://schemas.openxmlformats.org/officeDocument/2006/relationships/hyperlink" Target="https://finance.yahoo.com/quote/AAPL251107P00265000/" TargetMode="External"/><Relationship Id="rId830" Type="http://schemas.openxmlformats.org/officeDocument/2006/relationships/hyperlink" Target="https://finance.yahoo.com/quote/AAPL/options/?straddle=false&amp;strike=35&amp;type=all" TargetMode="External"/><Relationship Id="rId1460" Type="http://schemas.openxmlformats.org/officeDocument/2006/relationships/hyperlink" Target="https://finance.yahoo.com/quote/AAPL/options/?straddle=false&amp;strike=185&amp;type=all" TargetMode="External"/><Relationship Id="rId2304" Type="http://schemas.openxmlformats.org/officeDocument/2006/relationships/hyperlink" Target="https://finance.yahoo.com/quote/AAPL/options/?straddle=false&amp;strike=55&amp;type=all" TargetMode="External"/><Relationship Id="rId2511" Type="http://schemas.openxmlformats.org/officeDocument/2006/relationships/hyperlink" Target="https://finance.yahoo.com/quote/AAPL261218C00330000/" TargetMode="External"/><Relationship Id="rId1113" Type="http://schemas.openxmlformats.org/officeDocument/2006/relationships/hyperlink" Target="https://finance.yahoo.com/quote/AAPL260220C00140000/" TargetMode="External"/><Relationship Id="rId1320" Type="http://schemas.openxmlformats.org/officeDocument/2006/relationships/hyperlink" Target="https://finance.yahoo.com/quote/AAPL/options/?straddle=false&amp;strike=180&amp;type=all" TargetMode="External"/><Relationship Id="rId3078" Type="http://schemas.openxmlformats.org/officeDocument/2006/relationships/hyperlink" Target="https://finance.yahoo.com/quote/AAPL/options/?straddle=false&amp;strike=230&amp;type=all" TargetMode="External"/><Relationship Id="rId3285" Type="http://schemas.openxmlformats.org/officeDocument/2006/relationships/hyperlink" Target="https://finance.yahoo.com/quote/AAPL271217P00065000/" TargetMode="External"/><Relationship Id="rId3492" Type="http://schemas.openxmlformats.org/officeDocument/2006/relationships/hyperlink" Target="https://finance.yahoo.com/quote/AAPL/options/?straddle=false&amp;strike=130&amp;type=all" TargetMode="External"/><Relationship Id="rId2094" Type="http://schemas.openxmlformats.org/officeDocument/2006/relationships/hyperlink" Target="https://finance.yahoo.com/quote/AAPL/options/?straddle=false&amp;strike=260&amp;type=all" TargetMode="External"/><Relationship Id="rId3145" Type="http://schemas.openxmlformats.org/officeDocument/2006/relationships/hyperlink" Target="https://finance.yahoo.com/quote/AAPL271217C00110000/" TargetMode="External"/><Relationship Id="rId3352" Type="http://schemas.openxmlformats.org/officeDocument/2006/relationships/hyperlink" Target="https://finance.yahoo.com/quote/AAPL/options/?straddle=false&amp;strike=230&amp;type=all" TargetMode="External"/><Relationship Id="rId273" Type="http://schemas.openxmlformats.org/officeDocument/2006/relationships/hyperlink" Target="https://finance.yahoo.com/quote/AAPL251024C00195000/" TargetMode="External"/><Relationship Id="rId480" Type="http://schemas.openxmlformats.org/officeDocument/2006/relationships/hyperlink" Target="https://finance.yahoo.com/quote/AAPL/options/?straddle=false&amp;strike=155&amp;type=all" TargetMode="External"/><Relationship Id="rId2161" Type="http://schemas.openxmlformats.org/officeDocument/2006/relationships/hyperlink" Target="https://finance.yahoo.com/quote/AAPL260821P00260000/" TargetMode="External"/><Relationship Id="rId3005" Type="http://schemas.openxmlformats.org/officeDocument/2006/relationships/hyperlink" Target="https://finance.yahoo.com/quote/AAPL270617C00430000/" TargetMode="External"/><Relationship Id="rId3212" Type="http://schemas.openxmlformats.org/officeDocument/2006/relationships/hyperlink" Target="https://finance.yahoo.com/quote/AAPL/options/?straddle=false&amp;strike=275&amp;type=all" TargetMode="External"/><Relationship Id="rId133" Type="http://schemas.openxmlformats.org/officeDocument/2006/relationships/hyperlink" Target="https://finance.yahoo.com/quote/AAPL251017P00095000/" TargetMode="External"/><Relationship Id="rId340" Type="http://schemas.openxmlformats.org/officeDocument/2006/relationships/hyperlink" Target="https://finance.yahoo.com/quote/AAPL/options/?straddle=false&amp;strike=155&amp;type=all" TargetMode="External"/><Relationship Id="rId2021" Type="http://schemas.openxmlformats.org/officeDocument/2006/relationships/hyperlink" Target="https://finance.yahoo.com/quote/AAPL260618P00280000/" TargetMode="External"/><Relationship Id="rId200" Type="http://schemas.openxmlformats.org/officeDocument/2006/relationships/hyperlink" Target="https://finance.yahoo.com/quote/AAPL/options/?straddle=false&amp;strike=237.5&amp;type=all" TargetMode="External"/><Relationship Id="rId2978" Type="http://schemas.openxmlformats.org/officeDocument/2006/relationships/hyperlink" Target="https://finance.yahoo.com/quote/AAPL/options/?straddle=false&amp;strike=290&amp;type=all" TargetMode="External"/><Relationship Id="rId1787" Type="http://schemas.openxmlformats.org/officeDocument/2006/relationships/hyperlink" Target="https://finance.yahoo.com/quote/AAPL260618C00035000/" TargetMode="External"/><Relationship Id="rId1994" Type="http://schemas.openxmlformats.org/officeDocument/2006/relationships/hyperlink" Target="https://finance.yahoo.com/quote/AAPL/options/?straddle=false&amp;strike=210&amp;type=all" TargetMode="External"/><Relationship Id="rId2838" Type="http://schemas.openxmlformats.org/officeDocument/2006/relationships/hyperlink" Target="https://finance.yahoo.com/quote/AAPL/options/?straddle=false&amp;strike=165&amp;type=all" TargetMode="External"/><Relationship Id="rId79" Type="http://schemas.openxmlformats.org/officeDocument/2006/relationships/hyperlink" Target="https://finance.yahoo.com/quote/AAPL251017C00257500/" TargetMode="External"/><Relationship Id="rId1647" Type="http://schemas.openxmlformats.org/officeDocument/2006/relationships/hyperlink" Target="https://finance.yahoo.com/quote/AAPL260515C00220000/" TargetMode="External"/><Relationship Id="rId1854" Type="http://schemas.openxmlformats.org/officeDocument/2006/relationships/hyperlink" Target="https://finance.yahoo.com/quote/AAPL/options/?straddle=false&amp;strike=200&amp;type=all" TargetMode="External"/><Relationship Id="rId2905" Type="http://schemas.openxmlformats.org/officeDocument/2006/relationships/hyperlink" Target="https://finance.yahoo.com/quote/AAPL270617C00065000/" TargetMode="External"/><Relationship Id="rId1507" Type="http://schemas.openxmlformats.org/officeDocument/2006/relationships/hyperlink" Target="https://finance.yahoo.com/quote/AAPL260417C00305000/" TargetMode="External"/><Relationship Id="rId1714" Type="http://schemas.openxmlformats.org/officeDocument/2006/relationships/hyperlink" Target="https://finance.yahoo.com/quote/AAPL/options/?straddle=false&amp;strike=110&amp;type=all" TargetMode="External"/><Relationship Id="rId1921" Type="http://schemas.openxmlformats.org/officeDocument/2006/relationships/hyperlink" Target="https://finance.yahoo.com/quote/AAPL260618P00030000/" TargetMode="External"/><Relationship Id="rId3679" Type="http://schemas.openxmlformats.org/officeDocument/2006/relationships/hyperlink" Target="https://finance.yahoo.com/quote/AAPL251010P00210000/" TargetMode="External"/><Relationship Id="rId2488" Type="http://schemas.openxmlformats.org/officeDocument/2006/relationships/hyperlink" Target="https://finance.yahoo.com/quote/AAPL/options/?straddle=false&amp;strike=210&amp;type=all" TargetMode="External"/><Relationship Id="rId1297" Type="http://schemas.openxmlformats.org/officeDocument/2006/relationships/hyperlink" Target="https://finance.yahoo.com/quote/AAPL260320C00125000/" TargetMode="External"/><Relationship Id="rId2695" Type="http://schemas.openxmlformats.org/officeDocument/2006/relationships/hyperlink" Target="https://finance.yahoo.com/quote/AAPL270115C00120000/" TargetMode="External"/><Relationship Id="rId3539" Type="http://schemas.openxmlformats.org/officeDocument/2006/relationships/hyperlink" Target="https://finance.yahoo.com/quote/AAPL280121P00320000/" TargetMode="External"/><Relationship Id="rId667" Type="http://schemas.openxmlformats.org/officeDocument/2006/relationships/hyperlink" Target="https://finance.yahoo.com/quote/AAPL251121C00205000/" TargetMode="External"/><Relationship Id="rId874" Type="http://schemas.openxmlformats.org/officeDocument/2006/relationships/hyperlink" Target="https://finance.yahoo.com/quote/AAPL/options/?straddle=false&amp;strike=145&amp;type=all" TargetMode="External"/><Relationship Id="rId2348" Type="http://schemas.openxmlformats.org/officeDocument/2006/relationships/hyperlink" Target="https://finance.yahoo.com/quote/AAPL/options/?straddle=false&amp;strike=165&amp;type=all" TargetMode="External"/><Relationship Id="rId2555" Type="http://schemas.openxmlformats.org/officeDocument/2006/relationships/hyperlink" Target="https://finance.yahoo.com/quote/AAPL261218P00050000/" TargetMode="External"/><Relationship Id="rId2762" Type="http://schemas.openxmlformats.org/officeDocument/2006/relationships/hyperlink" Target="https://finance.yahoo.com/quote/AAPL/options/?straddle=false&amp;strike=370&amp;type=all" TargetMode="External"/><Relationship Id="rId3606" Type="http://schemas.openxmlformats.org/officeDocument/2006/relationships/hyperlink" Target="https://finance.yahoo.com/quote/AAPL/options/?straddle=false&amp;strike=252.5&amp;type=all" TargetMode="External"/><Relationship Id="rId527" Type="http://schemas.openxmlformats.org/officeDocument/2006/relationships/hyperlink" Target="https://finance.yahoo.com/quote/AAPL251031P00275000/" TargetMode="External"/><Relationship Id="rId734" Type="http://schemas.openxmlformats.org/officeDocument/2006/relationships/hyperlink" Target="https://finance.yahoo.com/quote/AAPL/options/?straddle=false&amp;strike=115&amp;type=all" TargetMode="External"/><Relationship Id="rId941" Type="http://schemas.openxmlformats.org/officeDocument/2006/relationships/hyperlink" Target="https://finance.yahoo.com/quote/AAPL260116C00315000/" TargetMode="External"/><Relationship Id="rId1157" Type="http://schemas.openxmlformats.org/officeDocument/2006/relationships/hyperlink" Target="https://finance.yahoo.com/quote/AAPL260220C00250000/" TargetMode="External"/><Relationship Id="rId1364" Type="http://schemas.openxmlformats.org/officeDocument/2006/relationships/hyperlink" Target="https://finance.yahoo.com/quote/AAPL/options/?straddle=false&amp;strike=90&amp;type=all" TargetMode="External"/><Relationship Id="rId1571" Type="http://schemas.openxmlformats.org/officeDocument/2006/relationships/hyperlink" Target="https://finance.yahoo.com/quote/AAPL260417P00235000/" TargetMode="External"/><Relationship Id="rId2208" Type="http://schemas.openxmlformats.org/officeDocument/2006/relationships/hyperlink" Target="https://finance.yahoo.com/quote/AAPL/options/?straddle=false&amp;strike=120&amp;type=all" TargetMode="External"/><Relationship Id="rId2415" Type="http://schemas.openxmlformats.org/officeDocument/2006/relationships/hyperlink" Target="https://finance.yahoo.com/quote/AAPL261218C00010000/" TargetMode="External"/><Relationship Id="rId2622" Type="http://schemas.openxmlformats.org/officeDocument/2006/relationships/hyperlink" Target="https://finance.yahoo.com/quote/AAPL/options/?straddle=false&amp;strike=260&amp;type=all" TargetMode="External"/><Relationship Id="rId70" Type="http://schemas.openxmlformats.org/officeDocument/2006/relationships/hyperlink" Target="https://finance.yahoo.com/quote/AAPL/options/?straddle=false&amp;strike=245&amp;type=all" TargetMode="External"/><Relationship Id="rId801" Type="http://schemas.openxmlformats.org/officeDocument/2006/relationships/hyperlink" Target="https://finance.yahoo.com/quote/AAPL251121P00285000/" TargetMode="External"/><Relationship Id="rId1017" Type="http://schemas.openxmlformats.org/officeDocument/2006/relationships/hyperlink" Target="https://finance.yahoo.com/quote/AAPL260116P00150000/" TargetMode="External"/><Relationship Id="rId1224" Type="http://schemas.openxmlformats.org/officeDocument/2006/relationships/hyperlink" Target="https://finance.yahoo.com/quote/AAPL/options/?straddle=false&amp;strike=160&amp;type=all" TargetMode="External"/><Relationship Id="rId1431" Type="http://schemas.openxmlformats.org/officeDocument/2006/relationships/hyperlink" Target="https://finance.yahoo.com/quote/AAPL260320P00320000/" TargetMode="External"/><Relationship Id="rId3189" Type="http://schemas.openxmlformats.org/officeDocument/2006/relationships/hyperlink" Target="https://finance.yahoo.com/quote/AAPL271217C00220000/" TargetMode="External"/><Relationship Id="rId3396" Type="http://schemas.openxmlformats.org/officeDocument/2006/relationships/hyperlink" Target="https://finance.yahoo.com/quote/AAPL/options/?straddle=false&amp;strike=370&amp;type=all" TargetMode="External"/><Relationship Id="rId3049" Type="http://schemas.openxmlformats.org/officeDocument/2006/relationships/hyperlink" Target="https://finance.yahoo.com/quote/AAPL270617P00145000/" TargetMode="External"/><Relationship Id="rId3256" Type="http://schemas.openxmlformats.org/officeDocument/2006/relationships/hyperlink" Target="https://finance.yahoo.com/quote/AAPL/options/?straddle=false&amp;strike=385&amp;type=all" TargetMode="External"/><Relationship Id="rId3463" Type="http://schemas.openxmlformats.org/officeDocument/2006/relationships/hyperlink" Target="https://finance.yahoo.com/quote/AAPL280121C00350000/" TargetMode="External"/><Relationship Id="rId177" Type="http://schemas.openxmlformats.org/officeDocument/2006/relationships/hyperlink" Target="https://finance.yahoo.com/quote/AAPL251017P00205000/" TargetMode="External"/><Relationship Id="rId384" Type="http://schemas.openxmlformats.org/officeDocument/2006/relationships/hyperlink" Target="https://finance.yahoo.com/quote/AAPL/options/?straddle=false&amp;strike=265&amp;type=all" TargetMode="External"/><Relationship Id="rId591" Type="http://schemas.openxmlformats.org/officeDocument/2006/relationships/hyperlink" Target="https://finance.yahoo.com/quote/AAPL251107P00185000/" TargetMode="External"/><Relationship Id="rId2065" Type="http://schemas.openxmlformats.org/officeDocument/2006/relationships/hyperlink" Target="https://finance.yahoo.com/quote/AAPL260821C00160000/" TargetMode="External"/><Relationship Id="rId2272" Type="http://schemas.openxmlformats.org/officeDocument/2006/relationships/hyperlink" Target="https://finance.yahoo.com/quote/AAPL/options/?straddle=false&amp;strike=280&amp;type=all" TargetMode="External"/><Relationship Id="rId3116" Type="http://schemas.openxmlformats.org/officeDocument/2006/relationships/hyperlink" Target="https://finance.yahoo.com/quote/AAPL/options/?straddle=false&amp;strike=430&amp;type=all" TargetMode="External"/><Relationship Id="rId3670" Type="http://schemas.openxmlformats.org/officeDocument/2006/relationships/hyperlink" Target="https://finance.yahoo.com/quote/AAPL/options/?straddle=false&amp;strike=185&amp;type=all" TargetMode="External"/><Relationship Id="rId244" Type="http://schemas.openxmlformats.org/officeDocument/2006/relationships/hyperlink" Target="https://finance.yahoo.com/quote/AAPL/options/?straddle=false&amp;strike=320&amp;type=all" TargetMode="External"/><Relationship Id="rId1081" Type="http://schemas.openxmlformats.org/officeDocument/2006/relationships/hyperlink" Target="https://finance.yahoo.com/quote/AAPL260116P00310000/" TargetMode="External"/><Relationship Id="rId3323" Type="http://schemas.openxmlformats.org/officeDocument/2006/relationships/hyperlink" Target="https://finance.yahoo.com/quote/AAPL271217P00160000/" TargetMode="External"/><Relationship Id="rId3530" Type="http://schemas.openxmlformats.org/officeDocument/2006/relationships/hyperlink" Target="https://finance.yahoo.com/quote/AAPL/options/?straddle=false&amp;strike=270&amp;type=all" TargetMode="External"/><Relationship Id="rId451" Type="http://schemas.openxmlformats.org/officeDocument/2006/relationships/hyperlink" Target="https://finance.yahoo.com/quote/AAPL251031C00295000/" TargetMode="External"/><Relationship Id="rId2132" Type="http://schemas.openxmlformats.org/officeDocument/2006/relationships/hyperlink" Target="https://finance.yahoo.com/quote/AAPL/options/?straddle=false&amp;strike=155&amp;type=all" TargetMode="External"/><Relationship Id="rId104" Type="http://schemas.openxmlformats.org/officeDocument/2006/relationships/hyperlink" Target="https://finance.yahoo.com/quote/AAPL/options/?straddle=false&amp;strike=300&amp;type=all" TargetMode="External"/><Relationship Id="rId311" Type="http://schemas.openxmlformats.org/officeDocument/2006/relationships/hyperlink" Target="https://finance.yahoo.com/quote/AAPL251024C00290000/" TargetMode="External"/><Relationship Id="rId1898" Type="http://schemas.openxmlformats.org/officeDocument/2006/relationships/hyperlink" Target="https://finance.yahoo.com/quote/AAPL/options/?straddle=false&amp;strike=330&amp;type=all" TargetMode="External"/><Relationship Id="rId2949" Type="http://schemas.openxmlformats.org/officeDocument/2006/relationships/hyperlink" Target="https://finance.yahoo.com/quote/AAPL270617C00175000/" TargetMode="External"/><Relationship Id="rId1758" Type="http://schemas.openxmlformats.org/officeDocument/2006/relationships/hyperlink" Target="https://finance.yahoo.com/quote/AAPL/options/?straddle=false&amp;strike=240&amp;type=all" TargetMode="External"/><Relationship Id="rId2809" Type="http://schemas.openxmlformats.org/officeDocument/2006/relationships/hyperlink" Target="https://finance.yahoo.com/quote/AAPL270115P00095000/" TargetMode="External"/><Relationship Id="rId1965" Type="http://schemas.openxmlformats.org/officeDocument/2006/relationships/hyperlink" Target="https://finance.yahoo.com/quote/AAPL260618P00140000/" TargetMode="External"/><Relationship Id="rId3180" Type="http://schemas.openxmlformats.org/officeDocument/2006/relationships/hyperlink" Target="https://finance.yahoo.com/quote/AAPL/options/?straddle=false&amp;strike=195&amp;type=all" TargetMode="External"/><Relationship Id="rId1618" Type="http://schemas.openxmlformats.org/officeDocument/2006/relationships/hyperlink" Target="https://finance.yahoo.com/quote/AAPL/options/?straddle=false&amp;strike=135&amp;type=all" TargetMode="External"/><Relationship Id="rId1825" Type="http://schemas.openxmlformats.org/officeDocument/2006/relationships/hyperlink" Target="https://finance.yahoo.com/quote/AAPL260618C00130000/" TargetMode="External"/><Relationship Id="rId3040" Type="http://schemas.openxmlformats.org/officeDocument/2006/relationships/hyperlink" Target="https://finance.yahoo.com/quote/AAPL/options/?straddle=false&amp;strike=120&amp;type=all" TargetMode="External"/><Relationship Id="rId2599" Type="http://schemas.openxmlformats.org/officeDocument/2006/relationships/hyperlink" Target="https://finance.yahoo.com/quote/AAPL261218P00175000/" TargetMode="External"/><Relationship Id="rId778" Type="http://schemas.openxmlformats.org/officeDocument/2006/relationships/hyperlink" Target="https://finance.yahoo.com/quote/AAPL/options/?straddle=false&amp;strike=225&amp;type=all" TargetMode="External"/><Relationship Id="rId985" Type="http://schemas.openxmlformats.org/officeDocument/2006/relationships/hyperlink" Target="https://finance.yahoo.com/quote/AAPL260116P00070000/" TargetMode="External"/><Relationship Id="rId2459" Type="http://schemas.openxmlformats.org/officeDocument/2006/relationships/hyperlink" Target="https://finance.yahoo.com/quote/AAPL261218C00135000/" TargetMode="External"/><Relationship Id="rId2666" Type="http://schemas.openxmlformats.org/officeDocument/2006/relationships/hyperlink" Target="https://finance.yahoo.com/quote/AAPL/options/?straddle=false&amp;strike=30&amp;type=all" TargetMode="External"/><Relationship Id="rId2873" Type="http://schemas.openxmlformats.org/officeDocument/2006/relationships/hyperlink" Target="https://finance.yahoo.com/quote/AAPL270115P00310000/" TargetMode="External"/><Relationship Id="rId3717" Type="http://schemas.openxmlformats.org/officeDocument/2006/relationships/hyperlink" Target="https://finance.yahoo.com/quote/AAPL251010P00260000/" TargetMode="External"/><Relationship Id="rId638" Type="http://schemas.openxmlformats.org/officeDocument/2006/relationships/hyperlink" Target="https://finance.yahoo.com/quote/AAPL/options/?straddle=false&amp;strike=130&amp;type=all" TargetMode="External"/><Relationship Id="rId845" Type="http://schemas.openxmlformats.org/officeDocument/2006/relationships/hyperlink" Target="https://finance.yahoo.com/quote/AAPL260116C00075000/" TargetMode="External"/><Relationship Id="rId1268" Type="http://schemas.openxmlformats.org/officeDocument/2006/relationships/hyperlink" Target="https://finance.yahoo.com/quote/AAPL/options/?straddle=false&amp;strike=270&amp;type=all" TargetMode="External"/><Relationship Id="rId1475" Type="http://schemas.openxmlformats.org/officeDocument/2006/relationships/hyperlink" Target="https://finance.yahoo.com/quote/AAPL260417C00225000/" TargetMode="External"/><Relationship Id="rId1682" Type="http://schemas.openxmlformats.org/officeDocument/2006/relationships/hyperlink" Target="https://finance.yahoo.com/quote/AAPL/options/?straddle=false&amp;strike=390&amp;type=all" TargetMode="External"/><Relationship Id="rId2319" Type="http://schemas.openxmlformats.org/officeDocument/2006/relationships/hyperlink" Target="https://finance.yahoo.com/quote/AAPL260918P00095000/" TargetMode="External"/><Relationship Id="rId2526" Type="http://schemas.openxmlformats.org/officeDocument/2006/relationships/hyperlink" Target="https://finance.yahoo.com/quote/AAPL/options/?straddle=false&amp;strike=400&amp;type=all" TargetMode="External"/><Relationship Id="rId2733" Type="http://schemas.openxmlformats.org/officeDocument/2006/relationships/hyperlink" Target="https://finance.yahoo.com/quote/AAPL270115C00230000/" TargetMode="External"/><Relationship Id="rId705" Type="http://schemas.openxmlformats.org/officeDocument/2006/relationships/hyperlink" Target="https://finance.yahoo.com/quote/AAPL251121C00300000/" TargetMode="External"/><Relationship Id="rId1128" Type="http://schemas.openxmlformats.org/officeDocument/2006/relationships/hyperlink" Target="https://finance.yahoo.com/quote/AAPL/options/?straddle=false&amp;strike=175&amp;type=all" TargetMode="External"/><Relationship Id="rId1335" Type="http://schemas.openxmlformats.org/officeDocument/2006/relationships/hyperlink" Target="https://finance.yahoo.com/quote/AAPL260320C00240000/" TargetMode="External"/><Relationship Id="rId1542" Type="http://schemas.openxmlformats.org/officeDocument/2006/relationships/hyperlink" Target="https://finance.yahoo.com/quote/AAPL/options/?straddle=false&amp;strike=160&amp;type=all" TargetMode="External"/><Relationship Id="rId2940" Type="http://schemas.openxmlformats.org/officeDocument/2006/relationships/hyperlink" Target="https://finance.yahoo.com/quote/AAPL/options/?straddle=false&amp;strike=150&amp;type=all" TargetMode="External"/><Relationship Id="rId912" Type="http://schemas.openxmlformats.org/officeDocument/2006/relationships/hyperlink" Target="https://finance.yahoo.com/quote/AAPL/options/?straddle=false&amp;strike=240&amp;type=all" TargetMode="External"/><Relationship Id="rId2800" Type="http://schemas.openxmlformats.org/officeDocument/2006/relationships/hyperlink" Target="https://finance.yahoo.com/quote/AAPL/options/?straddle=false&amp;strike=60&amp;type=all" TargetMode="External"/><Relationship Id="rId41" Type="http://schemas.openxmlformats.org/officeDocument/2006/relationships/hyperlink" Target="https://finance.yahoo.com/quote/AAPL251017C00205000/" TargetMode="External"/><Relationship Id="rId1402" Type="http://schemas.openxmlformats.org/officeDocument/2006/relationships/hyperlink" Target="https://finance.yahoo.com/quote/AAPL/options/?straddle=false&amp;strike=185&amp;type=all" TargetMode="External"/><Relationship Id="rId288" Type="http://schemas.openxmlformats.org/officeDocument/2006/relationships/hyperlink" Target="https://finance.yahoo.com/quote/AAPL/options/?straddle=false&amp;strike=230&amp;type=all" TargetMode="External"/><Relationship Id="rId3367" Type="http://schemas.openxmlformats.org/officeDocument/2006/relationships/hyperlink" Target="https://finance.yahoo.com/quote/AAPL271217P00270000/" TargetMode="External"/><Relationship Id="rId3574" Type="http://schemas.openxmlformats.org/officeDocument/2006/relationships/hyperlink" Target="https://finance.yahoo.com/quote/AAPL/options/?straddle=false&amp;strike=210&amp;type=all" TargetMode="External"/><Relationship Id="rId495" Type="http://schemas.openxmlformats.org/officeDocument/2006/relationships/hyperlink" Target="https://finance.yahoo.com/quote/AAPL251031P00195000/" TargetMode="External"/><Relationship Id="rId2176" Type="http://schemas.openxmlformats.org/officeDocument/2006/relationships/hyperlink" Target="https://finance.yahoo.com/quote/AAPL/options/?straddle=false&amp;strike=330&amp;type=all" TargetMode="External"/><Relationship Id="rId2383" Type="http://schemas.openxmlformats.org/officeDocument/2006/relationships/hyperlink" Target="https://finance.yahoo.com/quote/AAPL260918P00255000/" TargetMode="External"/><Relationship Id="rId2590" Type="http://schemas.openxmlformats.org/officeDocument/2006/relationships/hyperlink" Target="https://finance.yahoo.com/quote/AAPL/options/?straddle=false&amp;strike=150&amp;type=all" TargetMode="External"/><Relationship Id="rId3227" Type="http://schemas.openxmlformats.org/officeDocument/2006/relationships/hyperlink" Target="https://finance.yahoo.com/quote/AAPL271217C00315000/" TargetMode="External"/><Relationship Id="rId3434" Type="http://schemas.openxmlformats.org/officeDocument/2006/relationships/hyperlink" Target="https://finance.yahoo.com/quote/AAPL/options/?straddle=false&amp;strike=200&amp;type=all" TargetMode="External"/><Relationship Id="rId3641" Type="http://schemas.openxmlformats.org/officeDocument/2006/relationships/hyperlink" Target="https://finance.yahoo.com/quote/AAPL251010C00320000/" TargetMode="External"/><Relationship Id="rId148" Type="http://schemas.openxmlformats.org/officeDocument/2006/relationships/hyperlink" Target="https://finance.yahoo.com/quote/AAPL/options/?straddle=false&amp;strike=130&amp;type=all" TargetMode="External"/><Relationship Id="rId355" Type="http://schemas.openxmlformats.org/officeDocument/2006/relationships/hyperlink" Target="https://finance.yahoo.com/quote/AAPL251024P00195000/" TargetMode="External"/><Relationship Id="rId562" Type="http://schemas.openxmlformats.org/officeDocument/2006/relationships/hyperlink" Target="https://finance.yahoo.com/quote/AAPL/options/?straddle=false&amp;strike=250&amp;type=all" TargetMode="External"/><Relationship Id="rId1192" Type="http://schemas.openxmlformats.org/officeDocument/2006/relationships/hyperlink" Target="https://finance.yahoo.com/quote/AAPL/options/?straddle=false&amp;strike=370&amp;type=all" TargetMode="External"/><Relationship Id="rId2036" Type="http://schemas.openxmlformats.org/officeDocument/2006/relationships/hyperlink" Target="https://finance.yahoo.com/quote/AAPL/options/?straddle=false&amp;strike=340&amp;type=all" TargetMode="External"/><Relationship Id="rId2243" Type="http://schemas.openxmlformats.org/officeDocument/2006/relationships/hyperlink" Target="https://finance.yahoo.com/quote/AAPL260918C00210000/" TargetMode="External"/><Relationship Id="rId2450" Type="http://schemas.openxmlformats.org/officeDocument/2006/relationships/hyperlink" Target="https://finance.yahoo.com/quote/AAPL/options/?straddle=false&amp;strike=110&amp;type=all" TargetMode="External"/><Relationship Id="rId3501" Type="http://schemas.openxmlformats.org/officeDocument/2006/relationships/hyperlink" Target="https://finance.yahoo.com/quote/AAPL280121P00160000/" TargetMode="External"/><Relationship Id="rId215" Type="http://schemas.openxmlformats.org/officeDocument/2006/relationships/hyperlink" Target="https://finance.yahoo.com/quote/AAPL251017P00257500/" TargetMode="External"/><Relationship Id="rId422" Type="http://schemas.openxmlformats.org/officeDocument/2006/relationships/hyperlink" Target="https://finance.yahoo.com/quote/AAPL/options/?straddle=false&amp;strike=220&amp;type=all" TargetMode="External"/><Relationship Id="rId1052" Type="http://schemas.openxmlformats.org/officeDocument/2006/relationships/hyperlink" Target="https://finance.yahoo.com/quote/AAPL/options/?straddle=false&amp;strike=235&amp;type=all" TargetMode="External"/><Relationship Id="rId2103" Type="http://schemas.openxmlformats.org/officeDocument/2006/relationships/hyperlink" Target="https://finance.yahoo.com/quote/AAPL260821C00310000/" TargetMode="External"/><Relationship Id="rId2310" Type="http://schemas.openxmlformats.org/officeDocument/2006/relationships/hyperlink" Target="https://finance.yahoo.com/quote/AAPL/options/?straddle=false&amp;strike=70&amp;type=all" TargetMode="External"/><Relationship Id="rId1869" Type="http://schemas.openxmlformats.org/officeDocument/2006/relationships/hyperlink" Target="https://finance.yahoo.com/quote/AAPL260618C00240000/" TargetMode="External"/><Relationship Id="rId3084" Type="http://schemas.openxmlformats.org/officeDocument/2006/relationships/hyperlink" Target="https://finance.yahoo.com/quote/AAPL/options/?straddle=false&amp;strike=260&amp;type=all" TargetMode="External"/><Relationship Id="rId3291" Type="http://schemas.openxmlformats.org/officeDocument/2006/relationships/hyperlink" Target="https://finance.yahoo.com/quote/AAPL271217P00080000/" TargetMode="External"/><Relationship Id="rId1729" Type="http://schemas.openxmlformats.org/officeDocument/2006/relationships/hyperlink" Target="https://finance.yahoo.com/quote/AAPL260515P00150000/" TargetMode="External"/><Relationship Id="rId1936" Type="http://schemas.openxmlformats.org/officeDocument/2006/relationships/hyperlink" Target="https://finance.yahoo.com/quote/AAPL/options/?straddle=false&amp;strike=65&amp;type=all" TargetMode="External"/><Relationship Id="rId3151" Type="http://schemas.openxmlformats.org/officeDocument/2006/relationships/hyperlink" Target="https://finance.yahoo.com/quote/AAPL271217C00125000/" TargetMode="External"/><Relationship Id="rId3011" Type="http://schemas.openxmlformats.org/officeDocument/2006/relationships/hyperlink" Target="https://finance.yahoo.com/quote/AAPL270617P00050000/" TargetMode="External"/><Relationship Id="rId5" Type="http://schemas.openxmlformats.org/officeDocument/2006/relationships/hyperlink" Target="https://finance.yahoo.com/quote/AAPL251017C00115000/" TargetMode="External"/><Relationship Id="rId889" Type="http://schemas.openxmlformats.org/officeDocument/2006/relationships/hyperlink" Target="https://finance.yahoo.com/quote/AAPL260116C00185000/" TargetMode="External"/><Relationship Id="rId2777" Type="http://schemas.openxmlformats.org/officeDocument/2006/relationships/hyperlink" Target="https://finance.yahoo.com/quote/AAPL270115C00450000/" TargetMode="External"/><Relationship Id="rId749" Type="http://schemas.openxmlformats.org/officeDocument/2006/relationships/hyperlink" Target="https://finance.yahoo.com/quote/AAPL251121P00155000/" TargetMode="External"/><Relationship Id="rId1379" Type="http://schemas.openxmlformats.org/officeDocument/2006/relationships/hyperlink" Target="https://finance.yahoo.com/quote/AAPL260320P00130000/" TargetMode="External"/><Relationship Id="rId1586" Type="http://schemas.openxmlformats.org/officeDocument/2006/relationships/hyperlink" Target="https://finance.yahoo.com/quote/AAPL/options/?straddle=false&amp;strike=270&amp;type=all" TargetMode="External"/><Relationship Id="rId2984" Type="http://schemas.openxmlformats.org/officeDocument/2006/relationships/hyperlink" Target="https://finance.yahoo.com/quote/AAPL/options/?straddle=false&amp;strike=320&amp;type=all" TargetMode="External"/><Relationship Id="rId609" Type="http://schemas.openxmlformats.org/officeDocument/2006/relationships/hyperlink" Target="https://finance.yahoo.com/quote/AAPL251107P00230000/" TargetMode="External"/><Relationship Id="rId956" Type="http://schemas.openxmlformats.org/officeDocument/2006/relationships/hyperlink" Target="https://finance.yahoo.com/quote/AAPL/options/?straddle=false&amp;strike=380&amp;type=all" TargetMode="External"/><Relationship Id="rId1239" Type="http://schemas.openxmlformats.org/officeDocument/2006/relationships/hyperlink" Target="https://finance.yahoo.com/quote/AAPL260220P00200000/" TargetMode="External"/><Relationship Id="rId1793" Type="http://schemas.openxmlformats.org/officeDocument/2006/relationships/hyperlink" Target="https://finance.yahoo.com/quote/AAPL260618C00050000/" TargetMode="External"/><Relationship Id="rId2637" Type="http://schemas.openxmlformats.org/officeDocument/2006/relationships/hyperlink" Target="https://finance.yahoo.com/quote/AAPL261218P00340000/" TargetMode="External"/><Relationship Id="rId2844" Type="http://schemas.openxmlformats.org/officeDocument/2006/relationships/hyperlink" Target="https://finance.yahoo.com/quote/AAPL/options/?straddle=false&amp;strike=180&amp;type=all" TargetMode="External"/><Relationship Id="rId85" Type="http://schemas.openxmlformats.org/officeDocument/2006/relationships/hyperlink" Target="https://finance.yahoo.com/quote/AAPL251017C00265000/" TargetMode="External"/><Relationship Id="rId816" Type="http://schemas.openxmlformats.org/officeDocument/2006/relationships/hyperlink" Target="https://finance.yahoo.com/quote/AAPL/options/?straddle=false&amp;strike=345&amp;type=all" TargetMode="External"/><Relationship Id="rId1446" Type="http://schemas.openxmlformats.org/officeDocument/2006/relationships/hyperlink" Target="https://finance.yahoo.com/quote/AAPL/options/?straddle=false&amp;strike=150&amp;type=all" TargetMode="External"/><Relationship Id="rId1653" Type="http://schemas.openxmlformats.org/officeDocument/2006/relationships/hyperlink" Target="https://finance.yahoo.com/quote/AAPL260515C00250000/" TargetMode="External"/><Relationship Id="rId1860" Type="http://schemas.openxmlformats.org/officeDocument/2006/relationships/hyperlink" Target="https://finance.yahoo.com/quote/AAPL/options/?straddle=false&amp;strike=215&amp;type=all" TargetMode="External"/><Relationship Id="rId2704" Type="http://schemas.openxmlformats.org/officeDocument/2006/relationships/hyperlink" Target="https://finance.yahoo.com/quote/AAPL/options/?straddle=false&amp;strike=140&amp;type=all" TargetMode="External"/><Relationship Id="rId2911" Type="http://schemas.openxmlformats.org/officeDocument/2006/relationships/hyperlink" Target="https://finance.yahoo.com/quote/AAPL270617C00080000/" TargetMode="External"/><Relationship Id="rId1306" Type="http://schemas.openxmlformats.org/officeDocument/2006/relationships/hyperlink" Target="https://finance.yahoo.com/quote/AAPL/options/?straddle=false&amp;strike=145&amp;type=all" TargetMode="External"/><Relationship Id="rId1513" Type="http://schemas.openxmlformats.org/officeDocument/2006/relationships/hyperlink" Target="https://finance.yahoo.com/quote/AAPL260417C00320000/" TargetMode="External"/><Relationship Id="rId1720" Type="http://schemas.openxmlformats.org/officeDocument/2006/relationships/hyperlink" Target="https://finance.yahoo.com/quote/AAPL/options/?straddle=false&amp;strike=125&amp;type=all" TargetMode="External"/><Relationship Id="rId12" Type="http://schemas.openxmlformats.org/officeDocument/2006/relationships/hyperlink" Target="https://finance.yahoo.com/quote/AAPL/options/?straddle=false&amp;strike=130&amp;type=all" TargetMode="External"/><Relationship Id="rId3478" Type="http://schemas.openxmlformats.org/officeDocument/2006/relationships/hyperlink" Target="https://finance.yahoo.com/quote/AAPL/options/?straddle=false&amp;strike=440&amp;type=all" TargetMode="External"/><Relationship Id="rId3685" Type="http://schemas.openxmlformats.org/officeDocument/2006/relationships/hyperlink" Target="https://finance.yahoo.com/quote/AAPL251010P00220000/" TargetMode="External"/><Relationship Id="rId399" Type="http://schemas.openxmlformats.org/officeDocument/2006/relationships/hyperlink" Target="https://finance.yahoo.com/quote/AAPL251031C00140000/" TargetMode="External"/><Relationship Id="rId2287" Type="http://schemas.openxmlformats.org/officeDocument/2006/relationships/hyperlink" Target="https://finance.yahoo.com/quote/AAPL260918C00340000/" TargetMode="External"/><Relationship Id="rId2494" Type="http://schemas.openxmlformats.org/officeDocument/2006/relationships/hyperlink" Target="https://finance.yahoo.com/quote/AAPL/options/?straddle=false&amp;strike=240&amp;type=all" TargetMode="External"/><Relationship Id="rId3338" Type="http://schemas.openxmlformats.org/officeDocument/2006/relationships/hyperlink" Target="https://finance.yahoo.com/quote/AAPL/options/?straddle=false&amp;strike=195&amp;type=all" TargetMode="External"/><Relationship Id="rId3545" Type="http://schemas.openxmlformats.org/officeDocument/2006/relationships/hyperlink" Target="https://finance.yahoo.com/quote/AAPL251010C00120000/" TargetMode="External"/><Relationship Id="rId259" Type="http://schemas.openxmlformats.org/officeDocument/2006/relationships/hyperlink" Target="https://finance.yahoo.com/quote/AAPL251024C00140000/" TargetMode="External"/><Relationship Id="rId466" Type="http://schemas.openxmlformats.org/officeDocument/2006/relationships/hyperlink" Target="https://finance.yahoo.com/quote/AAPL/options/?straddle=false&amp;strike=110&amp;type=all" TargetMode="External"/><Relationship Id="rId673" Type="http://schemas.openxmlformats.org/officeDocument/2006/relationships/hyperlink" Target="https://finance.yahoo.com/quote/AAPL251121C00220000/" TargetMode="External"/><Relationship Id="rId880" Type="http://schemas.openxmlformats.org/officeDocument/2006/relationships/hyperlink" Target="https://finance.yahoo.com/quote/AAPL/options/?straddle=false&amp;strike=160&amp;type=all" TargetMode="External"/><Relationship Id="rId1096" Type="http://schemas.openxmlformats.org/officeDocument/2006/relationships/hyperlink" Target="https://finance.yahoo.com/quote/AAPL/options/?straddle=false&amp;strike=370&amp;type=all" TargetMode="External"/><Relationship Id="rId2147" Type="http://schemas.openxmlformats.org/officeDocument/2006/relationships/hyperlink" Target="https://finance.yahoo.com/quote/AAPL260821P00195000/" TargetMode="External"/><Relationship Id="rId2354" Type="http://schemas.openxmlformats.org/officeDocument/2006/relationships/hyperlink" Target="https://finance.yahoo.com/quote/AAPL/options/?straddle=false&amp;strike=180&amp;type=all" TargetMode="External"/><Relationship Id="rId2561" Type="http://schemas.openxmlformats.org/officeDocument/2006/relationships/hyperlink" Target="https://finance.yahoo.com/quote/AAPL261218P00080000/" TargetMode="External"/><Relationship Id="rId3405" Type="http://schemas.openxmlformats.org/officeDocument/2006/relationships/hyperlink" Target="https://finance.yahoo.com/quote/AAPL280121C00050000/" TargetMode="External"/><Relationship Id="rId119" Type="http://schemas.openxmlformats.org/officeDocument/2006/relationships/hyperlink" Target="https://finance.yahoo.com/quote/AAPL251017C00340000/" TargetMode="External"/><Relationship Id="rId326" Type="http://schemas.openxmlformats.org/officeDocument/2006/relationships/hyperlink" Target="https://finance.yahoo.com/quote/AAPL/options/?straddle=false&amp;strike=325&amp;type=all" TargetMode="External"/><Relationship Id="rId533" Type="http://schemas.openxmlformats.org/officeDocument/2006/relationships/hyperlink" Target="https://finance.yahoo.com/quote/AAPL251031P00290000/" TargetMode="External"/><Relationship Id="rId1163" Type="http://schemas.openxmlformats.org/officeDocument/2006/relationships/hyperlink" Target="https://finance.yahoo.com/quote/AAPL260220C00265000/" TargetMode="External"/><Relationship Id="rId1370" Type="http://schemas.openxmlformats.org/officeDocument/2006/relationships/hyperlink" Target="https://finance.yahoo.com/quote/AAPL/options/?straddle=false&amp;strike=105&amp;type=all" TargetMode="External"/><Relationship Id="rId2007" Type="http://schemas.openxmlformats.org/officeDocument/2006/relationships/hyperlink" Target="https://finance.yahoo.com/quote/AAPL260618P00245000/" TargetMode="External"/><Relationship Id="rId2214" Type="http://schemas.openxmlformats.org/officeDocument/2006/relationships/hyperlink" Target="https://finance.yahoo.com/quote/AAPL/options/?straddle=false&amp;strike=135&amp;type=all" TargetMode="External"/><Relationship Id="rId3612" Type="http://schemas.openxmlformats.org/officeDocument/2006/relationships/hyperlink" Target="https://finance.yahoo.com/quote/AAPL/options/?straddle=false&amp;strike=260&amp;type=all" TargetMode="External"/><Relationship Id="rId740" Type="http://schemas.openxmlformats.org/officeDocument/2006/relationships/hyperlink" Target="https://finance.yahoo.com/quote/AAPL/options/?straddle=false&amp;strike=130&amp;type=all" TargetMode="External"/><Relationship Id="rId1023" Type="http://schemas.openxmlformats.org/officeDocument/2006/relationships/hyperlink" Target="https://finance.yahoo.com/quote/AAPL260116P00165000/" TargetMode="External"/><Relationship Id="rId2421" Type="http://schemas.openxmlformats.org/officeDocument/2006/relationships/hyperlink" Target="https://finance.yahoo.com/quote/AAPL261218C00025000/" TargetMode="External"/><Relationship Id="rId600" Type="http://schemas.openxmlformats.org/officeDocument/2006/relationships/hyperlink" Target="https://finance.yahoo.com/quote/AAPL/options/?straddle=false&amp;strike=205&amp;type=all" TargetMode="External"/><Relationship Id="rId1230" Type="http://schemas.openxmlformats.org/officeDocument/2006/relationships/hyperlink" Target="https://finance.yahoo.com/quote/AAPL/options/?straddle=false&amp;strike=175&amp;type=all" TargetMode="External"/><Relationship Id="rId3195" Type="http://schemas.openxmlformats.org/officeDocument/2006/relationships/hyperlink" Target="https://finance.yahoo.com/quote/AAPL271217C00235000/" TargetMode="External"/><Relationship Id="rId3055" Type="http://schemas.openxmlformats.org/officeDocument/2006/relationships/hyperlink" Target="https://finance.yahoo.com/quote/AAPL270617P00160000/" TargetMode="External"/><Relationship Id="rId3262" Type="http://schemas.openxmlformats.org/officeDocument/2006/relationships/hyperlink" Target="https://finance.yahoo.com/quote/AAPL/options/?straddle=false&amp;strike=400&amp;type=all" TargetMode="External"/><Relationship Id="rId183" Type="http://schemas.openxmlformats.org/officeDocument/2006/relationships/hyperlink" Target="https://finance.yahoo.com/quote/AAPL251017P00217500/" TargetMode="External"/><Relationship Id="rId390" Type="http://schemas.openxmlformats.org/officeDocument/2006/relationships/hyperlink" Target="https://finance.yahoo.com/quote/AAPL/options/?straddle=false&amp;strike=280&amp;type=all" TargetMode="External"/><Relationship Id="rId1907" Type="http://schemas.openxmlformats.org/officeDocument/2006/relationships/hyperlink" Target="https://finance.yahoo.com/quote/AAPL260618C00380000/" TargetMode="External"/><Relationship Id="rId2071" Type="http://schemas.openxmlformats.org/officeDocument/2006/relationships/hyperlink" Target="https://finance.yahoo.com/quote/AAPL260821C00175000/" TargetMode="External"/><Relationship Id="rId3122" Type="http://schemas.openxmlformats.org/officeDocument/2006/relationships/hyperlink" Target="https://finance.yahoo.com/quote/AAPL/options/?straddle=false&amp;strike=50&amp;type=all" TargetMode="External"/><Relationship Id="rId250" Type="http://schemas.openxmlformats.org/officeDocument/2006/relationships/hyperlink" Target="https://finance.yahoo.com/quote/AAPL/options/?straddle=false&amp;strike=355&amp;type=all" TargetMode="External"/><Relationship Id="rId110" Type="http://schemas.openxmlformats.org/officeDocument/2006/relationships/hyperlink" Target="https://finance.yahoo.com/quote/AAPL/options/?straddle=false&amp;strike=315&amp;type=all" TargetMode="External"/><Relationship Id="rId2888" Type="http://schemas.openxmlformats.org/officeDocument/2006/relationships/hyperlink" Target="https://finance.yahoo.com/quote/AAPL/options/?straddle=false&amp;strike=400&amp;type=all" TargetMode="External"/><Relationship Id="rId1697" Type="http://schemas.openxmlformats.org/officeDocument/2006/relationships/hyperlink" Target="https://finance.yahoo.com/quote/AAPL260515P00060000/" TargetMode="External"/><Relationship Id="rId2748" Type="http://schemas.openxmlformats.org/officeDocument/2006/relationships/hyperlink" Target="https://finance.yahoo.com/quote/AAPL/options/?straddle=false&amp;strike=300&amp;type=all" TargetMode="External"/><Relationship Id="rId2955" Type="http://schemas.openxmlformats.org/officeDocument/2006/relationships/hyperlink" Target="https://finance.yahoo.com/quote/AAPL270617C00190000/" TargetMode="External"/><Relationship Id="rId927" Type="http://schemas.openxmlformats.org/officeDocument/2006/relationships/hyperlink" Target="https://finance.yahoo.com/quote/AAPL260116C00280000/" TargetMode="External"/><Relationship Id="rId1557" Type="http://schemas.openxmlformats.org/officeDocument/2006/relationships/hyperlink" Target="https://finance.yahoo.com/quote/AAPL260417P00200000/" TargetMode="External"/><Relationship Id="rId1764" Type="http://schemas.openxmlformats.org/officeDocument/2006/relationships/hyperlink" Target="https://finance.yahoo.com/quote/AAPL/options/?straddle=false&amp;strike=270&amp;type=all" TargetMode="External"/><Relationship Id="rId1971" Type="http://schemas.openxmlformats.org/officeDocument/2006/relationships/hyperlink" Target="https://finance.yahoo.com/quote/AAPL260618P00155000/" TargetMode="External"/><Relationship Id="rId2608" Type="http://schemas.openxmlformats.org/officeDocument/2006/relationships/hyperlink" Target="https://finance.yahoo.com/quote/AAPL/options/?straddle=false&amp;strike=195&amp;type=all" TargetMode="External"/><Relationship Id="rId2815" Type="http://schemas.openxmlformats.org/officeDocument/2006/relationships/hyperlink" Target="https://finance.yahoo.com/quote/AAPL270115P00110000/" TargetMode="External"/><Relationship Id="rId56" Type="http://schemas.openxmlformats.org/officeDocument/2006/relationships/hyperlink" Target="https://finance.yahoo.com/quote/AAPL/options/?straddle=false&amp;strike=227.5&amp;type=all" TargetMode="External"/><Relationship Id="rId1417" Type="http://schemas.openxmlformats.org/officeDocument/2006/relationships/hyperlink" Target="https://finance.yahoo.com/quote/AAPL260320P00250000/" TargetMode="External"/><Relationship Id="rId1624" Type="http://schemas.openxmlformats.org/officeDocument/2006/relationships/hyperlink" Target="https://finance.yahoo.com/quote/AAPL/options/?straddle=false&amp;strike=150&amp;type=all" TargetMode="External"/><Relationship Id="rId1831" Type="http://schemas.openxmlformats.org/officeDocument/2006/relationships/hyperlink" Target="https://finance.yahoo.com/quote/AAPL260618C00145000/" TargetMode="External"/><Relationship Id="rId3589" Type="http://schemas.openxmlformats.org/officeDocument/2006/relationships/hyperlink" Target="https://finance.yahoo.com/quote/AAPL251010C00232500/" TargetMode="External"/><Relationship Id="rId2398" Type="http://schemas.openxmlformats.org/officeDocument/2006/relationships/hyperlink" Target="https://finance.yahoo.com/quote/AAPL/options/?straddle=false&amp;strike=290&amp;type=all" TargetMode="External"/><Relationship Id="rId3449" Type="http://schemas.openxmlformats.org/officeDocument/2006/relationships/hyperlink" Target="https://finance.yahoo.com/quote/AAPL280121C00280000/" TargetMode="External"/><Relationship Id="rId577" Type="http://schemas.openxmlformats.org/officeDocument/2006/relationships/hyperlink" Target="https://finance.yahoo.com/quote/AAPL251107C00290000/" TargetMode="External"/><Relationship Id="rId2258" Type="http://schemas.openxmlformats.org/officeDocument/2006/relationships/hyperlink" Target="https://finance.yahoo.com/quote/AAPL/options/?straddle=false&amp;strike=245&amp;type=all" TargetMode="External"/><Relationship Id="rId3656" Type="http://schemas.openxmlformats.org/officeDocument/2006/relationships/hyperlink" Target="https://finance.yahoo.com/quote/AAPL/options/?straddle=false&amp;strike=150&amp;type=all" TargetMode="External"/><Relationship Id="rId784" Type="http://schemas.openxmlformats.org/officeDocument/2006/relationships/hyperlink" Target="https://finance.yahoo.com/quote/AAPL/options/?straddle=false&amp;strike=240&amp;type=all" TargetMode="External"/><Relationship Id="rId991" Type="http://schemas.openxmlformats.org/officeDocument/2006/relationships/hyperlink" Target="https://finance.yahoo.com/quote/AAPL260116P00085000/" TargetMode="External"/><Relationship Id="rId1067" Type="http://schemas.openxmlformats.org/officeDocument/2006/relationships/hyperlink" Target="https://finance.yahoo.com/quote/AAPL260116P00275000/" TargetMode="External"/><Relationship Id="rId2465" Type="http://schemas.openxmlformats.org/officeDocument/2006/relationships/hyperlink" Target="https://finance.yahoo.com/quote/AAPL261218C00150000/" TargetMode="External"/><Relationship Id="rId2672" Type="http://schemas.openxmlformats.org/officeDocument/2006/relationships/hyperlink" Target="https://finance.yahoo.com/quote/AAPL/options/?straddle=false&amp;strike=45&amp;type=all" TargetMode="External"/><Relationship Id="rId3309" Type="http://schemas.openxmlformats.org/officeDocument/2006/relationships/hyperlink" Target="https://finance.yahoo.com/quote/AAPL271217P00125000/" TargetMode="External"/><Relationship Id="rId3516" Type="http://schemas.openxmlformats.org/officeDocument/2006/relationships/hyperlink" Target="https://finance.yahoo.com/quote/AAPL/options/?straddle=false&amp;strike=200&amp;type=all" TargetMode="External"/><Relationship Id="rId3723" Type="http://schemas.openxmlformats.org/officeDocument/2006/relationships/hyperlink" Target="https://finance.yahoo.com/quote/AAPL251010P00267500/" TargetMode="External"/><Relationship Id="rId437" Type="http://schemas.openxmlformats.org/officeDocument/2006/relationships/hyperlink" Target="https://finance.yahoo.com/quote/AAPL251031C00260000/" TargetMode="External"/><Relationship Id="rId644" Type="http://schemas.openxmlformats.org/officeDocument/2006/relationships/hyperlink" Target="https://finance.yahoo.com/quote/AAPL/options/?straddle=false&amp;strike=145&amp;type=all" TargetMode="External"/><Relationship Id="rId851" Type="http://schemas.openxmlformats.org/officeDocument/2006/relationships/hyperlink" Target="https://finance.yahoo.com/quote/AAPL260116C00090000/" TargetMode="External"/><Relationship Id="rId1274" Type="http://schemas.openxmlformats.org/officeDocument/2006/relationships/hyperlink" Target="https://finance.yahoo.com/quote/AAPL/options/?straddle=false&amp;strike=285&amp;type=all" TargetMode="External"/><Relationship Id="rId1481" Type="http://schemas.openxmlformats.org/officeDocument/2006/relationships/hyperlink" Target="https://finance.yahoo.com/quote/AAPL260417C00240000/" TargetMode="External"/><Relationship Id="rId2118" Type="http://schemas.openxmlformats.org/officeDocument/2006/relationships/hyperlink" Target="https://finance.yahoo.com/quote/AAPL/options/?straddle=false&amp;strike=120&amp;type=all" TargetMode="External"/><Relationship Id="rId2325" Type="http://schemas.openxmlformats.org/officeDocument/2006/relationships/hyperlink" Target="https://finance.yahoo.com/quote/AAPL260918P00110000/" TargetMode="External"/><Relationship Id="rId2532" Type="http://schemas.openxmlformats.org/officeDocument/2006/relationships/hyperlink" Target="https://finance.yahoo.com/quote/AAPL/options/?straddle=false&amp;strike=430&amp;type=all" TargetMode="External"/><Relationship Id="rId504" Type="http://schemas.openxmlformats.org/officeDocument/2006/relationships/hyperlink" Target="https://finance.yahoo.com/quote/AAPL/options/?straddle=false&amp;strike=215&amp;type=all" TargetMode="External"/><Relationship Id="rId711" Type="http://schemas.openxmlformats.org/officeDocument/2006/relationships/hyperlink" Target="https://finance.yahoo.com/quote/AAPL251121C00315000/" TargetMode="External"/><Relationship Id="rId1134" Type="http://schemas.openxmlformats.org/officeDocument/2006/relationships/hyperlink" Target="https://finance.yahoo.com/quote/AAPL/options/?straddle=false&amp;strike=190&amp;type=all" TargetMode="External"/><Relationship Id="rId1341" Type="http://schemas.openxmlformats.org/officeDocument/2006/relationships/hyperlink" Target="https://finance.yahoo.com/quote/AAPL260320C00270000/" TargetMode="External"/><Relationship Id="rId1201" Type="http://schemas.openxmlformats.org/officeDocument/2006/relationships/hyperlink" Target="https://finance.yahoo.com/quote/AAPL260220P00105000/" TargetMode="External"/><Relationship Id="rId3099" Type="http://schemas.openxmlformats.org/officeDocument/2006/relationships/hyperlink" Target="https://finance.yahoo.com/quote/AAPL270617P00340000/" TargetMode="External"/><Relationship Id="rId3166" Type="http://schemas.openxmlformats.org/officeDocument/2006/relationships/hyperlink" Target="https://finance.yahoo.com/quote/AAPL/options/?straddle=false&amp;strike=160&amp;type=all" TargetMode="External"/><Relationship Id="rId3373" Type="http://schemas.openxmlformats.org/officeDocument/2006/relationships/hyperlink" Target="https://finance.yahoo.com/quote/AAPL271217P00285000/" TargetMode="External"/><Relationship Id="rId3580" Type="http://schemas.openxmlformats.org/officeDocument/2006/relationships/hyperlink" Target="https://finance.yahoo.com/quote/AAPL/options/?straddle=false&amp;strike=220&amp;type=all" TargetMode="External"/><Relationship Id="rId294" Type="http://schemas.openxmlformats.org/officeDocument/2006/relationships/hyperlink" Target="https://finance.yahoo.com/quote/AAPL/options/?straddle=false&amp;strike=245&amp;type=all" TargetMode="External"/><Relationship Id="rId2182" Type="http://schemas.openxmlformats.org/officeDocument/2006/relationships/hyperlink" Target="https://finance.yahoo.com/quote/AAPL/options/?straddle=false&amp;strike=55&amp;type=all" TargetMode="External"/><Relationship Id="rId3026" Type="http://schemas.openxmlformats.org/officeDocument/2006/relationships/hyperlink" Target="https://finance.yahoo.com/quote/AAPL/options/?straddle=false&amp;strike=85&amp;type=all" TargetMode="External"/><Relationship Id="rId3233" Type="http://schemas.openxmlformats.org/officeDocument/2006/relationships/hyperlink" Target="https://finance.yahoo.com/quote/AAPL271217C00330000/" TargetMode="External"/><Relationship Id="rId154" Type="http://schemas.openxmlformats.org/officeDocument/2006/relationships/hyperlink" Target="https://finance.yahoo.com/quote/AAPL/options/?straddle=false&amp;strike=145&amp;type=all" TargetMode="External"/><Relationship Id="rId361" Type="http://schemas.openxmlformats.org/officeDocument/2006/relationships/hyperlink" Target="https://finance.yahoo.com/quote/AAPL251024P00210000/" TargetMode="External"/><Relationship Id="rId2042" Type="http://schemas.openxmlformats.org/officeDocument/2006/relationships/hyperlink" Target="https://finance.yahoo.com/quote/AAPL/options/?straddle=false&amp;strike=370&amp;type=all" TargetMode="External"/><Relationship Id="rId3440" Type="http://schemas.openxmlformats.org/officeDocument/2006/relationships/hyperlink" Target="https://finance.yahoo.com/quote/AAPL/options/?straddle=false&amp;strike=230&amp;type=all" TargetMode="External"/><Relationship Id="rId2999" Type="http://schemas.openxmlformats.org/officeDocument/2006/relationships/hyperlink" Target="https://finance.yahoo.com/quote/AAPL270617C00400000/" TargetMode="External"/><Relationship Id="rId3300" Type="http://schemas.openxmlformats.org/officeDocument/2006/relationships/hyperlink" Target="https://finance.yahoo.com/quote/AAPL/options/?straddle=false&amp;strike=100&amp;type=all" TargetMode="External"/><Relationship Id="rId221" Type="http://schemas.openxmlformats.org/officeDocument/2006/relationships/hyperlink" Target="https://finance.yahoo.com/quote/AAPL251017P00265000/" TargetMode="External"/><Relationship Id="rId2859" Type="http://schemas.openxmlformats.org/officeDocument/2006/relationships/hyperlink" Target="https://finance.yahoo.com/quote/AAPL270115P00240000/" TargetMode="External"/><Relationship Id="rId1668" Type="http://schemas.openxmlformats.org/officeDocument/2006/relationships/hyperlink" Target="https://finance.yahoo.com/quote/AAPL/options/?straddle=false&amp;strike=320&amp;type=all" TargetMode="External"/><Relationship Id="rId1875" Type="http://schemas.openxmlformats.org/officeDocument/2006/relationships/hyperlink" Target="https://finance.yahoo.com/quote/AAPL260618C00255000/" TargetMode="External"/><Relationship Id="rId2719" Type="http://schemas.openxmlformats.org/officeDocument/2006/relationships/hyperlink" Target="https://finance.yahoo.com/quote/AAPL270115C00180000/" TargetMode="External"/><Relationship Id="rId1528" Type="http://schemas.openxmlformats.org/officeDocument/2006/relationships/hyperlink" Target="https://finance.yahoo.com/quote/AAPL/options/?straddle=false&amp;strike=125&amp;type=all" TargetMode="External"/><Relationship Id="rId2926" Type="http://schemas.openxmlformats.org/officeDocument/2006/relationships/hyperlink" Target="https://finance.yahoo.com/quote/AAPL/options/?straddle=false&amp;strike=115&amp;type=all" TargetMode="External"/><Relationship Id="rId3090" Type="http://schemas.openxmlformats.org/officeDocument/2006/relationships/hyperlink" Target="https://finance.yahoo.com/quote/AAPL/options/?straddle=false&amp;strike=290&amp;type=all" TargetMode="External"/><Relationship Id="rId1735" Type="http://schemas.openxmlformats.org/officeDocument/2006/relationships/hyperlink" Target="https://finance.yahoo.com/quote/AAPL260515P00165000/" TargetMode="External"/><Relationship Id="rId1942" Type="http://schemas.openxmlformats.org/officeDocument/2006/relationships/hyperlink" Target="https://finance.yahoo.com/quote/AAPL/options/?straddle=false&amp;strike=80&amp;type=all" TargetMode="External"/><Relationship Id="rId27" Type="http://schemas.openxmlformats.org/officeDocument/2006/relationships/hyperlink" Target="https://finance.yahoo.com/quote/AAPL251017C00170000/" TargetMode="External"/><Relationship Id="rId1802" Type="http://schemas.openxmlformats.org/officeDocument/2006/relationships/hyperlink" Target="https://finance.yahoo.com/quote/AAPL/options/?straddle=false&amp;strike=70&amp;type=all" TargetMode="External"/><Relationship Id="rId688" Type="http://schemas.openxmlformats.org/officeDocument/2006/relationships/hyperlink" Target="https://finance.yahoo.com/quote/AAPL/options/?straddle=false&amp;strike=255&amp;type=all" TargetMode="External"/><Relationship Id="rId895" Type="http://schemas.openxmlformats.org/officeDocument/2006/relationships/hyperlink" Target="https://finance.yahoo.com/quote/AAPL260116C00200000/" TargetMode="External"/><Relationship Id="rId2369" Type="http://schemas.openxmlformats.org/officeDocument/2006/relationships/hyperlink" Target="https://finance.yahoo.com/quote/AAPL260918P00220000/" TargetMode="External"/><Relationship Id="rId2576" Type="http://schemas.openxmlformats.org/officeDocument/2006/relationships/hyperlink" Target="https://finance.yahoo.com/quote/AAPL/options/?straddle=false&amp;strike=115&amp;type=all" TargetMode="External"/><Relationship Id="rId2783" Type="http://schemas.openxmlformats.org/officeDocument/2006/relationships/hyperlink" Target="https://finance.yahoo.com/quote/AAPL270115P00015000/" TargetMode="External"/><Relationship Id="rId2990" Type="http://schemas.openxmlformats.org/officeDocument/2006/relationships/hyperlink" Target="https://finance.yahoo.com/quote/AAPL/options/?straddle=false&amp;strike=350&amp;type=all" TargetMode="External"/><Relationship Id="rId3627" Type="http://schemas.openxmlformats.org/officeDocument/2006/relationships/hyperlink" Target="https://finance.yahoo.com/quote/AAPL251010C00285000/" TargetMode="External"/><Relationship Id="rId548" Type="http://schemas.openxmlformats.org/officeDocument/2006/relationships/hyperlink" Target="https://finance.yahoo.com/quote/AAPL/options/?straddle=false&amp;strike=215&amp;type=all" TargetMode="External"/><Relationship Id="rId755" Type="http://schemas.openxmlformats.org/officeDocument/2006/relationships/hyperlink" Target="https://finance.yahoo.com/quote/AAPL251121P00170000/" TargetMode="External"/><Relationship Id="rId962" Type="http://schemas.openxmlformats.org/officeDocument/2006/relationships/hyperlink" Target="https://finance.yahoo.com/quote/AAPL/options/?straddle=false&amp;strike=10&amp;type=all" TargetMode="External"/><Relationship Id="rId1178" Type="http://schemas.openxmlformats.org/officeDocument/2006/relationships/hyperlink" Target="https://finance.yahoo.com/quote/AAPL/options/?straddle=false&amp;strike=300&amp;type=all" TargetMode="External"/><Relationship Id="rId1385" Type="http://schemas.openxmlformats.org/officeDocument/2006/relationships/hyperlink" Target="https://finance.yahoo.com/quote/AAPL260320P00145000/" TargetMode="External"/><Relationship Id="rId1592" Type="http://schemas.openxmlformats.org/officeDocument/2006/relationships/hyperlink" Target="https://finance.yahoo.com/quote/AAPL/options/?straddle=false&amp;strike=285&amp;type=all" TargetMode="External"/><Relationship Id="rId2229" Type="http://schemas.openxmlformats.org/officeDocument/2006/relationships/hyperlink" Target="https://finance.yahoo.com/quote/AAPL260918C00175000/" TargetMode="External"/><Relationship Id="rId2436" Type="http://schemas.openxmlformats.org/officeDocument/2006/relationships/hyperlink" Target="https://finance.yahoo.com/quote/AAPL/options/?straddle=false&amp;strike=70&amp;type=all" TargetMode="External"/><Relationship Id="rId2643" Type="http://schemas.openxmlformats.org/officeDocument/2006/relationships/hyperlink" Target="https://finance.yahoo.com/quote/AAPL261218P00380000/" TargetMode="External"/><Relationship Id="rId2850" Type="http://schemas.openxmlformats.org/officeDocument/2006/relationships/hyperlink" Target="https://finance.yahoo.com/quote/AAPL/options/?straddle=false&amp;strike=195&amp;type=all" TargetMode="External"/><Relationship Id="rId91" Type="http://schemas.openxmlformats.org/officeDocument/2006/relationships/hyperlink" Target="https://finance.yahoo.com/quote/AAPL251017C00272500/" TargetMode="External"/><Relationship Id="rId408" Type="http://schemas.openxmlformats.org/officeDocument/2006/relationships/hyperlink" Target="https://finance.yahoo.com/quote/AAPL/options/?straddle=false&amp;strike=185&amp;type=all" TargetMode="External"/><Relationship Id="rId615" Type="http://schemas.openxmlformats.org/officeDocument/2006/relationships/hyperlink" Target="https://finance.yahoo.com/quote/AAPL251107P00245000/" TargetMode="External"/><Relationship Id="rId822" Type="http://schemas.openxmlformats.org/officeDocument/2006/relationships/hyperlink" Target="https://finance.yahoo.com/quote/AAPL/options/?straddle=false&amp;strike=15&amp;type=all" TargetMode="External"/><Relationship Id="rId1038" Type="http://schemas.openxmlformats.org/officeDocument/2006/relationships/hyperlink" Target="https://finance.yahoo.com/quote/AAPL/options/?straddle=false&amp;strike=200&amp;type=all" TargetMode="External"/><Relationship Id="rId1245" Type="http://schemas.openxmlformats.org/officeDocument/2006/relationships/hyperlink" Target="https://finance.yahoo.com/quote/AAPL260220P00215000/" TargetMode="External"/><Relationship Id="rId1452" Type="http://schemas.openxmlformats.org/officeDocument/2006/relationships/hyperlink" Target="https://finance.yahoo.com/quote/AAPL/options/?straddle=false&amp;strike=165&amp;type=all" TargetMode="External"/><Relationship Id="rId2503" Type="http://schemas.openxmlformats.org/officeDocument/2006/relationships/hyperlink" Target="https://finance.yahoo.com/quote/AAPL261218C00290000/" TargetMode="External"/><Relationship Id="rId1105" Type="http://schemas.openxmlformats.org/officeDocument/2006/relationships/hyperlink" Target="https://finance.yahoo.com/quote/AAPL260220C00120000/" TargetMode="External"/><Relationship Id="rId1312" Type="http://schemas.openxmlformats.org/officeDocument/2006/relationships/hyperlink" Target="https://finance.yahoo.com/quote/AAPL/options/?straddle=false&amp;strike=160&amp;type=all" TargetMode="External"/><Relationship Id="rId2710" Type="http://schemas.openxmlformats.org/officeDocument/2006/relationships/hyperlink" Target="https://finance.yahoo.com/quote/AAPL/options/?straddle=false&amp;strike=155&amp;type=all" TargetMode="External"/><Relationship Id="rId3277" Type="http://schemas.openxmlformats.org/officeDocument/2006/relationships/hyperlink" Target="https://finance.yahoo.com/quote/AAPL271217C00440000/" TargetMode="External"/><Relationship Id="rId198" Type="http://schemas.openxmlformats.org/officeDocument/2006/relationships/hyperlink" Target="https://finance.yahoo.com/quote/AAPL/options/?straddle=false&amp;strike=235&amp;type=all" TargetMode="External"/><Relationship Id="rId2086" Type="http://schemas.openxmlformats.org/officeDocument/2006/relationships/hyperlink" Target="https://finance.yahoo.com/quote/AAPL/options/?straddle=false&amp;strike=220&amp;type=all" TargetMode="External"/><Relationship Id="rId3484" Type="http://schemas.openxmlformats.org/officeDocument/2006/relationships/hyperlink" Target="https://finance.yahoo.com/quote/AAPL/options/?straddle=false&amp;strike=90&amp;type=all" TargetMode="External"/><Relationship Id="rId3691" Type="http://schemas.openxmlformats.org/officeDocument/2006/relationships/hyperlink" Target="https://finance.yahoo.com/quote/AAPL251010P00227500/" TargetMode="External"/><Relationship Id="rId2293" Type="http://schemas.openxmlformats.org/officeDocument/2006/relationships/hyperlink" Target="https://finance.yahoo.com/quote/AAPL260918C00370000/" TargetMode="External"/><Relationship Id="rId3137" Type="http://schemas.openxmlformats.org/officeDocument/2006/relationships/hyperlink" Target="https://finance.yahoo.com/quote/AAPL271217C00090000/" TargetMode="External"/><Relationship Id="rId3344" Type="http://schemas.openxmlformats.org/officeDocument/2006/relationships/hyperlink" Target="https://finance.yahoo.com/quote/AAPL/options/?straddle=false&amp;strike=210&amp;type=all" TargetMode="External"/><Relationship Id="rId3551" Type="http://schemas.openxmlformats.org/officeDocument/2006/relationships/hyperlink" Target="https://finance.yahoo.com/quote/AAPL251010C00150000/" TargetMode="External"/><Relationship Id="rId265" Type="http://schemas.openxmlformats.org/officeDocument/2006/relationships/hyperlink" Target="https://finance.yahoo.com/quote/AAPL251024C00175000/" TargetMode="External"/><Relationship Id="rId472" Type="http://schemas.openxmlformats.org/officeDocument/2006/relationships/hyperlink" Target="https://finance.yahoo.com/quote/AAPL/options/?straddle=false&amp;strike=135&amp;type=all" TargetMode="External"/><Relationship Id="rId2153" Type="http://schemas.openxmlformats.org/officeDocument/2006/relationships/hyperlink" Target="https://finance.yahoo.com/quote/AAPL260821P00220000/" TargetMode="External"/><Relationship Id="rId2360" Type="http://schemas.openxmlformats.org/officeDocument/2006/relationships/hyperlink" Target="https://finance.yahoo.com/quote/AAPL/options/?straddle=false&amp;strike=195&amp;type=all" TargetMode="External"/><Relationship Id="rId3204" Type="http://schemas.openxmlformats.org/officeDocument/2006/relationships/hyperlink" Target="https://finance.yahoo.com/quote/AAPL/options/?straddle=false&amp;strike=255&amp;type=all" TargetMode="External"/><Relationship Id="rId3411" Type="http://schemas.openxmlformats.org/officeDocument/2006/relationships/hyperlink" Target="https://finance.yahoo.com/quote/AAPL280121C00120000/" TargetMode="External"/><Relationship Id="rId125" Type="http://schemas.openxmlformats.org/officeDocument/2006/relationships/hyperlink" Target="https://finance.yahoo.com/quote/AAPL251017C00355000/" TargetMode="External"/><Relationship Id="rId332" Type="http://schemas.openxmlformats.org/officeDocument/2006/relationships/hyperlink" Target="https://finance.yahoo.com/quote/AAPL/options/?straddle=false&amp;strike=135&amp;type=all" TargetMode="External"/><Relationship Id="rId2013" Type="http://schemas.openxmlformats.org/officeDocument/2006/relationships/hyperlink" Target="https://finance.yahoo.com/quote/AAPL260618P00260000/" TargetMode="External"/><Relationship Id="rId2220" Type="http://schemas.openxmlformats.org/officeDocument/2006/relationships/hyperlink" Target="https://finance.yahoo.com/quote/AAPL/options/?straddle=false&amp;strike=150&amp;type=all" TargetMode="External"/><Relationship Id="rId1779" Type="http://schemas.openxmlformats.org/officeDocument/2006/relationships/hyperlink" Target="https://finance.yahoo.com/quote/AAPL260618C00015000/" TargetMode="External"/><Relationship Id="rId1986" Type="http://schemas.openxmlformats.org/officeDocument/2006/relationships/hyperlink" Target="https://finance.yahoo.com/quote/AAPL/options/?straddle=false&amp;strike=190&amp;type=all" TargetMode="External"/><Relationship Id="rId1639" Type="http://schemas.openxmlformats.org/officeDocument/2006/relationships/hyperlink" Target="https://finance.yahoo.com/quote/AAPL260515C00190000/" TargetMode="External"/><Relationship Id="rId1846" Type="http://schemas.openxmlformats.org/officeDocument/2006/relationships/hyperlink" Target="https://finance.yahoo.com/quote/AAPL/options/?straddle=false&amp;strike=180&amp;type=all" TargetMode="External"/><Relationship Id="rId3061" Type="http://schemas.openxmlformats.org/officeDocument/2006/relationships/hyperlink" Target="https://finance.yahoo.com/quote/AAPL270617P00175000/" TargetMode="External"/><Relationship Id="rId1706" Type="http://schemas.openxmlformats.org/officeDocument/2006/relationships/hyperlink" Target="https://finance.yahoo.com/quote/AAPL/options/?straddle=false&amp;strike=90&amp;type=all" TargetMode="External"/><Relationship Id="rId1913" Type="http://schemas.openxmlformats.org/officeDocument/2006/relationships/hyperlink" Target="https://finance.yahoo.com/quote/AAPL260618P00010000/" TargetMode="External"/><Relationship Id="rId799" Type="http://schemas.openxmlformats.org/officeDocument/2006/relationships/hyperlink" Target="https://finance.yahoo.com/quote/AAPL251121P00280000/" TargetMode="External"/><Relationship Id="rId2687" Type="http://schemas.openxmlformats.org/officeDocument/2006/relationships/hyperlink" Target="https://finance.yahoo.com/quote/AAPL270115C00100000/" TargetMode="External"/><Relationship Id="rId2894" Type="http://schemas.openxmlformats.org/officeDocument/2006/relationships/hyperlink" Target="https://finance.yahoo.com/quote/AAPL/options/?straddle=false&amp;strike=430&amp;type=all" TargetMode="External"/><Relationship Id="rId3738" Type="http://schemas.openxmlformats.org/officeDocument/2006/relationships/hyperlink" Target="https://finance.yahoo.com/quote/AAPL/options/?straddle=false&amp;strike=300&amp;type=all" TargetMode="External"/><Relationship Id="rId659" Type="http://schemas.openxmlformats.org/officeDocument/2006/relationships/hyperlink" Target="https://finance.yahoo.com/quote/AAPL251121C00185000/" TargetMode="External"/><Relationship Id="rId866" Type="http://schemas.openxmlformats.org/officeDocument/2006/relationships/hyperlink" Target="https://finance.yahoo.com/quote/AAPL/options/?straddle=false&amp;strike=125&amp;type=all" TargetMode="External"/><Relationship Id="rId1289" Type="http://schemas.openxmlformats.org/officeDocument/2006/relationships/hyperlink" Target="https://finance.yahoo.com/quote/AAPL260320C00105000/" TargetMode="External"/><Relationship Id="rId1496" Type="http://schemas.openxmlformats.org/officeDocument/2006/relationships/hyperlink" Target="https://finance.yahoo.com/quote/AAPL/options/?straddle=false&amp;strike=275&amp;type=all" TargetMode="External"/><Relationship Id="rId2547" Type="http://schemas.openxmlformats.org/officeDocument/2006/relationships/hyperlink" Target="https://finance.yahoo.com/quote/AAPL261218P00030000/" TargetMode="External"/><Relationship Id="rId519" Type="http://schemas.openxmlformats.org/officeDocument/2006/relationships/hyperlink" Target="https://finance.yahoo.com/quote/AAPL251031P00255000/" TargetMode="External"/><Relationship Id="rId1149" Type="http://schemas.openxmlformats.org/officeDocument/2006/relationships/hyperlink" Target="https://finance.yahoo.com/quote/AAPL260220C00230000/" TargetMode="External"/><Relationship Id="rId1356" Type="http://schemas.openxmlformats.org/officeDocument/2006/relationships/hyperlink" Target="https://finance.yahoo.com/quote/AAPL/options/?straddle=false&amp;strike=340&amp;type=all" TargetMode="External"/><Relationship Id="rId2754" Type="http://schemas.openxmlformats.org/officeDocument/2006/relationships/hyperlink" Target="https://finance.yahoo.com/quote/AAPL/options/?straddle=false&amp;strike=330&amp;type=all" TargetMode="External"/><Relationship Id="rId2961" Type="http://schemas.openxmlformats.org/officeDocument/2006/relationships/hyperlink" Target="https://finance.yahoo.com/quote/AAPL270617C00210000/" TargetMode="External"/><Relationship Id="rId726" Type="http://schemas.openxmlformats.org/officeDocument/2006/relationships/hyperlink" Target="https://finance.yahoo.com/quote/AAPL/options/?straddle=false&amp;strike=350&amp;type=all" TargetMode="External"/><Relationship Id="rId933" Type="http://schemas.openxmlformats.org/officeDocument/2006/relationships/hyperlink" Target="https://finance.yahoo.com/quote/AAPL260116C00295000/" TargetMode="External"/><Relationship Id="rId1009" Type="http://schemas.openxmlformats.org/officeDocument/2006/relationships/hyperlink" Target="https://finance.yahoo.com/quote/AAPL260116P00130000/" TargetMode="External"/><Relationship Id="rId1563" Type="http://schemas.openxmlformats.org/officeDocument/2006/relationships/hyperlink" Target="https://finance.yahoo.com/quote/AAPL260417P00215000/" TargetMode="External"/><Relationship Id="rId1770" Type="http://schemas.openxmlformats.org/officeDocument/2006/relationships/hyperlink" Target="https://finance.yahoo.com/quote/AAPL/options/?straddle=false&amp;strike=300&amp;type=all" TargetMode="External"/><Relationship Id="rId2407" Type="http://schemas.openxmlformats.org/officeDocument/2006/relationships/hyperlink" Target="https://finance.yahoo.com/quote/AAPL260918P00350000/" TargetMode="External"/><Relationship Id="rId2614" Type="http://schemas.openxmlformats.org/officeDocument/2006/relationships/hyperlink" Target="https://finance.yahoo.com/quote/AAPL/options/?straddle=false&amp;strike=220&amp;type=all" TargetMode="External"/><Relationship Id="rId2821" Type="http://schemas.openxmlformats.org/officeDocument/2006/relationships/hyperlink" Target="https://finance.yahoo.com/quote/AAPL270115P00125000/" TargetMode="External"/><Relationship Id="rId62" Type="http://schemas.openxmlformats.org/officeDocument/2006/relationships/hyperlink" Target="https://finance.yahoo.com/quote/AAPL/options/?straddle=false&amp;strike=235&amp;type=all" TargetMode="External"/><Relationship Id="rId1216" Type="http://schemas.openxmlformats.org/officeDocument/2006/relationships/hyperlink" Target="https://finance.yahoo.com/quote/AAPL/options/?straddle=false&amp;strike=140&amp;type=all" TargetMode="External"/><Relationship Id="rId1423" Type="http://schemas.openxmlformats.org/officeDocument/2006/relationships/hyperlink" Target="https://finance.yahoo.com/quote/AAPL260320P00280000/" TargetMode="External"/><Relationship Id="rId1630" Type="http://schemas.openxmlformats.org/officeDocument/2006/relationships/hyperlink" Target="https://finance.yahoo.com/quote/AAPL/options/?straddle=false&amp;strike=165&amp;type=all" TargetMode="External"/><Relationship Id="rId3388" Type="http://schemas.openxmlformats.org/officeDocument/2006/relationships/hyperlink" Target="https://finance.yahoo.com/quote/AAPL/options/?straddle=false&amp;strike=320&amp;type=all" TargetMode="External"/><Relationship Id="rId3595" Type="http://schemas.openxmlformats.org/officeDocument/2006/relationships/hyperlink" Target="https://finance.yahoo.com/quote/AAPL251010C00240000/" TargetMode="External"/><Relationship Id="rId2197" Type="http://schemas.openxmlformats.org/officeDocument/2006/relationships/hyperlink" Target="https://finance.yahoo.com/quote/AAPL260918C00095000/" TargetMode="External"/><Relationship Id="rId3248" Type="http://schemas.openxmlformats.org/officeDocument/2006/relationships/hyperlink" Target="https://finance.yahoo.com/quote/AAPL/options/?straddle=false&amp;strike=365&amp;type=all" TargetMode="External"/><Relationship Id="rId3455" Type="http://schemas.openxmlformats.org/officeDocument/2006/relationships/hyperlink" Target="https://finance.yahoo.com/quote/AAPL280121C00310000/" TargetMode="External"/><Relationship Id="rId3662" Type="http://schemas.openxmlformats.org/officeDocument/2006/relationships/hyperlink" Target="https://finance.yahoo.com/quote/AAPL/options/?straddle=false&amp;strike=165&amp;type=all" TargetMode="External"/><Relationship Id="rId169" Type="http://schemas.openxmlformats.org/officeDocument/2006/relationships/hyperlink" Target="https://finance.yahoo.com/quote/AAPL251017P00185000/" TargetMode="External"/><Relationship Id="rId376" Type="http://schemas.openxmlformats.org/officeDocument/2006/relationships/hyperlink" Target="https://finance.yahoo.com/quote/AAPL/options/?straddle=false&amp;strike=245&amp;type=all" TargetMode="External"/><Relationship Id="rId583" Type="http://schemas.openxmlformats.org/officeDocument/2006/relationships/hyperlink" Target="https://finance.yahoo.com/quote/AAPL251107C00305000/" TargetMode="External"/><Relationship Id="rId790" Type="http://schemas.openxmlformats.org/officeDocument/2006/relationships/hyperlink" Target="https://finance.yahoo.com/quote/AAPL/options/?straddle=false&amp;strike=255&amp;type=all" TargetMode="External"/><Relationship Id="rId2057" Type="http://schemas.openxmlformats.org/officeDocument/2006/relationships/hyperlink" Target="https://finance.yahoo.com/quote/AAPL260821C00140000/" TargetMode="External"/><Relationship Id="rId2264" Type="http://schemas.openxmlformats.org/officeDocument/2006/relationships/hyperlink" Target="https://finance.yahoo.com/quote/AAPL/options/?straddle=false&amp;strike=260&amp;type=all" TargetMode="External"/><Relationship Id="rId2471" Type="http://schemas.openxmlformats.org/officeDocument/2006/relationships/hyperlink" Target="https://finance.yahoo.com/quote/AAPL261218C00165000/" TargetMode="External"/><Relationship Id="rId3108" Type="http://schemas.openxmlformats.org/officeDocument/2006/relationships/hyperlink" Target="https://finance.yahoo.com/quote/AAPL/options/?straddle=false&amp;strike=390&amp;type=all" TargetMode="External"/><Relationship Id="rId3315" Type="http://schemas.openxmlformats.org/officeDocument/2006/relationships/hyperlink" Target="https://finance.yahoo.com/quote/AAPL271217P00140000/" TargetMode="External"/><Relationship Id="rId3522" Type="http://schemas.openxmlformats.org/officeDocument/2006/relationships/hyperlink" Target="https://finance.yahoo.com/quote/AAPL/options/?straddle=false&amp;strike=230&amp;type=all" TargetMode="External"/><Relationship Id="rId236" Type="http://schemas.openxmlformats.org/officeDocument/2006/relationships/hyperlink" Target="https://finance.yahoo.com/quote/AAPL/options/?straddle=false&amp;strike=295&amp;type=all" TargetMode="External"/><Relationship Id="rId443" Type="http://schemas.openxmlformats.org/officeDocument/2006/relationships/hyperlink" Target="https://finance.yahoo.com/quote/AAPL251031C00275000/" TargetMode="External"/><Relationship Id="rId650" Type="http://schemas.openxmlformats.org/officeDocument/2006/relationships/hyperlink" Target="https://finance.yahoo.com/quote/AAPL/options/?straddle=false&amp;strike=160&amp;type=all" TargetMode="External"/><Relationship Id="rId1073" Type="http://schemas.openxmlformats.org/officeDocument/2006/relationships/hyperlink" Target="https://finance.yahoo.com/quote/AAPL260116P00290000/" TargetMode="External"/><Relationship Id="rId1280" Type="http://schemas.openxmlformats.org/officeDocument/2006/relationships/hyperlink" Target="https://finance.yahoo.com/quote/AAPL/options/?straddle=false&amp;strike=300&amp;type=all" TargetMode="External"/><Relationship Id="rId2124" Type="http://schemas.openxmlformats.org/officeDocument/2006/relationships/hyperlink" Target="https://finance.yahoo.com/quote/AAPL/options/?straddle=false&amp;strike=135&amp;type=all" TargetMode="External"/><Relationship Id="rId2331" Type="http://schemas.openxmlformats.org/officeDocument/2006/relationships/hyperlink" Target="https://finance.yahoo.com/quote/AAPL260918P00125000/" TargetMode="External"/><Relationship Id="rId303" Type="http://schemas.openxmlformats.org/officeDocument/2006/relationships/hyperlink" Target="https://finance.yahoo.com/quote/AAPL251024C00270000/" TargetMode="External"/><Relationship Id="rId1140" Type="http://schemas.openxmlformats.org/officeDocument/2006/relationships/hyperlink" Target="https://finance.yahoo.com/quote/AAPL/options/?straddle=false&amp;strike=205&amp;type=all" TargetMode="External"/><Relationship Id="rId510" Type="http://schemas.openxmlformats.org/officeDocument/2006/relationships/hyperlink" Target="https://finance.yahoo.com/quote/AAPL/options/?straddle=false&amp;strike=230&amp;type=all" TargetMode="External"/><Relationship Id="rId1000" Type="http://schemas.openxmlformats.org/officeDocument/2006/relationships/hyperlink" Target="https://finance.yahoo.com/quote/AAPL/options/?straddle=false&amp;strike=105&amp;type=all" TargetMode="External"/><Relationship Id="rId1957" Type="http://schemas.openxmlformats.org/officeDocument/2006/relationships/hyperlink" Target="https://finance.yahoo.com/quote/AAPL260618P00120000/" TargetMode="External"/><Relationship Id="rId1817" Type="http://schemas.openxmlformats.org/officeDocument/2006/relationships/hyperlink" Target="https://finance.yahoo.com/quote/AAPL260618C00110000/" TargetMode="External"/><Relationship Id="rId3172" Type="http://schemas.openxmlformats.org/officeDocument/2006/relationships/hyperlink" Target="https://finance.yahoo.com/quote/AAPL/options/?straddle=false&amp;strike=175&amp;type=all" TargetMode="External"/><Relationship Id="rId3032" Type="http://schemas.openxmlformats.org/officeDocument/2006/relationships/hyperlink" Target="https://finance.yahoo.com/quote/AAPL/options/?straddle=false&amp;strike=100&amp;type=all" TargetMode="External"/><Relationship Id="rId160" Type="http://schemas.openxmlformats.org/officeDocument/2006/relationships/hyperlink" Target="https://finance.yahoo.com/quote/AAPL/options/?straddle=false&amp;strike=160&amp;type=all" TargetMode="External"/><Relationship Id="rId2798" Type="http://schemas.openxmlformats.org/officeDocument/2006/relationships/hyperlink" Target="https://finance.yahoo.com/quote/AAPL/options/?straddle=false&amp;strike=50&amp;type=all" TargetMode="External"/><Relationship Id="rId977" Type="http://schemas.openxmlformats.org/officeDocument/2006/relationships/hyperlink" Target="https://finance.yahoo.com/quote/AAPL260116P00050000/" TargetMode="External"/><Relationship Id="rId2658" Type="http://schemas.openxmlformats.org/officeDocument/2006/relationships/hyperlink" Target="https://finance.yahoo.com/quote/AAPL/options/?straddle=false&amp;strike=10&amp;type=all" TargetMode="External"/><Relationship Id="rId2865" Type="http://schemas.openxmlformats.org/officeDocument/2006/relationships/hyperlink" Target="https://finance.yahoo.com/quote/AAPL270115P00270000/" TargetMode="External"/><Relationship Id="rId3709" Type="http://schemas.openxmlformats.org/officeDocument/2006/relationships/hyperlink" Target="https://finance.yahoo.com/quote/AAPL251010P00250000/" TargetMode="External"/><Relationship Id="rId837" Type="http://schemas.openxmlformats.org/officeDocument/2006/relationships/hyperlink" Target="https://finance.yahoo.com/quote/AAPL260116C00055000/" TargetMode="External"/><Relationship Id="rId1467" Type="http://schemas.openxmlformats.org/officeDocument/2006/relationships/hyperlink" Target="https://finance.yahoo.com/quote/AAPL260417C00205000/" TargetMode="External"/><Relationship Id="rId1674" Type="http://schemas.openxmlformats.org/officeDocument/2006/relationships/hyperlink" Target="https://finance.yahoo.com/quote/AAPL/options/?straddle=false&amp;strike=350&amp;type=all" TargetMode="External"/><Relationship Id="rId1881" Type="http://schemas.openxmlformats.org/officeDocument/2006/relationships/hyperlink" Target="https://finance.yahoo.com/quote/AAPL260618C00270000/" TargetMode="External"/><Relationship Id="rId2518" Type="http://schemas.openxmlformats.org/officeDocument/2006/relationships/hyperlink" Target="https://finance.yahoo.com/quote/AAPL/options/?straddle=false&amp;strike=360&amp;type=all" TargetMode="External"/><Relationship Id="rId2725" Type="http://schemas.openxmlformats.org/officeDocument/2006/relationships/hyperlink" Target="https://finance.yahoo.com/quote/AAPL270115C00195000/" TargetMode="External"/><Relationship Id="rId2932" Type="http://schemas.openxmlformats.org/officeDocument/2006/relationships/hyperlink" Target="https://finance.yahoo.com/quote/AAPL/options/?straddle=false&amp;strike=130&amp;type=all" TargetMode="External"/><Relationship Id="rId904" Type="http://schemas.openxmlformats.org/officeDocument/2006/relationships/hyperlink" Target="https://finance.yahoo.com/quote/AAPL/options/?straddle=false&amp;strike=220&amp;type=all" TargetMode="External"/><Relationship Id="rId1327" Type="http://schemas.openxmlformats.org/officeDocument/2006/relationships/hyperlink" Target="https://finance.yahoo.com/quote/AAPL260320C00200000/" TargetMode="External"/><Relationship Id="rId1534" Type="http://schemas.openxmlformats.org/officeDocument/2006/relationships/hyperlink" Target="https://finance.yahoo.com/quote/AAPL/options/?straddle=false&amp;strike=140&amp;type=all" TargetMode="External"/><Relationship Id="rId1741" Type="http://schemas.openxmlformats.org/officeDocument/2006/relationships/hyperlink" Target="https://finance.yahoo.com/quote/AAPL260515P00180000/" TargetMode="External"/><Relationship Id="rId33" Type="http://schemas.openxmlformats.org/officeDocument/2006/relationships/hyperlink" Target="https://finance.yahoo.com/quote/AAPL251017C00185000/" TargetMode="External"/><Relationship Id="rId1601" Type="http://schemas.openxmlformats.org/officeDocument/2006/relationships/hyperlink" Target="https://finance.yahoo.com/quote/AAPL260515C00030000/" TargetMode="External"/><Relationship Id="rId3499" Type="http://schemas.openxmlformats.org/officeDocument/2006/relationships/hyperlink" Target="https://finance.yahoo.com/quote/AAPL280121P00150000/" TargetMode="External"/><Relationship Id="rId3359" Type="http://schemas.openxmlformats.org/officeDocument/2006/relationships/hyperlink" Target="https://finance.yahoo.com/quote/AAPL271217P00250000/" TargetMode="External"/><Relationship Id="rId3566" Type="http://schemas.openxmlformats.org/officeDocument/2006/relationships/hyperlink" Target="https://finance.yahoo.com/quote/AAPL/options/?straddle=false&amp;strike=190&amp;type=all" TargetMode="External"/><Relationship Id="rId487" Type="http://schemas.openxmlformats.org/officeDocument/2006/relationships/hyperlink" Target="https://finance.yahoo.com/quote/AAPL251031P00175000/" TargetMode="External"/><Relationship Id="rId694" Type="http://schemas.openxmlformats.org/officeDocument/2006/relationships/hyperlink" Target="https://finance.yahoo.com/quote/AAPL/options/?straddle=false&amp;strike=270&amp;type=all" TargetMode="External"/><Relationship Id="rId2168" Type="http://schemas.openxmlformats.org/officeDocument/2006/relationships/hyperlink" Target="https://finance.yahoo.com/quote/AAPL/options/?straddle=false&amp;strike=290&amp;type=all" TargetMode="External"/><Relationship Id="rId2375" Type="http://schemas.openxmlformats.org/officeDocument/2006/relationships/hyperlink" Target="https://finance.yahoo.com/quote/AAPL260918P00235000/" TargetMode="External"/><Relationship Id="rId3219" Type="http://schemas.openxmlformats.org/officeDocument/2006/relationships/hyperlink" Target="https://finance.yahoo.com/quote/AAPL271217C00295000/" TargetMode="External"/><Relationship Id="rId347" Type="http://schemas.openxmlformats.org/officeDocument/2006/relationships/hyperlink" Target="https://finance.yahoo.com/quote/AAPL251024P00175000/" TargetMode="External"/><Relationship Id="rId1184" Type="http://schemas.openxmlformats.org/officeDocument/2006/relationships/hyperlink" Target="https://finance.yahoo.com/quote/AAPL/options/?straddle=false&amp;strike=330&amp;type=all" TargetMode="External"/><Relationship Id="rId2028" Type="http://schemas.openxmlformats.org/officeDocument/2006/relationships/hyperlink" Target="https://finance.yahoo.com/quote/AAPL/options/?straddle=false&amp;strike=300&amp;type=all" TargetMode="External"/><Relationship Id="rId2582" Type="http://schemas.openxmlformats.org/officeDocument/2006/relationships/hyperlink" Target="https://finance.yahoo.com/quote/AAPL/options/?straddle=false&amp;strike=130&amp;type=all" TargetMode="External"/><Relationship Id="rId3426" Type="http://schemas.openxmlformats.org/officeDocument/2006/relationships/hyperlink" Target="https://finance.yahoo.com/quote/AAPL/options/?straddle=false&amp;strike=180&amp;type=all" TargetMode="External"/><Relationship Id="rId3633" Type="http://schemas.openxmlformats.org/officeDocument/2006/relationships/hyperlink" Target="https://finance.yahoo.com/quote/AAPL251010C00300000/" TargetMode="External"/><Relationship Id="rId554" Type="http://schemas.openxmlformats.org/officeDocument/2006/relationships/hyperlink" Target="https://finance.yahoo.com/quote/AAPL/options/?straddle=false&amp;strike=230&amp;type=all" TargetMode="External"/><Relationship Id="rId761" Type="http://schemas.openxmlformats.org/officeDocument/2006/relationships/hyperlink" Target="https://finance.yahoo.com/quote/AAPL251121P00185000/" TargetMode="External"/><Relationship Id="rId1391" Type="http://schemas.openxmlformats.org/officeDocument/2006/relationships/hyperlink" Target="https://finance.yahoo.com/quote/AAPL260320P00160000/" TargetMode="External"/><Relationship Id="rId2235" Type="http://schemas.openxmlformats.org/officeDocument/2006/relationships/hyperlink" Target="https://finance.yahoo.com/quote/AAPL260918C00190000/" TargetMode="External"/><Relationship Id="rId2442" Type="http://schemas.openxmlformats.org/officeDocument/2006/relationships/hyperlink" Target="https://finance.yahoo.com/quote/AAPL/options/?straddle=false&amp;strike=90&amp;type=all" TargetMode="External"/><Relationship Id="rId3700" Type="http://schemas.openxmlformats.org/officeDocument/2006/relationships/hyperlink" Target="https://finance.yahoo.com/quote/AAPL/options/?straddle=false&amp;strike=237.5&amp;type=all" TargetMode="External"/><Relationship Id="rId207" Type="http://schemas.openxmlformats.org/officeDocument/2006/relationships/hyperlink" Target="https://finance.yahoo.com/quote/AAPL251017P00247500/" TargetMode="External"/><Relationship Id="rId414" Type="http://schemas.openxmlformats.org/officeDocument/2006/relationships/hyperlink" Target="https://finance.yahoo.com/quote/AAPL/options/?straddle=false&amp;strike=200&amp;type=all" TargetMode="External"/><Relationship Id="rId621" Type="http://schemas.openxmlformats.org/officeDocument/2006/relationships/hyperlink" Target="https://finance.yahoo.com/quote/AAPL251107P00260000/" TargetMode="External"/><Relationship Id="rId1044" Type="http://schemas.openxmlformats.org/officeDocument/2006/relationships/hyperlink" Target="https://finance.yahoo.com/quote/AAPL/options/?straddle=false&amp;strike=215&amp;type=all" TargetMode="External"/><Relationship Id="rId1251" Type="http://schemas.openxmlformats.org/officeDocument/2006/relationships/hyperlink" Target="https://finance.yahoo.com/quote/AAPL260220P00230000/" TargetMode="External"/><Relationship Id="rId2302" Type="http://schemas.openxmlformats.org/officeDocument/2006/relationships/hyperlink" Target="https://finance.yahoo.com/quote/AAPL/options/?straddle=false&amp;strike=50&amp;type=all" TargetMode="External"/><Relationship Id="rId1111" Type="http://schemas.openxmlformats.org/officeDocument/2006/relationships/hyperlink" Target="https://finance.yahoo.com/quote/AAPL260220C00135000/" TargetMode="External"/><Relationship Id="rId3076" Type="http://schemas.openxmlformats.org/officeDocument/2006/relationships/hyperlink" Target="https://finance.yahoo.com/quote/AAPL/options/?straddle=false&amp;strike=220&amp;type=all" TargetMode="External"/><Relationship Id="rId3283" Type="http://schemas.openxmlformats.org/officeDocument/2006/relationships/hyperlink" Target="https://finance.yahoo.com/quote/AAPL271217P00060000/" TargetMode="External"/><Relationship Id="rId3490" Type="http://schemas.openxmlformats.org/officeDocument/2006/relationships/hyperlink" Target="https://finance.yahoo.com/quote/AAPL/options/?straddle=false&amp;strike=120&amp;type=all" TargetMode="External"/><Relationship Id="rId1928" Type="http://schemas.openxmlformats.org/officeDocument/2006/relationships/hyperlink" Target="https://finance.yahoo.com/quote/AAPL/options/?straddle=false&amp;strike=45&amp;type=all" TargetMode="External"/><Relationship Id="rId2092" Type="http://schemas.openxmlformats.org/officeDocument/2006/relationships/hyperlink" Target="https://finance.yahoo.com/quote/AAPL/options/?straddle=false&amp;strike=250&amp;type=all" TargetMode="External"/><Relationship Id="rId3143" Type="http://schemas.openxmlformats.org/officeDocument/2006/relationships/hyperlink" Target="https://finance.yahoo.com/quote/AAPL271217C00105000/" TargetMode="External"/><Relationship Id="rId3350" Type="http://schemas.openxmlformats.org/officeDocument/2006/relationships/hyperlink" Target="https://finance.yahoo.com/quote/AAPL/options/?straddle=false&amp;strike=225&amp;type=all" TargetMode="External"/><Relationship Id="rId271" Type="http://schemas.openxmlformats.org/officeDocument/2006/relationships/hyperlink" Target="https://finance.yahoo.com/quote/AAPL251024C00190000/" TargetMode="External"/><Relationship Id="rId3003" Type="http://schemas.openxmlformats.org/officeDocument/2006/relationships/hyperlink" Target="https://finance.yahoo.com/quote/AAPL270617C00420000/" TargetMode="External"/><Relationship Id="rId131" Type="http://schemas.openxmlformats.org/officeDocument/2006/relationships/hyperlink" Target="https://finance.yahoo.com/quote/AAPL251017P00090000/" TargetMode="External"/><Relationship Id="rId3210" Type="http://schemas.openxmlformats.org/officeDocument/2006/relationships/hyperlink" Target="https://finance.yahoo.com/quote/AAPL/options/?straddle=false&amp;strike=270&amp;type=all" TargetMode="External"/><Relationship Id="rId2769" Type="http://schemas.openxmlformats.org/officeDocument/2006/relationships/hyperlink" Target="https://finance.yahoo.com/quote/AAPL270115C00410000/" TargetMode="External"/><Relationship Id="rId2976" Type="http://schemas.openxmlformats.org/officeDocument/2006/relationships/hyperlink" Target="https://finance.yahoo.com/quote/AAPL/options/?straddle=false&amp;strike=280&amp;type=all" TargetMode="External"/><Relationship Id="rId948" Type="http://schemas.openxmlformats.org/officeDocument/2006/relationships/hyperlink" Target="https://finance.yahoo.com/quote/AAPL/options/?straddle=false&amp;strike=340&amp;type=all" TargetMode="External"/><Relationship Id="rId1578" Type="http://schemas.openxmlformats.org/officeDocument/2006/relationships/hyperlink" Target="https://finance.yahoo.com/quote/AAPL/options/?straddle=false&amp;strike=250&amp;type=all" TargetMode="External"/><Relationship Id="rId1785" Type="http://schemas.openxmlformats.org/officeDocument/2006/relationships/hyperlink" Target="https://finance.yahoo.com/quote/AAPL260618C00030000/" TargetMode="External"/><Relationship Id="rId1992" Type="http://schemas.openxmlformats.org/officeDocument/2006/relationships/hyperlink" Target="https://finance.yahoo.com/quote/AAPL/options/?straddle=false&amp;strike=205&amp;type=all" TargetMode="External"/><Relationship Id="rId2629" Type="http://schemas.openxmlformats.org/officeDocument/2006/relationships/hyperlink" Target="https://finance.yahoo.com/quote/AAPL261218P00300000/" TargetMode="External"/><Relationship Id="rId2836" Type="http://schemas.openxmlformats.org/officeDocument/2006/relationships/hyperlink" Target="https://finance.yahoo.com/quote/AAPL/options/?straddle=false&amp;strike=160&amp;type=all" TargetMode="External"/><Relationship Id="rId77" Type="http://schemas.openxmlformats.org/officeDocument/2006/relationships/hyperlink" Target="https://finance.yahoo.com/quote/AAPL251017C00255000/" TargetMode="External"/><Relationship Id="rId808" Type="http://schemas.openxmlformats.org/officeDocument/2006/relationships/hyperlink" Target="https://finance.yahoo.com/quote/AAPL/options/?straddle=false&amp;strike=305&amp;type=all" TargetMode="External"/><Relationship Id="rId1438" Type="http://schemas.openxmlformats.org/officeDocument/2006/relationships/hyperlink" Target="https://finance.yahoo.com/quote/AAPL/options/?straddle=false&amp;strike=370&amp;type=all" TargetMode="External"/><Relationship Id="rId1645" Type="http://schemas.openxmlformats.org/officeDocument/2006/relationships/hyperlink" Target="https://finance.yahoo.com/quote/AAPL260515C00210000/" TargetMode="External"/><Relationship Id="rId1852" Type="http://schemas.openxmlformats.org/officeDocument/2006/relationships/hyperlink" Target="https://finance.yahoo.com/quote/AAPL/options/?straddle=false&amp;strike=195&amp;type=all" TargetMode="External"/><Relationship Id="rId2903" Type="http://schemas.openxmlformats.org/officeDocument/2006/relationships/hyperlink" Target="https://finance.yahoo.com/quote/AAPL270617C00060000/" TargetMode="External"/><Relationship Id="rId1505" Type="http://schemas.openxmlformats.org/officeDocument/2006/relationships/hyperlink" Target="https://finance.yahoo.com/quote/AAPL260417C00300000/" TargetMode="External"/><Relationship Id="rId1712" Type="http://schemas.openxmlformats.org/officeDocument/2006/relationships/hyperlink" Target="https://finance.yahoo.com/quote/AAPL/options/?straddle=false&amp;strike=105&amp;type=all" TargetMode="External"/><Relationship Id="rId3677" Type="http://schemas.openxmlformats.org/officeDocument/2006/relationships/hyperlink" Target="https://finance.yahoo.com/quote/AAPL251010P00205000/" TargetMode="External"/><Relationship Id="rId598" Type="http://schemas.openxmlformats.org/officeDocument/2006/relationships/hyperlink" Target="https://finance.yahoo.com/quote/AAPL/options/?straddle=false&amp;strike=200&amp;type=all" TargetMode="External"/><Relationship Id="rId2279" Type="http://schemas.openxmlformats.org/officeDocument/2006/relationships/hyperlink" Target="https://finance.yahoo.com/quote/AAPL260918C00300000/" TargetMode="External"/><Relationship Id="rId2486" Type="http://schemas.openxmlformats.org/officeDocument/2006/relationships/hyperlink" Target="https://finance.yahoo.com/quote/AAPL/options/?straddle=false&amp;strike=200&amp;type=all" TargetMode="External"/><Relationship Id="rId2693" Type="http://schemas.openxmlformats.org/officeDocument/2006/relationships/hyperlink" Target="https://finance.yahoo.com/quote/AAPL270115C00115000/" TargetMode="External"/><Relationship Id="rId3537" Type="http://schemas.openxmlformats.org/officeDocument/2006/relationships/hyperlink" Target="https://finance.yahoo.com/quote/AAPL280121P00310000/" TargetMode="External"/><Relationship Id="rId458" Type="http://schemas.openxmlformats.org/officeDocument/2006/relationships/hyperlink" Target="https://finance.yahoo.com/quote/AAPL/options/?straddle=false&amp;strike=310&amp;type=all" TargetMode="External"/><Relationship Id="rId665" Type="http://schemas.openxmlformats.org/officeDocument/2006/relationships/hyperlink" Target="https://finance.yahoo.com/quote/AAPL251121C00200000/" TargetMode="External"/><Relationship Id="rId872" Type="http://schemas.openxmlformats.org/officeDocument/2006/relationships/hyperlink" Target="https://finance.yahoo.com/quote/AAPL/options/?straddle=false&amp;strike=140&amp;type=all" TargetMode="External"/><Relationship Id="rId1088" Type="http://schemas.openxmlformats.org/officeDocument/2006/relationships/hyperlink" Target="https://finance.yahoo.com/quote/AAPL/options/?straddle=false&amp;strike=330&amp;type=all" TargetMode="External"/><Relationship Id="rId1295" Type="http://schemas.openxmlformats.org/officeDocument/2006/relationships/hyperlink" Target="https://finance.yahoo.com/quote/AAPL260320C00120000/" TargetMode="External"/><Relationship Id="rId2139" Type="http://schemas.openxmlformats.org/officeDocument/2006/relationships/hyperlink" Target="https://finance.yahoo.com/quote/AAPL260821P00175000/" TargetMode="External"/><Relationship Id="rId2346" Type="http://schemas.openxmlformats.org/officeDocument/2006/relationships/hyperlink" Target="https://finance.yahoo.com/quote/AAPL/options/?straddle=false&amp;strike=160&amp;type=all" TargetMode="External"/><Relationship Id="rId2553" Type="http://schemas.openxmlformats.org/officeDocument/2006/relationships/hyperlink" Target="https://finance.yahoo.com/quote/AAPL261218P00045000/" TargetMode="External"/><Relationship Id="rId2760" Type="http://schemas.openxmlformats.org/officeDocument/2006/relationships/hyperlink" Target="https://finance.yahoo.com/quote/AAPL/options/?straddle=false&amp;strike=360&amp;type=all" TargetMode="External"/><Relationship Id="rId3604" Type="http://schemas.openxmlformats.org/officeDocument/2006/relationships/hyperlink" Target="https://finance.yahoo.com/quote/AAPL/options/?straddle=false&amp;strike=250&amp;type=all" TargetMode="External"/><Relationship Id="rId318" Type="http://schemas.openxmlformats.org/officeDocument/2006/relationships/hyperlink" Target="https://finance.yahoo.com/quote/AAPL/options/?straddle=false&amp;strike=305&amp;type=all" TargetMode="External"/><Relationship Id="rId525" Type="http://schemas.openxmlformats.org/officeDocument/2006/relationships/hyperlink" Target="https://finance.yahoo.com/quote/AAPL251031P00270000/" TargetMode="External"/><Relationship Id="rId732" Type="http://schemas.openxmlformats.org/officeDocument/2006/relationships/hyperlink" Target="https://finance.yahoo.com/quote/AAPL/options/?straddle=false&amp;strike=110&amp;type=all" TargetMode="External"/><Relationship Id="rId1155" Type="http://schemas.openxmlformats.org/officeDocument/2006/relationships/hyperlink" Target="https://finance.yahoo.com/quote/AAPL260220C00245000/" TargetMode="External"/><Relationship Id="rId1362" Type="http://schemas.openxmlformats.org/officeDocument/2006/relationships/hyperlink" Target="https://finance.yahoo.com/quote/AAPL/options/?straddle=false&amp;strike=370&amp;type=all" TargetMode="External"/><Relationship Id="rId2206" Type="http://schemas.openxmlformats.org/officeDocument/2006/relationships/hyperlink" Target="https://finance.yahoo.com/quote/AAPL/options/?straddle=false&amp;strike=115&amp;type=all" TargetMode="External"/><Relationship Id="rId2413" Type="http://schemas.openxmlformats.org/officeDocument/2006/relationships/hyperlink" Target="https://finance.yahoo.com/quote/AAPL261218C00005000/" TargetMode="External"/><Relationship Id="rId2620" Type="http://schemas.openxmlformats.org/officeDocument/2006/relationships/hyperlink" Target="https://finance.yahoo.com/quote/AAPL/options/?straddle=false&amp;strike=250&amp;type=all" TargetMode="External"/><Relationship Id="rId1015" Type="http://schemas.openxmlformats.org/officeDocument/2006/relationships/hyperlink" Target="https://finance.yahoo.com/quote/AAPL260116P00145000/" TargetMode="External"/><Relationship Id="rId1222" Type="http://schemas.openxmlformats.org/officeDocument/2006/relationships/hyperlink" Target="https://finance.yahoo.com/quote/AAPL/options/?straddle=false&amp;strike=155&amp;type=all" TargetMode="External"/><Relationship Id="rId3187" Type="http://schemas.openxmlformats.org/officeDocument/2006/relationships/hyperlink" Target="https://finance.yahoo.com/quote/AAPL271217C00215000/" TargetMode="External"/><Relationship Id="rId3394" Type="http://schemas.openxmlformats.org/officeDocument/2006/relationships/hyperlink" Target="https://finance.yahoo.com/quote/AAPL/options/?straddle=false&amp;strike=350&amp;type=all" TargetMode="External"/><Relationship Id="rId3047" Type="http://schemas.openxmlformats.org/officeDocument/2006/relationships/hyperlink" Target="https://finance.yahoo.com/quote/AAPL270617P00140000/" TargetMode="External"/><Relationship Id="rId175" Type="http://schemas.openxmlformats.org/officeDocument/2006/relationships/hyperlink" Target="https://finance.yahoo.com/quote/AAPL251017P00200000/" TargetMode="External"/><Relationship Id="rId3254" Type="http://schemas.openxmlformats.org/officeDocument/2006/relationships/hyperlink" Target="https://finance.yahoo.com/quote/AAPL/options/?straddle=false&amp;strike=380&amp;type=all" TargetMode="External"/><Relationship Id="rId3461" Type="http://schemas.openxmlformats.org/officeDocument/2006/relationships/hyperlink" Target="https://finance.yahoo.com/quote/AAPL280121C00340000/" TargetMode="External"/><Relationship Id="rId382" Type="http://schemas.openxmlformats.org/officeDocument/2006/relationships/hyperlink" Target="https://finance.yahoo.com/quote/AAPL/options/?straddle=false&amp;strike=260&amp;type=all" TargetMode="External"/><Relationship Id="rId2063" Type="http://schemas.openxmlformats.org/officeDocument/2006/relationships/hyperlink" Target="https://finance.yahoo.com/quote/AAPL260821C00155000/" TargetMode="External"/><Relationship Id="rId2270" Type="http://schemas.openxmlformats.org/officeDocument/2006/relationships/hyperlink" Target="https://finance.yahoo.com/quote/AAPL/options/?straddle=false&amp;strike=275&amp;type=all" TargetMode="External"/><Relationship Id="rId3114" Type="http://schemas.openxmlformats.org/officeDocument/2006/relationships/hyperlink" Target="https://finance.yahoo.com/quote/AAPL/options/?straddle=false&amp;strike=420&amp;type=all" TargetMode="External"/><Relationship Id="rId3321" Type="http://schemas.openxmlformats.org/officeDocument/2006/relationships/hyperlink" Target="https://finance.yahoo.com/quote/AAPL271217P00155000/" TargetMode="External"/><Relationship Id="rId242" Type="http://schemas.openxmlformats.org/officeDocument/2006/relationships/hyperlink" Target="https://finance.yahoo.com/quote/AAPL/options/?straddle=false&amp;strike=315&amp;type=all" TargetMode="External"/><Relationship Id="rId2130" Type="http://schemas.openxmlformats.org/officeDocument/2006/relationships/hyperlink" Target="https://finance.yahoo.com/quote/AAPL/options/?straddle=false&amp;strike=150&amp;type=all" TargetMode="External"/><Relationship Id="rId102" Type="http://schemas.openxmlformats.org/officeDocument/2006/relationships/hyperlink" Target="https://finance.yahoo.com/quote/AAPL/options/?straddle=false&amp;strike=295&amp;type=all" TargetMode="External"/><Relationship Id="rId1689" Type="http://schemas.openxmlformats.org/officeDocument/2006/relationships/hyperlink" Target="https://finance.yahoo.com/quote/AAPL260515P00015000/" TargetMode="External"/><Relationship Id="rId1896" Type="http://schemas.openxmlformats.org/officeDocument/2006/relationships/hyperlink" Target="https://finance.yahoo.com/quote/AAPL/options/?straddle=false&amp;strike=320&amp;type=all" TargetMode="External"/><Relationship Id="rId2947" Type="http://schemas.openxmlformats.org/officeDocument/2006/relationships/hyperlink" Target="https://finance.yahoo.com/quote/AAPL270617C00170000/" TargetMode="External"/><Relationship Id="rId919" Type="http://schemas.openxmlformats.org/officeDocument/2006/relationships/hyperlink" Target="https://finance.yahoo.com/quote/AAPL260116C00260000/" TargetMode="External"/><Relationship Id="rId1549" Type="http://schemas.openxmlformats.org/officeDocument/2006/relationships/hyperlink" Target="https://finance.yahoo.com/quote/AAPL260417P00180000/" TargetMode="External"/><Relationship Id="rId1756" Type="http://schemas.openxmlformats.org/officeDocument/2006/relationships/hyperlink" Target="https://finance.yahoo.com/quote/AAPL/options/?straddle=false&amp;strike=230&amp;type=all" TargetMode="External"/><Relationship Id="rId1963" Type="http://schemas.openxmlformats.org/officeDocument/2006/relationships/hyperlink" Target="https://finance.yahoo.com/quote/AAPL260618P00135000/" TargetMode="External"/><Relationship Id="rId2807" Type="http://schemas.openxmlformats.org/officeDocument/2006/relationships/hyperlink" Target="https://finance.yahoo.com/quote/AAPL270115P00090000/" TargetMode="External"/><Relationship Id="rId48" Type="http://schemas.openxmlformats.org/officeDocument/2006/relationships/hyperlink" Target="https://finance.yahoo.com/quote/AAPL/options/?straddle=false&amp;strike=217.5&amp;type=all" TargetMode="External"/><Relationship Id="rId1409" Type="http://schemas.openxmlformats.org/officeDocument/2006/relationships/hyperlink" Target="https://finance.yahoo.com/quote/AAPL260320P00210000/" TargetMode="External"/><Relationship Id="rId1616" Type="http://schemas.openxmlformats.org/officeDocument/2006/relationships/hyperlink" Target="https://finance.yahoo.com/quote/AAPL/options/?straddle=false&amp;strike=130&amp;type=all" TargetMode="External"/><Relationship Id="rId1823" Type="http://schemas.openxmlformats.org/officeDocument/2006/relationships/hyperlink" Target="https://finance.yahoo.com/quote/AAPL260618C00125000/" TargetMode="External"/><Relationship Id="rId2597" Type="http://schemas.openxmlformats.org/officeDocument/2006/relationships/hyperlink" Target="https://finance.yahoo.com/quote/AAPL261218P00170000/" TargetMode="External"/><Relationship Id="rId3648" Type="http://schemas.openxmlformats.org/officeDocument/2006/relationships/hyperlink" Target="https://finance.yahoo.com/quote/AAPL/options/?straddle=false&amp;strike=125&amp;type=all" TargetMode="External"/><Relationship Id="rId569" Type="http://schemas.openxmlformats.org/officeDocument/2006/relationships/hyperlink" Target="https://finance.yahoo.com/quote/AAPL251107C00270000/" TargetMode="External"/><Relationship Id="rId776" Type="http://schemas.openxmlformats.org/officeDocument/2006/relationships/hyperlink" Target="https://finance.yahoo.com/quote/AAPL/options/?straddle=false&amp;strike=220&amp;type=all" TargetMode="External"/><Relationship Id="rId983" Type="http://schemas.openxmlformats.org/officeDocument/2006/relationships/hyperlink" Target="https://finance.yahoo.com/quote/AAPL260116P00065000/" TargetMode="External"/><Relationship Id="rId1199" Type="http://schemas.openxmlformats.org/officeDocument/2006/relationships/hyperlink" Target="https://finance.yahoo.com/quote/AAPL260220P00100000/" TargetMode="External"/><Relationship Id="rId2457" Type="http://schemas.openxmlformats.org/officeDocument/2006/relationships/hyperlink" Target="https://finance.yahoo.com/quote/AAPL261218C00130000/" TargetMode="External"/><Relationship Id="rId2664" Type="http://schemas.openxmlformats.org/officeDocument/2006/relationships/hyperlink" Target="https://finance.yahoo.com/quote/AAPL/options/?straddle=false&amp;strike=25&amp;type=all" TargetMode="External"/><Relationship Id="rId3508" Type="http://schemas.openxmlformats.org/officeDocument/2006/relationships/hyperlink" Target="https://finance.yahoo.com/quote/AAPL/options/?straddle=false&amp;strike=180&amp;type=all" TargetMode="External"/><Relationship Id="rId429" Type="http://schemas.openxmlformats.org/officeDocument/2006/relationships/hyperlink" Target="https://finance.yahoo.com/quote/AAPL251031C00240000/" TargetMode="External"/><Relationship Id="rId636" Type="http://schemas.openxmlformats.org/officeDocument/2006/relationships/hyperlink" Target="https://finance.yahoo.com/quote/AAPL/options/?straddle=false&amp;strike=125&amp;type=all" TargetMode="External"/><Relationship Id="rId1059" Type="http://schemas.openxmlformats.org/officeDocument/2006/relationships/hyperlink" Target="https://finance.yahoo.com/quote/AAPL260116P00255000/" TargetMode="External"/><Relationship Id="rId1266" Type="http://schemas.openxmlformats.org/officeDocument/2006/relationships/hyperlink" Target="https://finance.yahoo.com/quote/AAPL/options/?straddle=false&amp;strike=265&amp;type=all" TargetMode="External"/><Relationship Id="rId1473" Type="http://schemas.openxmlformats.org/officeDocument/2006/relationships/hyperlink" Target="https://finance.yahoo.com/quote/AAPL260417C00220000/" TargetMode="External"/><Relationship Id="rId2317" Type="http://schemas.openxmlformats.org/officeDocument/2006/relationships/hyperlink" Target="https://finance.yahoo.com/quote/AAPL260918P00090000/" TargetMode="External"/><Relationship Id="rId2871" Type="http://schemas.openxmlformats.org/officeDocument/2006/relationships/hyperlink" Target="https://finance.yahoo.com/quote/AAPL270115P00300000/" TargetMode="External"/><Relationship Id="rId3715" Type="http://schemas.openxmlformats.org/officeDocument/2006/relationships/hyperlink" Target="https://finance.yahoo.com/quote/AAPL251010P00257500/" TargetMode="External"/><Relationship Id="rId843" Type="http://schemas.openxmlformats.org/officeDocument/2006/relationships/hyperlink" Target="https://finance.yahoo.com/quote/AAPL260116C00070000/" TargetMode="External"/><Relationship Id="rId1126" Type="http://schemas.openxmlformats.org/officeDocument/2006/relationships/hyperlink" Target="https://finance.yahoo.com/quote/AAPL/options/?straddle=false&amp;strike=170&amp;type=all" TargetMode="External"/><Relationship Id="rId1680" Type="http://schemas.openxmlformats.org/officeDocument/2006/relationships/hyperlink" Target="https://finance.yahoo.com/quote/AAPL/options/?straddle=false&amp;strike=380&amp;type=all" TargetMode="External"/><Relationship Id="rId2524" Type="http://schemas.openxmlformats.org/officeDocument/2006/relationships/hyperlink" Target="https://finance.yahoo.com/quote/AAPL/options/?straddle=false&amp;strike=390&amp;type=all" TargetMode="External"/><Relationship Id="rId2731" Type="http://schemas.openxmlformats.org/officeDocument/2006/relationships/hyperlink" Target="https://finance.yahoo.com/quote/AAPL270115C00220000/" TargetMode="External"/><Relationship Id="rId703" Type="http://schemas.openxmlformats.org/officeDocument/2006/relationships/hyperlink" Target="https://finance.yahoo.com/quote/AAPL251121C00295000/" TargetMode="External"/><Relationship Id="rId910" Type="http://schemas.openxmlformats.org/officeDocument/2006/relationships/hyperlink" Target="https://finance.yahoo.com/quote/AAPL/options/?straddle=false&amp;strike=235&amp;type=all" TargetMode="External"/><Relationship Id="rId1333" Type="http://schemas.openxmlformats.org/officeDocument/2006/relationships/hyperlink" Target="https://finance.yahoo.com/quote/AAPL260320C00230000/" TargetMode="External"/><Relationship Id="rId1540" Type="http://schemas.openxmlformats.org/officeDocument/2006/relationships/hyperlink" Target="https://finance.yahoo.com/quote/AAPL/options/?straddle=false&amp;strike=155&amp;type=all" TargetMode="External"/><Relationship Id="rId1400" Type="http://schemas.openxmlformats.org/officeDocument/2006/relationships/hyperlink" Target="https://finance.yahoo.com/quote/AAPL/options/?straddle=false&amp;strike=180&amp;type=all" TargetMode="External"/><Relationship Id="rId3298" Type="http://schemas.openxmlformats.org/officeDocument/2006/relationships/hyperlink" Target="https://finance.yahoo.com/quote/AAPL/options/?straddle=false&amp;strike=95&amp;type=all" TargetMode="External"/><Relationship Id="rId3158" Type="http://schemas.openxmlformats.org/officeDocument/2006/relationships/hyperlink" Target="https://finance.yahoo.com/quote/AAPL/options/?straddle=false&amp;strike=140&amp;type=all" TargetMode="External"/><Relationship Id="rId3365" Type="http://schemas.openxmlformats.org/officeDocument/2006/relationships/hyperlink" Target="https://finance.yahoo.com/quote/AAPL271217P00265000/" TargetMode="External"/><Relationship Id="rId3572" Type="http://schemas.openxmlformats.org/officeDocument/2006/relationships/hyperlink" Target="https://finance.yahoo.com/quote/AAPL/options/?straddle=false&amp;strike=205&amp;type=all" TargetMode="External"/><Relationship Id="rId286" Type="http://schemas.openxmlformats.org/officeDocument/2006/relationships/hyperlink" Target="https://finance.yahoo.com/quote/AAPL/options/?straddle=false&amp;strike=225&amp;type=all" TargetMode="External"/><Relationship Id="rId493" Type="http://schemas.openxmlformats.org/officeDocument/2006/relationships/hyperlink" Target="https://finance.yahoo.com/quote/AAPL251031P00190000/" TargetMode="External"/><Relationship Id="rId2174" Type="http://schemas.openxmlformats.org/officeDocument/2006/relationships/hyperlink" Target="https://finance.yahoo.com/quote/AAPL/options/?straddle=false&amp;strike=320&amp;type=all" TargetMode="External"/><Relationship Id="rId2381" Type="http://schemas.openxmlformats.org/officeDocument/2006/relationships/hyperlink" Target="https://finance.yahoo.com/quote/AAPL260918P00250000/" TargetMode="External"/><Relationship Id="rId3018" Type="http://schemas.openxmlformats.org/officeDocument/2006/relationships/hyperlink" Target="https://finance.yahoo.com/quote/AAPL/options/?straddle=false&amp;strike=65&amp;type=all" TargetMode="External"/><Relationship Id="rId3225" Type="http://schemas.openxmlformats.org/officeDocument/2006/relationships/hyperlink" Target="https://finance.yahoo.com/quote/AAPL271217C00310000/" TargetMode="External"/><Relationship Id="rId3432" Type="http://schemas.openxmlformats.org/officeDocument/2006/relationships/hyperlink" Target="https://finance.yahoo.com/quote/AAPL/options/?straddle=false&amp;strike=195&amp;type=all" TargetMode="External"/><Relationship Id="rId146" Type="http://schemas.openxmlformats.org/officeDocument/2006/relationships/hyperlink" Target="https://finance.yahoo.com/quote/AAPL/options/?straddle=false&amp;strike=125&amp;type=all" TargetMode="External"/><Relationship Id="rId353" Type="http://schemas.openxmlformats.org/officeDocument/2006/relationships/hyperlink" Target="https://finance.yahoo.com/quote/AAPL251024P00190000/" TargetMode="External"/><Relationship Id="rId560" Type="http://schemas.openxmlformats.org/officeDocument/2006/relationships/hyperlink" Target="https://finance.yahoo.com/quote/AAPL/options/?straddle=false&amp;strike=245&amp;type=all" TargetMode="External"/><Relationship Id="rId1190" Type="http://schemas.openxmlformats.org/officeDocument/2006/relationships/hyperlink" Target="https://finance.yahoo.com/quote/AAPL/options/?straddle=false&amp;strike=360&amp;type=all" TargetMode="External"/><Relationship Id="rId2034" Type="http://schemas.openxmlformats.org/officeDocument/2006/relationships/hyperlink" Target="https://finance.yahoo.com/quote/AAPL/options/?straddle=false&amp;strike=330&amp;type=all" TargetMode="External"/><Relationship Id="rId2241" Type="http://schemas.openxmlformats.org/officeDocument/2006/relationships/hyperlink" Target="https://finance.yahoo.com/quote/AAPL260918C00205000/" TargetMode="External"/><Relationship Id="rId213" Type="http://schemas.openxmlformats.org/officeDocument/2006/relationships/hyperlink" Target="https://finance.yahoo.com/quote/AAPL251017P00255000/" TargetMode="External"/><Relationship Id="rId420" Type="http://schemas.openxmlformats.org/officeDocument/2006/relationships/hyperlink" Target="https://finance.yahoo.com/quote/AAPL/options/?straddle=false&amp;strike=215&amp;type=all" TargetMode="External"/><Relationship Id="rId1050" Type="http://schemas.openxmlformats.org/officeDocument/2006/relationships/hyperlink" Target="https://finance.yahoo.com/quote/AAPL/options/?straddle=false&amp;strike=230&amp;type=all" TargetMode="External"/><Relationship Id="rId2101" Type="http://schemas.openxmlformats.org/officeDocument/2006/relationships/hyperlink" Target="https://finance.yahoo.com/quote/AAPL260821C00300000/" TargetMode="External"/><Relationship Id="rId1867" Type="http://schemas.openxmlformats.org/officeDocument/2006/relationships/hyperlink" Target="https://finance.yahoo.com/quote/AAPL260618C00235000/" TargetMode="External"/><Relationship Id="rId2918" Type="http://schemas.openxmlformats.org/officeDocument/2006/relationships/hyperlink" Target="https://finance.yahoo.com/quote/AAPL/options/?straddle=false&amp;strike=95&amp;type=all" TargetMode="External"/><Relationship Id="rId1727" Type="http://schemas.openxmlformats.org/officeDocument/2006/relationships/hyperlink" Target="https://finance.yahoo.com/quote/AAPL260515P00145000/" TargetMode="External"/><Relationship Id="rId1934" Type="http://schemas.openxmlformats.org/officeDocument/2006/relationships/hyperlink" Target="https://finance.yahoo.com/quote/AAPL/options/?straddle=false&amp;strike=60&amp;type=all" TargetMode="External"/><Relationship Id="rId3082" Type="http://schemas.openxmlformats.org/officeDocument/2006/relationships/hyperlink" Target="https://finance.yahoo.com/quote/AAPL/options/?straddle=false&amp;strike=250&amp;type=all" TargetMode="External"/><Relationship Id="rId19" Type="http://schemas.openxmlformats.org/officeDocument/2006/relationships/hyperlink" Target="https://finance.yahoo.com/quote/AAPL251017C00150000/" TargetMode="External"/><Relationship Id="rId3" Type="http://schemas.openxmlformats.org/officeDocument/2006/relationships/hyperlink" Target="https://finance.yahoo.com/quote/AAPL251017C00110000/" TargetMode="External"/><Relationship Id="rId887" Type="http://schemas.openxmlformats.org/officeDocument/2006/relationships/hyperlink" Target="https://finance.yahoo.com/quote/AAPL260116C00180000/" TargetMode="External"/><Relationship Id="rId2568" Type="http://schemas.openxmlformats.org/officeDocument/2006/relationships/hyperlink" Target="https://finance.yahoo.com/quote/AAPL/options/?straddle=false&amp;strike=95&amp;type=all" TargetMode="External"/><Relationship Id="rId2775" Type="http://schemas.openxmlformats.org/officeDocument/2006/relationships/hyperlink" Target="https://finance.yahoo.com/quote/AAPL270115C00440000/" TargetMode="External"/><Relationship Id="rId2982" Type="http://schemas.openxmlformats.org/officeDocument/2006/relationships/hyperlink" Target="https://finance.yahoo.com/quote/AAPL/options/?straddle=false&amp;strike=310&amp;type=all" TargetMode="External"/><Relationship Id="rId3619" Type="http://schemas.openxmlformats.org/officeDocument/2006/relationships/hyperlink" Target="https://finance.yahoo.com/quote/AAPL251010C00270000/" TargetMode="External"/><Relationship Id="rId747" Type="http://schemas.openxmlformats.org/officeDocument/2006/relationships/hyperlink" Target="https://finance.yahoo.com/quote/AAPL251121P00150000/" TargetMode="External"/><Relationship Id="rId954" Type="http://schemas.openxmlformats.org/officeDocument/2006/relationships/hyperlink" Target="https://finance.yahoo.com/quote/AAPL/options/?straddle=false&amp;strike=370&amp;type=all" TargetMode="External"/><Relationship Id="rId1377" Type="http://schemas.openxmlformats.org/officeDocument/2006/relationships/hyperlink" Target="https://finance.yahoo.com/quote/AAPL260320P00125000/" TargetMode="External"/><Relationship Id="rId1584" Type="http://schemas.openxmlformats.org/officeDocument/2006/relationships/hyperlink" Target="https://finance.yahoo.com/quote/AAPL/options/?straddle=false&amp;strike=265&amp;type=all" TargetMode="External"/><Relationship Id="rId1791" Type="http://schemas.openxmlformats.org/officeDocument/2006/relationships/hyperlink" Target="https://finance.yahoo.com/quote/AAPL260618C00045000/" TargetMode="External"/><Relationship Id="rId2428" Type="http://schemas.openxmlformats.org/officeDocument/2006/relationships/hyperlink" Target="https://finance.yahoo.com/quote/AAPL/options/?straddle=false&amp;strike=40&amp;type=all" TargetMode="External"/><Relationship Id="rId2635" Type="http://schemas.openxmlformats.org/officeDocument/2006/relationships/hyperlink" Target="https://finance.yahoo.com/quote/AAPL261218P00330000/" TargetMode="External"/><Relationship Id="rId2842" Type="http://schemas.openxmlformats.org/officeDocument/2006/relationships/hyperlink" Target="https://finance.yahoo.com/quote/AAPL/options/?straddle=false&amp;strike=175&amp;type=all" TargetMode="External"/><Relationship Id="rId83" Type="http://schemas.openxmlformats.org/officeDocument/2006/relationships/hyperlink" Target="https://finance.yahoo.com/quote/AAPL251017C00262500/" TargetMode="External"/><Relationship Id="rId607" Type="http://schemas.openxmlformats.org/officeDocument/2006/relationships/hyperlink" Target="https://finance.yahoo.com/quote/AAPL251107P00225000/" TargetMode="External"/><Relationship Id="rId814" Type="http://schemas.openxmlformats.org/officeDocument/2006/relationships/hyperlink" Target="https://finance.yahoo.com/quote/AAPL/options/?straddle=false&amp;strike=335&amp;type=all" TargetMode="External"/><Relationship Id="rId1237" Type="http://schemas.openxmlformats.org/officeDocument/2006/relationships/hyperlink" Target="https://finance.yahoo.com/quote/AAPL260220P00195000/" TargetMode="External"/><Relationship Id="rId1444" Type="http://schemas.openxmlformats.org/officeDocument/2006/relationships/hyperlink" Target="https://finance.yahoo.com/quote/AAPL/options/?straddle=false&amp;strike=140&amp;type=all" TargetMode="External"/><Relationship Id="rId1651" Type="http://schemas.openxmlformats.org/officeDocument/2006/relationships/hyperlink" Target="https://finance.yahoo.com/quote/AAPL260515C00240000/" TargetMode="External"/><Relationship Id="rId2702" Type="http://schemas.openxmlformats.org/officeDocument/2006/relationships/hyperlink" Target="https://finance.yahoo.com/quote/AAPL/options/?straddle=false&amp;strike=135&amp;type=all" TargetMode="External"/><Relationship Id="rId1304" Type="http://schemas.openxmlformats.org/officeDocument/2006/relationships/hyperlink" Target="https://finance.yahoo.com/quote/AAPL/options/?straddle=false&amp;strike=140&amp;type=all" TargetMode="External"/><Relationship Id="rId1511" Type="http://schemas.openxmlformats.org/officeDocument/2006/relationships/hyperlink" Target="https://finance.yahoo.com/quote/AAPL260417C00315000/" TargetMode="External"/><Relationship Id="rId3269" Type="http://schemas.openxmlformats.org/officeDocument/2006/relationships/hyperlink" Target="https://finance.yahoo.com/quote/AAPL271217C00420000/" TargetMode="External"/><Relationship Id="rId3476" Type="http://schemas.openxmlformats.org/officeDocument/2006/relationships/hyperlink" Target="https://finance.yahoo.com/quote/AAPL/options/?straddle=false&amp;strike=420&amp;type=all" TargetMode="External"/><Relationship Id="rId3683" Type="http://schemas.openxmlformats.org/officeDocument/2006/relationships/hyperlink" Target="https://finance.yahoo.com/quote/AAPL251010P00217500/" TargetMode="External"/><Relationship Id="rId10" Type="http://schemas.openxmlformats.org/officeDocument/2006/relationships/hyperlink" Target="https://finance.yahoo.com/quote/AAPL/options/?straddle=false&amp;strike=125&amp;type=all" TargetMode="External"/><Relationship Id="rId397" Type="http://schemas.openxmlformats.org/officeDocument/2006/relationships/hyperlink" Target="https://finance.yahoo.com/quote/AAPL251024P00325000/" TargetMode="External"/><Relationship Id="rId2078" Type="http://schemas.openxmlformats.org/officeDocument/2006/relationships/hyperlink" Target="https://finance.yahoo.com/quote/AAPL/options/?straddle=false&amp;strike=190&amp;type=all" TargetMode="External"/><Relationship Id="rId2285" Type="http://schemas.openxmlformats.org/officeDocument/2006/relationships/hyperlink" Target="https://finance.yahoo.com/quote/AAPL260918C00330000/" TargetMode="External"/><Relationship Id="rId2492" Type="http://schemas.openxmlformats.org/officeDocument/2006/relationships/hyperlink" Target="https://finance.yahoo.com/quote/AAPL/options/?straddle=false&amp;strike=230&amp;type=all" TargetMode="External"/><Relationship Id="rId3129" Type="http://schemas.openxmlformats.org/officeDocument/2006/relationships/hyperlink" Target="https://finance.yahoo.com/quote/AAPL271217C00070000/" TargetMode="External"/><Relationship Id="rId3336" Type="http://schemas.openxmlformats.org/officeDocument/2006/relationships/hyperlink" Target="https://finance.yahoo.com/quote/AAPL/options/?straddle=false&amp;strike=190&amp;type=all" TargetMode="External"/><Relationship Id="rId257" Type="http://schemas.openxmlformats.org/officeDocument/2006/relationships/hyperlink" Target="https://finance.yahoo.com/quote/AAPL251024C00120000/" TargetMode="External"/><Relationship Id="rId464" Type="http://schemas.openxmlformats.org/officeDocument/2006/relationships/hyperlink" Target="https://finance.yahoo.com/quote/AAPL/options/?straddle=false&amp;strike=325&amp;type=all" TargetMode="External"/><Relationship Id="rId1094" Type="http://schemas.openxmlformats.org/officeDocument/2006/relationships/hyperlink" Target="https://finance.yahoo.com/quote/AAPL/options/?straddle=false&amp;strike=360&amp;type=all" TargetMode="External"/><Relationship Id="rId2145" Type="http://schemas.openxmlformats.org/officeDocument/2006/relationships/hyperlink" Target="https://finance.yahoo.com/quote/AAPL260821P00190000/" TargetMode="External"/><Relationship Id="rId3543" Type="http://schemas.openxmlformats.org/officeDocument/2006/relationships/hyperlink" Target="https://finance.yahoo.com/quote/AAPL251010C00110000/" TargetMode="External"/><Relationship Id="rId117" Type="http://schemas.openxmlformats.org/officeDocument/2006/relationships/hyperlink" Target="https://finance.yahoo.com/quote/AAPL251017C00335000/" TargetMode="External"/><Relationship Id="rId671" Type="http://schemas.openxmlformats.org/officeDocument/2006/relationships/hyperlink" Target="https://finance.yahoo.com/quote/AAPL251121C00215000/" TargetMode="External"/><Relationship Id="rId2352" Type="http://schemas.openxmlformats.org/officeDocument/2006/relationships/hyperlink" Target="https://finance.yahoo.com/quote/AAPL/options/?straddle=false&amp;strike=175&amp;type=all" TargetMode="External"/><Relationship Id="rId3403" Type="http://schemas.openxmlformats.org/officeDocument/2006/relationships/hyperlink" Target="https://finance.yahoo.com/quote/AAPL271217P00440000/" TargetMode="External"/><Relationship Id="rId3610" Type="http://schemas.openxmlformats.org/officeDocument/2006/relationships/hyperlink" Target="https://finance.yahoo.com/quote/AAPL/options/?straddle=false&amp;strike=257.5&amp;type=all" TargetMode="External"/><Relationship Id="rId324" Type="http://schemas.openxmlformats.org/officeDocument/2006/relationships/hyperlink" Target="https://finance.yahoo.com/quote/AAPL/options/?straddle=false&amp;strike=320&amp;type=all" TargetMode="External"/><Relationship Id="rId531" Type="http://schemas.openxmlformats.org/officeDocument/2006/relationships/hyperlink" Target="https://finance.yahoo.com/quote/AAPL251031P00285000/" TargetMode="External"/><Relationship Id="rId1161" Type="http://schemas.openxmlformats.org/officeDocument/2006/relationships/hyperlink" Target="https://finance.yahoo.com/quote/AAPL260220C00260000/" TargetMode="External"/><Relationship Id="rId2005" Type="http://schemas.openxmlformats.org/officeDocument/2006/relationships/hyperlink" Target="https://finance.yahoo.com/quote/AAPL260618P00240000/" TargetMode="External"/><Relationship Id="rId2212" Type="http://schemas.openxmlformats.org/officeDocument/2006/relationships/hyperlink" Target="https://finance.yahoo.com/quote/AAPL/options/?straddle=false&amp;strike=130&amp;type=all" TargetMode="External"/><Relationship Id="rId1021" Type="http://schemas.openxmlformats.org/officeDocument/2006/relationships/hyperlink" Target="https://finance.yahoo.com/quote/AAPL260116P00160000/" TargetMode="External"/><Relationship Id="rId1978" Type="http://schemas.openxmlformats.org/officeDocument/2006/relationships/hyperlink" Target="https://finance.yahoo.com/quote/AAPL/options/?straddle=false&amp;strike=170&amp;type=all" TargetMode="External"/><Relationship Id="rId3193" Type="http://schemas.openxmlformats.org/officeDocument/2006/relationships/hyperlink" Target="https://finance.yahoo.com/quote/AAPL271217C00230000/" TargetMode="External"/><Relationship Id="rId1838" Type="http://schemas.openxmlformats.org/officeDocument/2006/relationships/hyperlink" Target="https://finance.yahoo.com/quote/AAPL/options/?straddle=false&amp;strike=160&amp;type=all" TargetMode="External"/><Relationship Id="rId3053" Type="http://schemas.openxmlformats.org/officeDocument/2006/relationships/hyperlink" Target="https://finance.yahoo.com/quote/AAPL270617P00155000/" TargetMode="External"/><Relationship Id="rId3260" Type="http://schemas.openxmlformats.org/officeDocument/2006/relationships/hyperlink" Target="https://finance.yahoo.com/quote/AAPL/options/?straddle=false&amp;strike=395&amp;type=all" TargetMode="External"/><Relationship Id="rId181" Type="http://schemas.openxmlformats.org/officeDocument/2006/relationships/hyperlink" Target="https://finance.yahoo.com/quote/AAPL251017P00215000/" TargetMode="External"/><Relationship Id="rId1905" Type="http://schemas.openxmlformats.org/officeDocument/2006/relationships/hyperlink" Target="https://finance.yahoo.com/quote/AAPL260618C00370000/" TargetMode="External"/><Relationship Id="rId3120" Type="http://schemas.openxmlformats.org/officeDocument/2006/relationships/hyperlink" Target="https://finance.yahoo.com/quote/AAPL/options/?straddle=false&amp;strike=450&amp;type=all" TargetMode="External"/><Relationship Id="rId998" Type="http://schemas.openxmlformats.org/officeDocument/2006/relationships/hyperlink" Target="https://finance.yahoo.com/quote/AAPL/options/?straddle=false&amp;strike=100&amp;type=all" TargetMode="External"/><Relationship Id="rId2679" Type="http://schemas.openxmlformats.org/officeDocument/2006/relationships/hyperlink" Target="https://finance.yahoo.com/quote/AAPL270115C00080000/" TargetMode="External"/><Relationship Id="rId2886" Type="http://schemas.openxmlformats.org/officeDocument/2006/relationships/hyperlink" Target="https://finance.yahoo.com/quote/AAPL/options/?straddle=false&amp;strike=390&amp;type=all" TargetMode="External"/><Relationship Id="rId858" Type="http://schemas.openxmlformats.org/officeDocument/2006/relationships/hyperlink" Target="https://finance.yahoo.com/quote/AAPL/options/?straddle=false&amp;strike=105&amp;type=all" TargetMode="External"/><Relationship Id="rId1488" Type="http://schemas.openxmlformats.org/officeDocument/2006/relationships/hyperlink" Target="https://finance.yahoo.com/quote/AAPL/options/?straddle=false&amp;strike=255&amp;type=all" TargetMode="External"/><Relationship Id="rId1695" Type="http://schemas.openxmlformats.org/officeDocument/2006/relationships/hyperlink" Target="https://finance.yahoo.com/quote/AAPL260515P00050000/" TargetMode="External"/><Relationship Id="rId2539" Type="http://schemas.openxmlformats.org/officeDocument/2006/relationships/hyperlink" Target="https://finance.yahoo.com/quote/AAPL261218P00010000/" TargetMode="External"/><Relationship Id="rId2746" Type="http://schemas.openxmlformats.org/officeDocument/2006/relationships/hyperlink" Target="https://finance.yahoo.com/quote/AAPL/options/?straddle=false&amp;strike=290&amp;type=all" TargetMode="External"/><Relationship Id="rId2953" Type="http://schemas.openxmlformats.org/officeDocument/2006/relationships/hyperlink" Target="https://finance.yahoo.com/quote/AAPL270617C00185000/" TargetMode="External"/><Relationship Id="rId718" Type="http://schemas.openxmlformats.org/officeDocument/2006/relationships/hyperlink" Target="https://finance.yahoo.com/quote/AAPL/options/?straddle=false&amp;strike=330&amp;type=all" TargetMode="External"/><Relationship Id="rId925" Type="http://schemas.openxmlformats.org/officeDocument/2006/relationships/hyperlink" Target="https://finance.yahoo.com/quote/AAPL260116C00275000/" TargetMode="External"/><Relationship Id="rId1348" Type="http://schemas.openxmlformats.org/officeDocument/2006/relationships/hyperlink" Target="https://finance.yahoo.com/quote/AAPL/options/?straddle=false&amp;strike=300&amp;type=all" TargetMode="External"/><Relationship Id="rId1555" Type="http://schemas.openxmlformats.org/officeDocument/2006/relationships/hyperlink" Target="https://finance.yahoo.com/quote/AAPL260417P00195000/" TargetMode="External"/><Relationship Id="rId1762" Type="http://schemas.openxmlformats.org/officeDocument/2006/relationships/hyperlink" Target="https://finance.yahoo.com/quote/AAPL/options/?straddle=false&amp;strike=260&amp;type=all" TargetMode="External"/><Relationship Id="rId2606" Type="http://schemas.openxmlformats.org/officeDocument/2006/relationships/hyperlink" Target="https://finance.yahoo.com/quote/AAPL/options/?straddle=false&amp;strike=190&amp;type=all" TargetMode="External"/><Relationship Id="rId1208" Type="http://schemas.openxmlformats.org/officeDocument/2006/relationships/hyperlink" Target="https://finance.yahoo.com/quote/AAPL/options/?straddle=false&amp;strike=120&amp;type=all" TargetMode="External"/><Relationship Id="rId1415" Type="http://schemas.openxmlformats.org/officeDocument/2006/relationships/hyperlink" Target="https://finance.yahoo.com/quote/AAPL260320P00240000/" TargetMode="External"/><Relationship Id="rId2813" Type="http://schemas.openxmlformats.org/officeDocument/2006/relationships/hyperlink" Target="https://finance.yahoo.com/quote/AAPL270115P00105000/" TargetMode="External"/><Relationship Id="rId54" Type="http://schemas.openxmlformats.org/officeDocument/2006/relationships/hyperlink" Target="https://finance.yahoo.com/quote/AAPL/options/?straddle=false&amp;strike=225&amp;type=all" TargetMode="External"/><Relationship Id="rId1622" Type="http://schemas.openxmlformats.org/officeDocument/2006/relationships/hyperlink" Target="https://finance.yahoo.com/quote/AAPL/options/?straddle=false&amp;strike=145&amp;type=all" TargetMode="External"/><Relationship Id="rId2189" Type="http://schemas.openxmlformats.org/officeDocument/2006/relationships/hyperlink" Target="https://finance.yahoo.com/quote/AAPL260918C00075000/" TargetMode="External"/><Relationship Id="rId3587" Type="http://schemas.openxmlformats.org/officeDocument/2006/relationships/hyperlink" Target="https://finance.yahoo.com/quote/AAPL251010C00230000/" TargetMode="External"/><Relationship Id="rId2396" Type="http://schemas.openxmlformats.org/officeDocument/2006/relationships/hyperlink" Target="https://finance.yahoo.com/quote/AAPL/options/?straddle=false&amp;strike=285&amp;type=all" TargetMode="External"/><Relationship Id="rId3447" Type="http://schemas.openxmlformats.org/officeDocument/2006/relationships/hyperlink" Target="https://finance.yahoo.com/quote/AAPL280121C00270000/" TargetMode="External"/><Relationship Id="rId3654" Type="http://schemas.openxmlformats.org/officeDocument/2006/relationships/hyperlink" Target="https://finance.yahoo.com/quote/AAPL/options/?straddle=false&amp;strike=145&amp;type=all" TargetMode="External"/><Relationship Id="rId368" Type="http://schemas.openxmlformats.org/officeDocument/2006/relationships/hyperlink" Target="https://finance.yahoo.com/quote/AAPL/options/?straddle=false&amp;strike=225&amp;type=all" TargetMode="External"/><Relationship Id="rId575" Type="http://schemas.openxmlformats.org/officeDocument/2006/relationships/hyperlink" Target="https://finance.yahoo.com/quote/AAPL251107C00285000/" TargetMode="External"/><Relationship Id="rId782" Type="http://schemas.openxmlformats.org/officeDocument/2006/relationships/hyperlink" Target="https://finance.yahoo.com/quote/AAPL/options/?straddle=false&amp;strike=235&amp;type=all" TargetMode="External"/><Relationship Id="rId2049" Type="http://schemas.openxmlformats.org/officeDocument/2006/relationships/hyperlink" Target="https://finance.yahoo.com/quote/AAPL260821C00120000/" TargetMode="External"/><Relationship Id="rId2256" Type="http://schemas.openxmlformats.org/officeDocument/2006/relationships/hyperlink" Target="https://finance.yahoo.com/quote/AAPL/options/?straddle=false&amp;strike=240&amp;type=all" TargetMode="External"/><Relationship Id="rId2463" Type="http://schemas.openxmlformats.org/officeDocument/2006/relationships/hyperlink" Target="https://finance.yahoo.com/quote/AAPL261218C00145000/" TargetMode="External"/><Relationship Id="rId2670" Type="http://schemas.openxmlformats.org/officeDocument/2006/relationships/hyperlink" Target="https://finance.yahoo.com/quote/AAPL/options/?straddle=false&amp;strike=40&amp;type=all" TargetMode="External"/><Relationship Id="rId3307" Type="http://schemas.openxmlformats.org/officeDocument/2006/relationships/hyperlink" Target="https://finance.yahoo.com/quote/AAPL271217P00120000/" TargetMode="External"/><Relationship Id="rId3514" Type="http://schemas.openxmlformats.org/officeDocument/2006/relationships/hyperlink" Target="https://finance.yahoo.com/quote/AAPL/options/?straddle=false&amp;strike=195&amp;type=all" TargetMode="External"/><Relationship Id="rId3721" Type="http://schemas.openxmlformats.org/officeDocument/2006/relationships/hyperlink" Target="https://finance.yahoo.com/quote/AAPL251010P00265000/" TargetMode="External"/><Relationship Id="rId228" Type="http://schemas.openxmlformats.org/officeDocument/2006/relationships/hyperlink" Target="https://finance.yahoo.com/quote/AAPL/options/?straddle=false&amp;strike=275&amp;type=all" TargetMode="External"/><Relationship Id="rId435" Type="http://schemas.openxmlformats.org/officeDocument/2006/relationships/hyperlink" Target="https://finance.yahoo.com/quote/AAPL251031C00255000/" TargetMode="External"/><Relationship Id="rId642" Type="http://schemas.openxmlformats.org/officeDocument/2006/relationships/hyperlink" Target="https://finance.yahoo.com/quote/AAPL/options/?straddle=false&amp;strike=140&amp;type=all" TargetMode="External"/><Relationship Id="rId1065" Type="http://schemas.openxmlformats.org/officeDocument/2006/relationships/hyperlink" Target="https://finance.yahoo.com/quote/AAPL260116P00270000/" TargetMode="External"/><Relationship Id="rId1272" Type="http://schemas.openxmlformats.org/officeDocument/2006/relationships/hyperlink" Target="https://finance.yahoo.com/quote/AAPL/options/?straddle=false&amp;strike=280&amp;type=all" TargetMode="External"/><Relationship Id="rId2116" Type="http://schemas.openxmlformats.org/officeDocument/2006/relationships/hyperlink" Target="https://finance.yahoo.com/quote/AAPL/options/?straddle=false&amp;strike=115&amp;type=all" TargetMode="External"/><Relationship Id="rId2323" Type="http://schemas.openxmlformats.org/officeDocument/2006/relationships/hyperlink" Target="https://finance.yahoo.com/quote/AAPL260918P00105000/" TargetMode="External"/><Relationship Id="rId2530" Type="http://schemas.openxmlformats.org/officeDocument/2006/relationships/hyperlink" Target="https://finance.yahoo.com/quote/AAPL/options/?straddle=false&amp;strike=420&amp;type=all" TargetMode="External"/><Relationship Id="rId502" Type="http://schemas.openxmlformats.org/officeDocument/2006/relationships/hyperlink" Target="https://finance.yahoo.com/quote/AAPL/options/?straddle=false&amp;strike=210&amp;type=all" TargetMode="External"/><Relationship Id="rId1132" Type="http://schemas.openxmlformats.org/officeDocument/2006/relationships/hyperlink" Target="https://finance.yahoo.com/quote/AAPL/options/?straddle=false&amp;strike=185&amp;type=all" TargetMode="External"/><Relationship Id="rId3097" Type="http://schemas.openxmlformats.org/officeDocument/2006/relationships/hyperlink" Target="https://finance.yahoo.com/quote/AAPL270617P00330000/" TargetMode="External"/><Relationship Id="rId1949" Type="http://schemas.openxmlformats.org/officeDocument/2006/relationships/hyperlink" Target="https://finance.yahoo.com/quote/AAPL260618P00100000/" TargetMode="External"/><Relationship Id="rId3164" Type="http://schemas.openxmlformats.org/officeDocument/2006/relationships/hyperlink" Target="https://finance.yahoo.com/quote/AAPL/options/?straddle=false&amp;strike=155&amp;type=all" TargetMode="External"/><Relationship Id="rId292" Type="http://schemas.openxmlformats.org/officeDocument/2006/relationships/hyperlink" Target="https://finance.yahoo.com/quote/AAPL/options/?straddle=false&amp;strike=240&amp;type=all" TargetMode="External"/><Relationship Id="rId1809" Type="http://schemas.openxmlformats.org/officeDocument/2006/relationships/hyperlink" Target="https://finance.yahoo.com/quote/AAPL260618C00090000/" TargetMode="External"/><Relationship Id="rId3371" Type="http://schemas.openxmlformats.org/officeDocument/2006/relationships/hyperlink" Target="https://finance.yahoo.com/quote/AAPL271217P00280000/" TargetMode="External"/><Relationship Id="rId2180" Type="http://schemas.openxmlformats.org/officeDocument/2006/relationships/hyperlink" Target="https://finance.yahoo.com/quote/AAPL/options/?straddle=false&amp;strike=50&amp;type=all" TargetMode="External"/><Relationship Id="rId3024" Type="http://schemas.openxmlformats.org/officeDocument/2006/relationships/hyperlink" Target="https://finance.yahoo.com/quote/AAPL/options/?straddle=false&amp;strike=80&amp;type=all" TargetMode="External"/><Relationship Id="rId3231" Type="http://schemas.openxmlformats.org/officeDocument/2006/relationships/hyperlink" Target="https://finance.yahoo.com/quote/AAPL271217C00325000/" TargetMode="External"/><Relationship Id="rId152" Type="http://schemas.openxmlformats.org/officeDocument/2006/relationships/hyperlink" Target="https://finance.yahoo.com/quote/AAPL/options/?straddle=false&amp;strike=140&amp;type=all" TargetMode="External"/><Relationship Id="rId2040" Type="http://schemas.openxmlformats.org/officeDocument/2006/relationships/hyperlink" Target="https://finance.yahoo.com/quote/AAPL/options/?straddle=false&amp;strike=360&amp;type=all" TargetMode="External"/><Relationship Id="rId2997" Type="http://schemas.openxmlformats.org/officeDocument/2006/relationships/hyperlink" Target="https://finance.yahoo.com/quote/AAPL270617C00390000/" TargetMode="External"/><Relationship Id="rId969" Type="http://schemas.openxmlformats.org/officeDocument/2006/relationships/hyperlink" Target="https://finance.yahoo.com/quote/AAPL260116P00030000/" TargetMode="External"/><Relationship Id="rId1599" Type="http://schemas.openxmlformats.org/officeDocument/2006/relationships/hyperlink" Target="https://finance.yahoo.com/quote/AAPL260515C00005000/" TargetMode="External"/><Relationship Id="rId1459" Type="http://schemas.openxmlformats.org/officeDocument/2006/relationships/hyperlink" Target="https://finance.yahoo.com/quote/AAPL260417C00185000/" TargetMode="External"/><Relationship Id="rId2857" Type="http://schemas.openxmlformats.org/officeDocument/2006/relationships/hyperlink" Target="https://finance.yahoo.com/quote/AAPL270115P00230000/" TargetMode="External"/><Relationship Id="rId98" Type="http://schemas.openxmlformats.org/officeDocument/2006/relationships/hyperlink" Target="https://finance.yahoo.com/quote/AAPL/options/?straddle=false&amp;strike=285&amp;type=all" TargetMode="External"/><Relationship Id="rId829" Type="http://schemas.openxmlformats.org/officeDocument/2006/relationships/hyperlink" Target="https://finance.yahoo.com/quote/AAPL260116C00035000/" TargetMode="External"/><Relationship Id="rId1666" Type="http://schemas.openxmlformats.org/officeDocument/2006/relationships/hyperlink" Target="https://finance.yahoo.com/quote/AAPL/options/?straddle=false&amp;strike=310&amp;type=all" TargetMode="External"/><Relationship Id="rId1873" Type="http://schemas.openxmlformats.org/officeDocument/2006/relationships/hyperlink" Target="https://finance.yahoo.com/quote/AAPL260618C00250000/" TargetMode="External"/><Relationship Id="rId2717" Type="http://schemas.openxmlformats.org/officeDocument/2006/relationships/hyperlink" Target="https://finance.yahoo.com/quote/AAPL270115C00175000/" TargetMode="External"/><Relationship Id="rId2924" Type="http://schemas.openxmlformats.org/officeDocument/2006/relationships/hyperlink" Target="https://finance.yahoo.com/quote/AAPL/options/?straddle=false&amp;strike=110&amp;type=all" TargetMode="External"/><Relationship Id="rId1319" Type="http://schemas.openxmlformats.org/officeDocument/2006/relationships/hyperlink" Target="https://finance.yahoo.com/quote/AAPL260320C00180000/" TargetMode="External"/><Relationship Id="rId1526" Type="http://schemas.openxmlformats.org/officeDocument/2006/relationships/hyperlink" Target="https://finance.yahoo.com/quote/AAPL/options/?straddle=false&amp;strike=120&amp;type=all" TargetMode="External"/><Relationship Id="rId1733" Type="http://schemas.openxmlformats.org/officeDocument/2006/relationships/hyperlink" Target="https://finance.yahoo.com/quote/AAPL260515P00160000/" TargetMode="External"/><Relationship Id="rId1940" Type="http://schemas.openxmlformats.org/officeDocument/2006/relationships/hyperlink" Target="https://finance.yahoo.com/quote/AAPL/options/?straddle=false&amp;strike=75&amp;type=all" TargetMode="External"/><Relationship Id="rId25" Type="http://schemas.openxmlformats.org/officeDocument/2006/relationships/hyperlink" Target="https://finance.yahoo.com/quote/AAPL251017C00165000/" TargetMode="External"/><Relationship Id="rId1800" Type="http://schemas.openxmlformats.org/officeDocument/2006/relationships/hyperlink" Target="https://finance.yahoo.com/quote/AAPL/options/?straddle=false&amp;strike=65&amp;type=all" TargetMode="External"/><Relationship Id="rId3698" Type="http://schemas.openxmlformats.org/officeDocument/2006/relationships/hyperlink" Target="https://finance.yahoo.com/quote/AAPL/options/?straddle=false&amp;strike=235&amp;type=all" TargetMode="External"/><Relationship Id="rId3558" Type="http://schemas.openxmlformats.org/officeDocument/2006/relationships/hyperlink" Target="https://finance.yahoo.com/quote/AAPL/options/?straddle=false&amp;strike=170&amp;type=all" TargetMode="External"/><Relationship Id="rId479" Type="http://schemas.openxmlformats.org/officeDocument/2006/relationships/hyperlink" Target="https://finance.yahoo.com/quote/AAPL251031P00155000/" TargetMode="External"/><Relationship Id="rId686" Type="http://schemas.openxmlformats.org/officeDocument/2006/relationships/hyperlink" Target="https://finance.yahoo.com/quote/AAPL/options/?straddle=false&amp;strike=250&amp;type=all" TargetMode="External"/><Relationship Id="rId893" Type="http://schemas.openxmlformats.org/officeDocument/2006/relationships/hyperlink" Target="https://finance.yahoo.com/quote/AAPL260116C00195000/" TargetMode="External"/><Relationship Id="rId2367" Type="http://schemas.openxmlformats.org/officeDocument/2006/relationships/hyperlink" Target="https://finance.yahoo.com/quote/AAPL260918P00215000/" TargetMode="External"/><Relationship Id="rId2574" Type="http://schemas.openxmlformats.org/officeDocument/2006/relationships/hyperlink" Target="https://finance.yahoo.com/quote/AAPL/options/?straddle=false&amp;strike=110&amp;type=all" TargetMode="External"/><Relationship Id="rId2781" Type="http://schemas.openxmlformats.org/officeDocument/2006/relationships/hyperlink" Target="https://finance.yahoo.com/quote/AAPL270115P00010000/" TargetMode="External"/><Relationship Id="rId3418" Type="http://schemas.openxmlformats.org/officeDocument/2006/relationships/hyperlink" Target="https://finance.yahoo.com/quote/AAPL/options/?straddle=false&amp;strike=155&amp;type=all" TargetMode="External"/><Relationship Id="rId3625" Type="http://schemas.openxmlformats.org/officeDocument/2006/relationships/hyperlink" Target="https://finance.yahoo.com/quote/AAPL251010C00280000/" TargetMode="External"/><Relationship Id="rId339" Type="http://schemas.openxmlformats.org/officeDocument/2006/relationships/hyperlink" Target="https://finance.yahoo.com/quote/AAPL251024P00155000/" TargetMode="External"/><Relationship Id="rId546" Type="http://schemas.openxmlformats.org/officeDocument/2006/relationships/hyperlink" Target="https://finance.yahoo.com/quote/AAPL/options/?straddle=false&amp;strike=200&amp;type=all" TargetMode="External"/><Relationship Id="rId753" Type="http://schemas.openxmlformats.org/officeDocument/2006/relationships/hyperlink" Target="https://finance.yahoo.com/quote/AAPL251121P00165000/" TargetMode="External"/><Relationship Id="rId1176" Type="http://schemas.openxmlformats.org/officeDocument/2006/relationships/hyperlink" Target="https://finance.yahoo.com/quote/AAPL/options/?straddle=false&amp;strike=295&amp;type=all" TargetMode="External"/><Relationship Id="rId1383" Type="http://schemas.openxmlformats.org/officeDocument/2006/relationships/hyperlink" Target="https://finance.yahoo.com/quote/AAPL260320P00140000/" TargetMode="External"/><Relationship Id="rId2227" Type="http://schemas.openxmlformats.org/officeDocument/2006/relationships/hyperlink" Target="https://finance.yahoo.com/quote/AAPL260918C00170000/" TargetMode="External"/><Relationship Id="rId2434" Type="http://schemas.openxmlformats.org/officeDocument/2006/relationships/hyperlink" Target="https://finance.yahoo.com/quote/AAPL/options/?straddle=false&amp;strike=60&amp;type=all" TargetMode="External"/><Relationship Id="rId406" Type="http://schemas.openxmlformats.org/officeDocument/2006/relationships/hyperlink" Target="https://finance.yahoo.com/quote/AAPL/options/?straddle=false&amp;strike=180&amp;type=all" TargetMode="External"/><Relationship Id="rId960" Type="http://schemas.openxmlformats.org/officeDocument/2006/relationships/hyperlink" Target="https://finance.yahoo.com/quote/AAPL/options/?straddle=false&amp;strike=5&amp;type=all" TargetMode="External"/><Relationship Id="rId1036" Type="http://schemas.openxmlformats.org/officeDocument/2006/relationships/hyperlink" Target="https://finance.yahoo.com/quote/AAPL/options/?straddle=false&amp;strike=195&amp;type=all" TargetMode="External"/><Relationship Id="rId1243" Type="http://schemas.openxmlformats.org/officeDocument/2006/relationships/hyperlink" Target="https://finance.yahoo.com/quote/AAPL260220P00210000/" TargetMode="External"/><Relationship Id="rId1590" Type="http://schemas.openxmlformats.org/officeDocument/2006/relationships/hyperlink" Target="https://finance.yahoo.com/quote/AAPL/options/?straddle=false&amp;strike=280&amp;type=all" TargetMode="External"/><Relationship Id="rId2641" Type="http://schemas.openxmlformats.org/officeDocument/2006/relationships/hyperlink" Target="https://finance.yahoo.com/quote/AAPL261218P00360000/" TargetMode="External"/><Relationship Id="rId613" Type="http://schemas.openxmlformats.org/officeDocument/2006/relationships/hyperlink" Target="https://finance.yahoo.com/quote/AAPL251107P00240000/" TargetMode="External"/><Relationship Id="rId820" Type="http://schemas.openxmlformats.org/officeDocument/2006/relationships/hyperlink" Target="https://finance.yahoo.com/quote/AAPL/options/?straddle=false&amp;strike=10&amp;type=all" TargetMode="External"/><Relationship Id="rId1450" Type="http://schemas.openxmlformats.org/officeDocument/2006/relationships/hyperlink" Target="https://finance.yahoo.com/quote/AAPL/options/?straddle=false&amp;strike=160&amp;type=all" TargetMode="External"/><Relationship Id="rId2501" Type="http://schemas.openxmlformats.org/officeDocument/2006/relationships/hyperlink" Target="https://finance.yahoo.com/quote/AAPL261218C00280000/" TargetMode="External"/><Relationship Id="rId1103" Type="http://schemas.openxmlformats.org/officeDocument/2006/relationships/hyperlink" Target="https://finance.yahoo.com/quote/AAPL260220C00110000/" TargetMode="External"/><Relationship Id="rId1310" Type="http://schemas.openxmlformats.org/officeDocument/2006/relationships/hyperlink" Target="https://finance.yahoo.com/quote/AAPL/options/?straddle=false&amp;strike=155&amp;type=all" TargetMode="External"/><Relationship Id="rId3068" Type="http://schemas.openxmlformats.org/officeDocument/2006/relationships/hyperlink" Target="https://finance.yahoo.com/quote/AAPL/options/?straddle=false&amp;strike=190&amp;type=all" TargetMode="External"/><Relationship Id="rId3275" Type="http://schemas.openxmlformats.org/officeDocument/2006/relationships/hyperlink" Target="https://finance.yahoo.com/quote/AAPL271217C00435000/" TargetMode="External"/><Relationship Id="rId3482" Type="http://schemas.openxmlformats.org/officeDocument/2006/relationships/hyperlink" Target="https://finance.yahoo.com/quote/AAPL/options/?straddle=false&amp;strike=60&amp;type=all" TargetMode="External"/><Relationship Id="rId196" Type="http://schemas.openxmlformats.org/officeDocument/2006/relationships/hyperlink" Target="https://finance.yahoo.com/quote/AAPL/options/?straddle=false&amp;strike=232.5&amp;type=all" TargetMode="External"/><Relationship Id="rId2084" Type="http://schemas.openxmlformats.org/officeDocument/2006/relationships/hyperlink" Target="https://finance.yahoo.com/quote/AAPL/options/?straddle=false&amp;strike=210&amp;type=all" TargetMode="External"/><Relationship Id="rId2291" Type="http://schemas.openxmlformats.org/officeDocument/2006/relationships/hyperlink" Target="https://finance.yahoo.com/quote/AAPL260918C00360000/" TargetMode="External"/><Relationship Id="rId3135" Type="http://schemas.openxmlformats.org/officeDocument/2006/relationships/hyperlink" Target="https://finance.yahoo.com/quote/AAPL271217C00085000/" TargetMode="External"/><Relationship Id="rId3342" Type="http://schemas.openxmlformats.org/officeDocument/2006/relationships/hyperlink" Target="https://finance.yahoo.com/quote/AAPL/options/?straddle=false&amp;strike=205&amp;type=all" TargetMode="External"/><Relationship Id="rId263" Type="http://schemas.openxmlformats.org/officeDocument/2006/relationships/hyperlink" Target="https://finance.yahoo.com/quote/AAPL251024C00170000/" TargetMode="External"/><Relationship Id="rId470" Type="http://schemas.openxmlformats.org/officeDocument/2006/relationships/hyperlink" Target="https://finance.yahoo.com/quote/AAPL/options/?straddle=false&amp;strike=130&amp;type=all" TargetMode="External"/><Relationship Id="rId2151" Type="http://schemas.openxmlformats.org/officeDocument/2006/relationships/hyperlink" Target="https://finance.yahoo.com/quote/AAPL260821P00210000/" TargetMode="External"/><Relationship Id="rId3202" Type="http://schemas.openxmlformats.org/officeDocument/2006/relationships/hyperlink" Target="https://finance.yahoo.com/quote/AAPL/options/?straddle=false&amp;strike=250&amp;type=all" TargetMode="External"/><Relationship Id="rId123" Type="http://schemas.openxmlformats.org/officeDocument/2006/relationships/hyperlink" Target="https://finance.yahoo.com/quote/AAPL251017C00350000/" TargetMode="External"/><Relationship Id="rId330" Type="http://schemas.openxmlformats.org/officeDocument/2006/relationships/hyperlink" Target="https://finance.yahoo.com/quote/AAPL/options/?straddle=false&amp;strike=130&amp;type=all" TargetMode="External"/><Relationship Id="rId2011" Type="http://schemas.openxmlformats.org/officeDocument/2006/relationships/hyperlink" Target="https://finance.yahoo.com/quote/AAPL260618P00255000/" TargetMode="External"/><Relationship Id="rId2968" Type="http://schemas.openxmlformats.org/officeDocument/2006/relationships/hyperlink" Target="https://finance.yahoo.com/quote/AAPL/options/?straddle=false&amp;strike=240&amp;type=all" TargetMode="External"/><Relationship Id="rId1777" Type="http://schemas.openxmlformats.org/officeDocument/2006/relationships/hyperlink" Target="https://finance.yahoo.com/quote/AAPL260618C00010000/" TargetMode="External"/><Relationship Id="rId1984" Type="http://schemas.openxmlformats.org/officeDocument/2006/relationships/hyperlink" Target="https://finance.yahoo.com/quote/AAPL/options/?straddle=false&amp;strike=185&amp;type=all" TargetMode="External"/><Relationship Id="rId2828" Type="http://schemas.openxmlformats.org/officeDocument/2006/relationships/hyperlink" Target="https://finance.yahoo.com/quote/AAPL/options/?straddle=false&amp;strike=140&amp;type=all" TargetMode="External"/><Relationship Id="rId69" Type="http://schemas.openxmlformats.org/officeDocument/2006/relationships/hyperlink" Target="https://finance.yahoo.com/quote/AAPL251017C00245000/" TargetMode="External"/><Relationship Id="rId1637" Type="http://schemas.openxmlformats.org/officeDocument/2006/relationships/hyperlink" Target="https://finance.yahoo.com/quote/AAPL260515C00185000/" TargetMode="External"/><Relationship Id="rId1844" Type="http://schemas.openxmlformats.org/officeDocument/2006/relationships/hyperlink" Target="https://finance.yahoo.com/quote/AAPL/options/?straddle=false&amp;strike=175&amp;type=all" TargetMode="External"/><Relationship Id="rId1704" Type="http://schemas.openxmlformats.org/officeDocument/2006/relationships/hyperlink" Target="https://finance.yahoo.com/quote/AAPL/options/?straddle=false&amp;strike=85&amp;type=all" TargetMode="External"/><Relationship Id="rId1911" Type="http://schemas.openxmlformats.org/officeDocument/2006/relationships/hyperlink" Target="https://finance.yahoo.com/quote/AAPL260618P00005000/" TargetMode="External"/><Relationship Id="rId3669" Type="http://schemas.openxmlformats.org/officeDocument/2006/relationships/hyperlink" Target="https://finance.yahoo.com/quote/AAPL251010P00185000/" TargetMode="External"/><Relationship Id="rId797" Type="http://schemas.openxmlformats.org/officeDocument/2006/relationships/hyperlink" Target="https://finance.yahoo.com/quote/AAPL251121P00275000/" TargetMode="External"/><Relationship Id="rId2478" Type="http://schemas.openxmlformats.org/officeDocument/2006/relationships/hyperlink" Target="https://finance.yahoo.com/quote/AAPL/options/?straddle=false&amp;strike=180&amp;type=all" TargetMode="External"/><Relationship Id="rId1287" Type="http://schemas.openxmlformats.org/officeDocument/2006/relationships/hyperlink" Target="https://finance.yahoo.com/quote/AAPL260320C00100000/" TargetMode="External"/><Relationship Id="rId2685" Type="http://schemas.openxmlformats.org/officeDocument/2006/relationships/hyperlink" Target="https://finance.yahoo.com/quote/AAPL270115C00095000/" TargetMode="External"/><Relationship Id="rId2892" Type="http://schemas.openxmlformats.org/officeDocument/2006/relationships/hyperlink" Target="https://finance.yahoo.com/quote/AAPL/options/?straddle=false&amp;strike=420&amp;type=all" TargetMode="External"/><Relationship Id="rId3529" Type="http://schemas.openxmlformats.org/officeDocument/2006/relationships/hyperlink" Target="https://finance.yahoo.com/quote/AAPL280121P00270000/" TargetMode="External"/><Relationship Id="rId3736" Type="http://schemas.openxmlformats.org/officeDocument/2006/relationships/hyperlink" Target="https://finance.yahoo.com/quote/AAPL/options/?straddle=false&amp;strike=295&amp;type=all" TargetMode="External"/><Relationship Id="rId657" Type="http://schemas.openxmlformats.org/officeDocument/2006/relationships/hyperlink" Target="https://finance.yahoo.com/quote/AAPL251121C00180000/" TargetMode="External"/><Relationship Id="rId864" Type="http://schemas.openxmlformats.org/officeDocument/2006/relationships/hyperlink" Target="https://finance.yahoo.com/quote/AAPL/options/?straddle=false&amp;strike=120&amp;type=all" TargetMode="External"/><Relationship Id="rId1494" Type="http://schemas.openxmlformats.org/officeDocument/2006/relationships/hyperlink" Target="https://finance.yahoo.com/quote/AAPL/options/?straddle=false&amp;strike=270&amp;type=all" TargetMode="External"/><Relationship Id="rId2338" Type="http://schemas.openxmlformats.org/officeDocument/2006/relationships/hyperlink" Target="https://finance.yahoo.com/quote/AAPL/options/?straddle=false&amp;strike=140&amp;type=all" TargetMode="External"/><Relationship Id="rId2545" Type="http://schemas.openxmlformats.org/officeDocument/2006/relationships/hyperlink" Target="https://finance.yahoo.com/quote/AAPL261218P00025000/" TargetMode="External"/><Relationship Id="rId2752" Type="http://schemas.openxmlformats.org/officeDocument/2006/relationships/hyperlink" Target="https://finance.yahoo.com/quote/AAPL/options/?straddle=false&amp;strike=320&amp;type=all" TargetMode="External"/><Relationship Id="rId517" Type="http://schemas.openxmlformats.org/officeDocument/2006/relationships/hyperlink" Target="https://finance.yahoo.com/quote/AAPL251031P00250000/" TargetMode="External"/><Relationship Id="rId724" Type="http://schemas.openxmlformats.org/officeDocument/2006/relationships/hyperlink" Target="https://finance.yahoo.com/quote/AAPL/options/?straddle=false&amp;strike=345&amp;type=all" TargetMode="External"/><Relationship Id="rId931" Type="http://schemas.openxmlformats.org/officeDocument/2006/relationships/hyperlink" Target="https://finance.yahoo.com/quote/AAPL260116C00290000/" TargetMode="External"/><Relationship Id="rId1147" Type="http://schemas.openxmlformats.org/officeDocument/2006/relationships/hyperlink" Target="https://finance.yahoo.com/quote/AAPL260220C00225000/" TargetMode="External"/><Relationship Id="rId1354" Type="http://schemas.openxmlformats.org/officeDocument/2006/relationships/hyperlink" Target="https://finance.yahoo.com/quote/AAPL/options/?straddle=false&amp;strike=330&amp;type=all" TargetMode="External"/><Relationship Id="rId1561" Type="http://schemas.openxmlformats.org/officeDocument/2006/relationships/hyperlink" Target="https://finance.yahoo.com/quote/AAPL260417P00210000/" TargetMode="External"/><Relationship Id="rId2405" Type="http://schemas.openxmlformats.org/officeDocument/2006/relationships/hyperlink" Target="https://finance.yahoo.com/quote/AAPL260918P00320000/" TargetMode="External"/><Relationship Id="rId2612" Type="http://schemas.openxmlformats.org/officeDocument/2006/relationships/hyperlink" Target="https://finance.yahoo.com/quote/AAPL/options/?straddle=false&amp;strike=210&amp;type=all" TargetMode="External"/><Relationship Id="rId60" Type="http://schemas.openxmlformats.org/officeDocument/2006/relationships/hyperlink" Target="https://finance.yahoo.com/quote/AAPL/options/?straddle=false&amp;strike=232.5&amp;type=all" TargetMode="External"/><Relationship Id="rId1007" Type="http://schemas.openxmlformats.org/officeDocument/2006/relationships/hyperlink" Target="https://finance.yahoo.com/quote/AAPL260116P00125000/" TargetMode="External"/><Relationship Id="rId1214" Type="http://schemas.openxmlformats.org/officeDocument/2006/relationships/hyperlink" Target="https://finance.yahoo.com/quote/AAPL/options/?straddle=false&amp;strike=135&amp;type=all" TargetMode="External"/><Relationship Id="rId1421" Type="http://schemas.openxmlformats.org/officeDocument/2006/relationships/hyperlink" Target="https://finance.yahoo.com/quote/AAPL260320P00270000/" TargetMode="External"/><Relationship Id="rId3179" Type="http://schemas.openxmlformats.org/officeDocument/2006/relationships/hyperlink" Target="https://finance.yahoo.com/quote/AAPL271217C00195000/" TargetMode="External"/><Relationship Id="rId3386" Type="http://schemas.openxmlformats.org/officeDocument/2006/relationships/hyperlink" Target="https://finance.yahoo.com/quote/AAPL/options/?straddle=false&amp;strike=315&amp;type=all" TargetMode="External"/><Relationship Id="rId3593" Type="http://schemas.openxmlformats.org/officeDocument/2006/relationships/hyperlink" Target="https://finance.yahoo.com/quote/AAPL251010C00237500/" TargetMode="External"/><Relationship Id="rId2195" Type="http://schemas.openxmlformats.org/officeDocument/2006/relationships/hyperlink" Target="https://finance.yahoo.com/quote/AAPL260918C00090000/" TargetMode="External"/><Relationship Id="rId3039" Type="http://schemas.openxmlformats.org/officeDocument/2006/relationships/hyperlink" Target="https://finance.yahoo.com/quote/AAPL270617P00120000/" TargetMode="External"/><Relationship Id="rId3246" Type="http://schemas.openxmlformats.org/officeDocument/2006/relationships/hyperlink" Target="https://finance.yahoo.com/quote/AAPL/options/?straddle=false&amp;strike=360&amp;type=all" TargetMode="External"/><Relationship Id="rId3453" Type="http://schemas.openxmlformats.org/officeDocument/2006/relationships/hyperlink" Target="https://finance.yahoo.com/quote/AAPL280121C00300000/" TargetMode="External"/><Relationship Id="rId167" Type="http://schemas.openxmlformats.org/officeDocument/2006/relationships/hyperlink" Target="https://finance.yahoo.com/quote/AAPL251017P00180000/" TargetMode="External"/><Relationship Id="rId374" Type="http://schemas.openxmlformats.org/officeDocument/2006/relationships/hyperlink" Target="https://finance.yahoo.com/quote/AAPL/options/?straddle=false&amp;strike=240&amp;type=all" TargetMode="External"/><Relationship Id="rId581" Type="http://schemas.openxmlformats.org/officeDocument/2006/relationships/hyperlink" Target="https://finance.yahoo.com/quote/AAPL251107C00300000/" TargetMode="External"/><Relationship Id="rId2055" Type="http://schemas.openxmlformats.org/officeDocument/2006/relationships/hyperlink" Target="https://finance.yahoo.com/quote/AAPL260821C00135000/" TargetMode="External"/><Relationship Id="rId2262" Type="http://schemas.openxmlformats.org/officeDocument/2006/relationships/hyperlink" Target="https://finance.yahoo.com/quote/AAPL/options/?straddle=false&amp;strike=255&amp;type=all" TargetMode="External"/><Relationship Id="rId3106" Type="http://schemas.openxmlformats.org/officeDocument/2006/relationships/hyperlink" Target="https://finance.yahoo.com/quote/AAPL/options/?straddle=false&amp;strike=380&amp;type=all" TargetMode="External"/><Relationship Id="rId3660" Type="http://schemas.openxmlformats.org/officeDocument/2006/relationships/hyperlink" Target="https://finance.yahoo.com/quote/AAPL/options/?straddle=false&amp;strike=160&amp;type=all" TargetMode="External"/><Relationship Id="rId234" Type="http://schemas.openxmlformats.org/officeDocument/2006/relationships/hyperlink" Target="https://finance.yahoo.com/quote/AAPL/options/?straddle=false&amp;strike=290&amp;type=all" TargetMode="External"/><Relationship Id="rId3313" Type="http://schemas.openxmlformats.org/officeDocument/2006/relationships/hyperlink" Target="https://finance.yahoo.com/quote/AAPL271217P00135000/" TargetMode="External"/><Relationship Id="rId3520" Type="http://schemas.openxmlformats.org/officeDocument/2006/relationships/hyperlink" Target="https://finance.yahoo.com/quote/AAPL/options/?straddle=false&amp;strike=220&amp;type=all" TargetMode="External"/><Relationship Id="rId441" Type="http://schemas.openxmlformats.org/officeDocument/2006/relationships/hyperlink" Target="https://finance.yahoo.com/quote/AAPL251031C00270000/" TargetMode="External"/><Relationship Id="rId1071" Type="http://schemas.openxmlformats.org/officeDocument/2006/relationships/hyperlink" Target="https://finance.yahoo.com/quote/AAPL260116P00285000/" TargetMode="External"/><Relationship Id="rId2122" Type="http://schemas.openxmlformats.org/officeDocument/2006/relationships/hyperlink" Target="https://finance.yahoo.com/quote/AAPL/options/?straddle=false&amp;strike=130&amp;type=all" TargetMode="External"/><Relationship Id="rId301" Type="http://schemas.openxmlformats.org/officeDocument/2006/relationships/hyperlink" Target="https://finance.yahoo.com/quote/AAPL251024C00265000/" TargetMode="External"/><Relationship Id="rId1888" Type="http://schemas.openxmlformats.org/officeDocument/2006/relationships/hyperlink" Target="https://finance.yahoo.com/quote/AAPL/options/?straddle=false&amp;strike=285&amp;type=all" TargetMode="External"/><Relationship Id="rId2939" Type="http://schemas.openxmlformats.org/officeDocument/2006/relationships/hyperlink" Target="https://finance.yahoo.com/quote/AAPL270617C00150000/" TargetMode="External"/><Relationship Id="rId1748" Type="http://schemas.openxmlformats.org/officeDocument/2006/relationships/hyperlink" Target="https://finance.yahoo.com/quote/AAPL/options/?straddle=false&amp;strike=195&amp;type=all" TargetMode="External"/><Relationship Id="rId1955" Type="http://schemas.openxmlformats.org/officeDocument/2006/relationships/hyperlink" Target="https://finance.yahoo.com/quote/AAPL260618P00115000/" TargetMode="External"/><Relationship Id="rId3170" Type="http://schemas.openxmlformats.org/officeDocument/2006/relationships/hyperlink" Target="https://finance.yahoo.com/quote/AAPL/options/?straddle=false&amp;strike=170&amp;type=all" TargetMode="External"/><Relationship Id="rId1608" Type="http://schemas.openxmlformats.org/officeDocument/2006/relationships/hyperlink" Target="https://finance.yahoo.com/quote/AAPL/options/?straddle=false&amp;strike=95&amp;type=all" TargetMode="External"/><Relationship Id="rId1815" Type="http://schemas.openxmlformats.org/officeDocument/2006/relationships/hyperlink" Target="https://finance.yahoo.com/quote/AAPL260618C00105000/" TargetMode="External"/><Relationship Id="rId3030" Type="http://schemas.openxmlformats.org/officeDocument/2006/relationships/hyperlink" Target="https://finance.yahoo.com/quote/AAPL/options/?straddle=false&amp;strike=95&amp;type=all" TargetMode="External"/><Relationship Id="rId2589" Type="http://schemas.openxmlformats.org/officeDocument/2006/relationships/hyperlink" Target="https://finance.yahoo.com/quote/AAPL261218P00150000/" TargetMode="External"/><Relationship Id="rId2796" Type="http://schemas.openxmlformats.org/officeDocument/2006/relationships/hyperlink" Target="https://finance.yahoo.com/quote/AAPL/options/?straddle=false&amp;strike=45&amp;type=all" TargetMode="External"/><Relationship Id="rId768" Type="http://schemas.openxmlformats.org/officeDocument/2006/relationships/hyperlink" Target="https://finance.yahoo.com/quote/AAPL/options/?straddle=false&amp;strike=200&amp;type=all" TargetMode="External"/><Relationship Id="rId975" Type="http://schemas.openxmlformats.org/officeDocument/2006/relationships/hyperlink" Target="https://finance.yahoo.com/quote/AAPL260116P00045000/" TargetMode="External"/><Relationship Id="rId1398" Type="http://schemas.openxmlformats.org/officeDocument/2006/relationships/hyperlink" Target="https://finance.yahoo.com/quote/AAPL/options/?straddle=false&amp;strike=175&amp;type=all" TargetMode="External"/><Relationship Id="rId2449" Type="http://schemas.openxmlformats.org/officeDocument/2006/relationships/hyperlink" Target="https://finance.yahoo.com/quote/AAPL261218C00110000/" TargetMode="External"/><Relationship Id="rId2656" Type="http://schemas.openxmlformats.org/officeDocument/2006/relationships/hyperlink" Target="https://finance.yahoo.com/quote/AAPL/options/?straddle=false&amp;strike=5&amp;type=all" TargetMode="External"/><Relationship Id="rId2863" Type="http://schemas.openxmlformats.org/officeDocument/2006/relationships/hyperlink" Target="https://finance.yahoo.com/quote/AAPL270115P00260000/" TargetMode="External"/><Relationship Id="rId3707" Type="http://schemas.openxmlformats.org/officeDocument/2006/relationships/hyperlink" Target="https://finance.yahoo.com/quote/AAPL251010P00247500/" TargetMode="External"/><Relationship Id="rId628" Type="http://schemas.openxmlformats.org/officeDocument/2006/relationships/hyperlink" Target="https://finance.yahoo.com/quote/AAPL/options/?straddle=false&amp;strike=105&amp;type=all" TargetMode="External"/><Relationship Id="rId835" Type="http://schemas.openxmlformats.org/officeDocument/2006/relationships/hyperlink" Target="https://finance.yahoo.com/quote/AAPL260116C00050000/" TargetMode="External"/><Relationship Id="rId1258" Type="http://schemas.openxmlformats.org/officeDocument/2006/relationships/hyperlink" Target="https://finance.yahoo.com/quote/AAPL/options/?straddle=false&amp;strike=245&amp;type=all" TargetMode="External"/><Relationship Id="rId1465" Type="http://schemas.openxmlformats.org/officeDocument/2006/relationships/hyperlink" Target="https://finance.yahoo.com/quote/AAPL260417C00200000/" TargetMode="External"/><Relationship Id="rId1672" Type="http://schemas.openxmlformats.org/officeDocument/2006/relationships/hyperlink" Target="https://finance.yahoo.com/quote/AAPL/options/?straddle=false&amp;strike=340&amp;type=all" TargetMode="External"/><Relationship Id="rId2309" Type="http://schemas.openxmlformats.org/officeDocument/2006/relationships/hyperlink" Target="https://finance.yahoo.com/quote/AAPL260918P00070000/" TargetMode="External"/><Relationship Id="rId2516" Type="http://schemas.openxmlformats.org/officeDocument/2006/relationships/hyperlink" Target="https://finance.yahoo.com/quote/AAPL/options/?straddle=false&amp;strike=350&amp;type=all" TargetMode="External"/><Relationship Id="rId2723" Type="http://schemas.openxmlformats.org/officeDocument/2006/relationships/hyperlink" Target="https://finance.yahoo.com/quote/AAPL270115C00190000/" TargetMode="External"/><Relationship Id="rId1118" Type="http://schemas.openxmlformats.org/officeDocument/2006/relationships/hyperlink" Target="https://finance.yahoo.com/quote/AAPL/options/?straddle=false&amp;strike=150&amp;type=all" TargetMode="External"/><Relationship Id="rId1325" Type="http://schemas.openxmlformats.org/officeDocument/2006/relationships/hyperlink" Target="https://finance.yahoo.com/quote/AAPL260320C00195000/" TargetMode="External"/><Relationship Id="rId1532" Type="http://schemas.openxmlformats.org/officeDocument/2006/relationships/hyperlink" Target="https://finance.yahoo.com/quote/AAPL/options/?straddle=false&amp;strike=135&amp;type=all" TargetMode="External"/><Relationship Id="rId2930" Type="http://schemas.openxmlformats.org/officeDocument/2006/relationships/hyperlink" Target="https://finance.yahoo.com/quote/AAPL/options/?straddle=false&amp;strike=125&amp;type=all" TargetMode="External"/><Relationship Id="rId902" Type="http://schemas.openxmlformats.org/officeDocument/2006/relationships/hyperlink" Target="https://finance.yahoo.com/quote/AAPL/options/?straddle=false&amp;strike=215&amp;type=all" TargetMode="External"/><Relationship Id="rId3497" Type="http://schemas.openxmlformats.org/officeDocument/2006/relationships/hyperlink" Target="https://finance.yahoo.com/quote/AAPL280121P00145000/" TargetMode="External"/><Relationship Id="rId31" Type="http://schemas.openxmlformats.org/officeDocument/2006/relationships/hyperlink" Target="https://finance.yahoo.com/quote/AAPL251017C00180000/" TargetMode="External"/><Relationship Id="rId2099" Type="http://schemas.openxmlformats.org/officeDocument/2006/relationships/hyperlink" Target="https://finance.yahoo.com/quote/AAPL260821C00290000/" TargetMode="External"/><Relationship Id="rId278" Type="http://schemas.openxmlformats.org/officeDocument/2006/relationships/hyperlink" Target="https://finance.yahoo.com/quote/AAPL/options/?straddle=false&amp;strike=205&amp;type=all" TargetMode="External"/><Relationship Id="rId3357" Type="http://schemas.openxmlformats.org/officeDocument/2006/relationships/hyperlink" Target="https://finance.yahoo.com/quote/AAPL271217P00245000/" TargetMode="External"/><Relationship Id="rId3564" Type="http://schemas.openxmlformats.org/officeDocument/2006/relationships/hyperlink" Target="https://finance.yahoo.com/quote/AAPL/options/?straddle=false&amp;strike=185&amp;type=all" TargetMode="External"/><Relationship Id="rId485" Type="http://schemas.openxmlformats.org/officeDocument/2006/relationships/hyperlink" Target="https://finance.yahoo.com/quote/AAPL251031P00170000/" TargetMode="External"/><Relationship Id="rId692" Type="http://schemas.openxmlformats.org/officeDocument/2006/relationships/hyperlink" Target="https://finance.yahoo.com/quote/AAPL/options/?straddle=false&amp;strike=265&amp;type=all" TargetMode="External"/><Relationship Id="rId2166" Type="http://schemas.openxmlformats.org/officeDocument/2006/relationships/hyperlink" Target="https://finance.yahoo.com/quote/AAPL/options/?straddle=false&amp;strike=280&amp;type=all" TargetMode="External"/><Relationship Id="rId2373" Type="http://schemas.openxmlformats.org/officeDocument/2006/relationships/hyperlink" Target="https://finance.yahoo.com/quote/AAPL260918P00230000/" TargetMode="External"/><Relationship Id="rId2580" Type="http://schemas.openxmlformats.org/officeDocument/2006/relationships/hyperlink" Target="https://finance.yahoo.com/quote/AAPL/options/?straddle=false&amp;strike=125&amp;type=all" TargetMode="External"/><Relationship Id="rId3217" Type="http://schemas.openxmlformats.org/officeDocument/2006/relationships/hyperlink" Target="https://finance.yahoo.com/quote/AAPL271217C00290000/" TargetMode="External"/><Relationship Id="rId3424" Type="http://schemas.openxmlformats.org/officeDocument/2006/relationships/hyperlink" Target="https://finance.yahoo.com/quote/AAPL/options/?straddle=false&amp;strike=175&amp;type=all" TargetMode="External"/><Relationship Id="rId3631" Type="http://schemas.openxmlformats.org/officeDocument/2006/relationships/hyperlink" Target="https://finance.yahoo.com/quote/AAPL251010C00295000/" TargetMode="External"/><Relationship Id="rId138" Type="http://schemas.openxmlformats.org/officeDocument/2006/relationships/hyperlink" Target="https://finance.yahoo.com/quote/AAPL/options/?straddle=false&amp;strike=105&amp;type=all" TargetMode="External"/><Relationship Id="rId345" Type="http://schemas.openxmlformats.org/officeDocument/2006/relationships/hyperlink" Target="https://finance.yahoo.com/quote/AAPL251024P00170000/" TargetMode="External"/><Relationship Id="rId552" Type="http://schemas.openxmlformats.org/officeDocument/2006/relationships/hyperlink" Target="https://finance.yahoo.com/quote/AAPL/options/?straddle=false&amp;strike=225&amp;type=all" TargetMode="External"/><Relationship Id="rId1182" Type="http://schemas.openxmlformats.org/officeDocument/2006/relationships/hyperlink" Target="https://finance.yahoo.com/quote/AAPL/options/?straddle=false&amp;strike=320&amp;type=all" TargetMode="External"/><Relationship Id="rId2026" Type="http://schemas.openxmlformats.org/officeDocument/2006/relationships/hyperlink" Target="https://finance.yahoo.com/quote/AAPL/options/?straddle=false&amp;strike=290&amp;type=all" TargetMode="External"/><Relationship Id="rId2233" Type="http://schemas.openxmlformats.org/officeDocument/2006/relationships/hyperlink" Target="https://finance.yahoo.com/quote/AAPL260918C00185000/" TargetMode="External"/><Relationship Id="rId2440" Type="http://schemas.openxmlformats.org/officeDocument/2006/relationships/hyperlink" Target="https://finance.yahoo.com/quote/AAPL/options/?straddle=false&amp;strike=85&amp;type=all" TargetMode="External"/><Relationship Id="rId205" Type="http://schemas.openxmlformats.org/officeDocument/2006/relationships/hyperlink" Target="https://finance.yahoo.com/quote/AAPL251017P00245000/" TargetMode="External"/><Relationship Id="rId412" Type="http://schemas.openxmlformats.org/officeDocument/2006/relationships/hyperlink" Target="https://finance.yahoo.com/quote/AAPL/options/?straddle=false&amp;strike=195&amp;type=all" TargetMode="External"/><Relationship Id="rId1042" Type="http://schemas.openxmlformats.org/officeDocument/2006/relationships/hyperlink" Target="https://finance.yahoo.com/quote/AAPL/options/?straddle=false&amp;strike=210&amp;type=all" TargetMode="External"/><Relationship Id="rId2300" Type="http://schemas.openxmlformats.org/officeDocument/2006/relationships/hyperlink" Target="https://finance.yahoo.com/quote/AAPL/options/?straddle=false&amp;strike=400&amp;type=all" TargetMode="External"/><Relationship Id="rId1999" Type="http://schemas.openxmlformats.org/officeDocument/2006/relationships/hyperlink" Target="https://finance.yahoo.com/quote/AAPL260618P00225000/" TargetMode="External"/><Relationship Id="rId1859" Type="http://schemas.openxmlformats.org/officeDocument/2006/relationships/hyperlink" Target="https://finance.yahoo.com/quote/AAPL260618C00215000/" TargetMode="External"/><Relationship Id="rId3074" Type="http://schemas.openxmlformats.org/officeDocument/2006/relationships/hyperlink" Target="https://finance.yahoo.com/quote/AAPL/options/?straddle=false&amp;strike=210&amp;type=all" TargetMode="External"/><Relationship Id="rId1719" Type="http://schemas.openxmlformats.org/officeDocument/2006/relationships/hyperlink" Target="https://finance.yahoo.com/quote/AAPL260515P00125000/" TargetMode="External"/><Relationship Id="rId1926" Type="http://schemas.openxmlformats.org/officeDocument/2006/relationships/hyperlink" Target="https://finance.yahoo.com/quote/AAPL/options/?straddle=false&amp;strike=40&amp;type=all" TargetMode="External"/><Relationship Id="rId3281" Type="http://schemas.openxmlformats.org/officeDocument/2006/relationships/hyperlink" Target="https://finance.yahoo.com/quote/AAPL271217P00055000/" TargetMode="External"/><Relationship Id="rId2090" Type="http://schemas.openxmlformats.org/officeDocument/2006/relationships/hyperlink" Target="https://finance.yahoo.com/quote/AAPL/options/?straddle=false&amp;strike=240&amp;type=all" TargetMode="External"/><Relationship Id="rId3141" Type="http://schemas.openxmlformats.org/officeDocument/2006/relationships/hyperlink" Target="https://finance.yahoo.com/quote/AAPL271217C00100000/" TargetMode="External"/><Relationship Id="rId3001" Type="http://schemas.openxmlformats.org/officeDocument/2006/relationships/hyperlink" Target="https://finance.yahoo.com/quote/AAPL270617C00410000/" TargetMode="External"/><Relationship Id="rId879" Type="http://schemas.openxmlformats.org/officeDocument/2006/relationships/hyperlink" Target="https://finance.yahoo.com/quote/AAPL260116C00160000/" TargetMode="External"/><Relationship Id="rId2767" Type="http://schemas.openxmlformats.org/officeDocument/2006/relationships/hyperlink" Target="https://finance.yahoo.com/quote/AAPL270115C00400000/" TargetMode="External"/><Relationship Id="rId739" Type="http://schemas.openxmlformats.org/officeDocument/2006/relationships/hyperlink" Target="https://finance.yahoo.com/quote/AAPL251121P00130000/" TargetMode="External"/><Relationship Id="rId1369" Type="http://schemas.openxmlformats.org/officeDocument/2006/relationships/hyperlink" Target="https://finance.yahoo.com/quote/AAPL260320P00105000/" TargetMode="External"/><Relationship Id="rId1576" Type="http://schemas.openxmlformats.org/officeDocument/2006/relationships/hyperlink" Target="https://finance.yahoo.com/quote/AAPL/options/?straddle=false&amp;strike=245&amp;type=all" TargetMode="External"/><Relationship Id="rId2974" Type="http://schemas.openxmlformats.org/officeDocument/2006/relationships/hyperlink" Target="https://finance.yahoo.com/quote/AAPL/options/?straddle=false&amp;strike=270&amp;type=all" TargetMode="External"/><Relationship Id="rId946" Type="http://schemas.openxmlformats.org/officeDocument/2006/relationships/hyperlink" Target="https://finance.yahoo.com/quote/AAPL/options/?straddle=false&amp;strike=330&amp;type=all" TargetMode="External"/><Relationship Id="rId1229" Type="http://schemas.openxmlformats.org/officeDocument/2006/relationships/hyperlink" Target="https://finance.yahoo.com/quote/AAPL260220P00175000/" TargetMode="External"/><Relationship Id="rId1783" Type="http://schemas.openxmlformats.org/officeDocument/2006/relationships/hyperlink" Target="https://finance.yahoo.com/quote/AAPL260618C00025000/" TargetMode="External"/><Relationship Id="rId1990" Type="http://schemas.openxmlformats.org/officeDocument/2006/relationships/hyperlink" Target="https://finance.yahoo.com/quote/AAPL/options/?straddle=false&amp;strike=200&amp;type=all" TargetMode="External"/><Relationship Id="rId2627" Type="http://schemas.openxmlformats.org/officeDocument/2006/relationships/hyperlink" Target="https://finance.yahoo.com/quote/AAPL261218P00290000/" TargetMode="External"/><Relationship Id="rId2834" Type="http://schemas.openxmlformats.org/officeDocument/2006/relationships/hyperlink" Target="https://finance.yahoo.com/quote/AAPL/options/?straddle=false&amp;strike=155&amp;type=all" TargetMode="External"/><Relationship Id="rId75" Type="http://schemas.openxmlformats.org/officeDocument/2006/relationships/hyperlink" Target="https://finance.yahoo.com/quote/AAPL251017C00252500/" TargetMode="External"/><Relationship Id="rId806" Type="http://schemas.openxmlformats.org/officeDocument/2006/relationships/hyperlink" Target="https://finance.yahoo.com/quote/AAPL/options/?straddle=false&amp;strike=300&amp;type=all" TargetMode="External"/><Relationship Id="rId1436" Type="http://schemas.openxmlformats.org/officeDocument/2006/relationships/hyperlink" Target="https://finance.yahoo.com/quote/AAPL/options/?straddle=false&amp;strike=360&amp;type=all" TargetMode="External"/><Relationship Id="rId1643" Type="http://schemas.openxmlformats.org/officeDocument/2006/relationships/hyperlink" Target="https://finance.yahoo.com/quote/AAPL260515C00200000/" TargetMode="External"/><Relationship Id="rId1850" Type="http://schemas.openxmlformats.org/officeDocument/2006/relationships/hyperlink" Target="https://finance.yahoo.com/quote/AAPL/options/?straddle=false&amp;strike=190&amp;type=all" TargetMode="External"/><Relationship Id="rId2901" Type="http://schemas.openxmlformats.org/officeDocument/2006/relationships/hyperlink" Target="https://finance.yahoo.com/quote/AAPL270617C00055000/" TargetMode="External"/><Relationship Id="rId1503" Type="http://schemas.openxmlformats.org/officeDocument/2006/relationships/hyperlink" Target="https://finance.yahoo.com/quote/AAPL260417C00295000/" TargetMode="External"/><Relationship Id="rId1710" Type="http://schemas.openxmlformats.org/officeDocument/2006/relationships/hyperlink" Target="https://finance.yahoo.com/quote/AAPL/options/?straddle=false&amp;strike=100&amp;type=all" TargetMode="External"/><Relationship Id="rId3468" Type="http://schemas.openxmlformats.org/officeDocument/2006/relationships/hyperlink" Target="https://finance.yahoo.com/quote/AAPL/options/?straddle=false&amp;strike=370&amp;type=all" TargetMode="External"/><Relationship Id="rId3675" Type="http://schemas.openxmlformats.org/officeDocument/2006/relationships/hyperlink" Target="https://finance.yahoo.com/quote/AAPL251010P00200000/" TargetMode="External"/><Relationship Id="rId389" Type="http://schemas.openxmlformats.org/officeDocument/2006/relationships/hyperlink" Target="https://finance.yahoo.com/quote/AAPL251024P00280000/" TargetMode="External"/><Relationship Id="rId596" Type="http://schemas.openxmlformats.org/officeDocument/2006/relationships/hyperlink" Target="https://finance.yahoo.com/quote/AAPL/options/?straddle=false&amp;strike=195&amp;type=all" TargetMode="External"/><Relationship Id="rId2277" Type="http://schemas.openxmlformats.org/officeDocument/2006/relationships/hyperlink" Target="https://finance.yahoo.com/quote/AAPL260918C00295000/" TargetMode="External"/><Relationship Id="rId2484" Type="http://schemas.openxmlformats.org/officeDocument/2006/relationships/hyperlink" Target="https://finance.yahoo.com/quote/AAPL/options/?straddle=false&amp;strike=195&amp;type=all" TargetMode="External"/><Relationship Id="rId2691" Type="http://schemas.openxmlformats.org/officeDocument/2006/relationships/hyperlink" Target="https://finance.yahoo.com/quote/AAPL270115C00110000/" TargetMode="External"/><Relationship Id="rId3328" Type="http://schemas.openxmlformats.org/officeDocument/2006/relationships/hyperlink" Target="https://finance.yahoo.com/quote/AAPL/options/?straddle=false&amp;strike=170&amp;type=all" TargetMode="External"/><Relationship Id="rId3535" Type="http://schemas.openxmlformats.org/officeDocument/2006/relationships/hyperlink" Target="https://finance.yahoo.com/quote/AAPL280121P00300000/" TargetMode="External"/><Relationship Id="rId249" Type="http://schemas.openxmlformats.org/officeDocument/2006/relationships/hyperlink" Target="https://finance.yahoo.com/quote/AAPL251017P00355000/" TargetMode="External"/><Relationship Id="rId456" Type="http://schemas.openxmlformats.org/officeDocument/2006/relationships/hyperlink" Target="https://finance.yahoo.com/quote/AAPL/options/?straddle=false&amp;strike=305&amp;type=all" TargetMode="External"/><Relationship Id="rId663" Type="http://schemas.openxmlformats.org/officeDocument/2006/relationships/hyperlink" Target="https://finance.yahoo.com/quote/AAPL251121C00195000/" TargetMode="External"/><Relationship Id="rId870" Type="http://schemas.openxmlformats.org/officeDocument/2006/relationships/hyperlink" Target="https://finance.yahoo.com/quote/AAPL/options/?straddle=false&amp;strike=135&amp;type=all" TargetMode="External"/><Relationship Id="rId1086" Type="http://schemas.openxmlformats.org/officeDocument/2006/relationships/hyperlink" Target="https://finance.yahoo.com/quote/AAPL/options/?straddle=false&amp;strike=320&amp;type=all" TargetMode="External"/><Relationship Id="rId1293" Type="http://schemas.openxmlformats.org/officeDocument/2006/relationships/hyperlink" Target="https://finance.yahoo.com/quote/AAPL260320C00115000/" TargetMode="External"/><Relationship Id="rId2137" Type="http://schemas.openxmlformats.org/officeDocument/2006/relationships/hyperlink" Target="https://finance.yahoo.com/quote/AAPL260821P00170000/" TargetMode="External"/><Relationship Id="rId2344" Type="http://schemas.openxmlformats.org/officeDocument/2006/relationships/hyperlink" Target="https://finance.yahoo.com/quote/AAPL/options/?straddle=false&amp;strike=155&amp;type=all" TargetMode="External"/><Relationship Id="rId2551" Type="http://schemas.openxmlformats.org/officeDocument/2006/relationships/hyperlink" Target="https://finance.yahoo.com/quote/AAPL261218P00040000/" TargetMode="External"/><Relationship Id="rId109" Type="http://schemas.openxmlformats.org/officeDocument/2006/relationships/hyperlink" Target="https://finance.yahoo.com/quote/AAPL251017C00315000/" TargetMode="External"/><Relationship Id="rId316" Type="http://schemas.openxmlformats.org/officeDocument/2006/relationships/hyperlink" Target="https://finance.yahoo.com/quote/AAPL/options/?straddle=false&amp;strike=300&amp;type=all" TargetMode="External"/><Relationship Id="rId523" Type="http://schemas.openxmlformats.org/officeDocument/2006/relationships/hyperlink" Target="https://finance.yahoo.com/quote/AAPL251031P00265000/" TargetMode="External"/><Relationship Id="rId1153" Type="http://schemas.openxmlformats.org/officeDocument/2006/relationships/hyperlink" Target="https://finance.yahoo.com/quote/AAPL260220C00240000/" TargetMode="External"/><Relationship Id="rId2204" Type="http://schemas.openxmlformats.org/officeDocument/2006/relationships/hyperlink" Target="https://finance.yahoo.com/quote/AAPL/options/?straddle=false&amp;strike=110&amp;type=all" TargetMode="External"/><Relationship Id="rId3602" Type="http://schemas.openxmlformats.org/officeDocument/2006/relationships/hyperlink" Target="https://finance.yahoo.com/quote/AAPL/options/?straddle=false&amp;strike=247.5&amp;type=all" TargetMode="External"/><Relationship Id="rId730" Type="http://schemas.openxmlformats.org/officeDocument/2006/relationships/hyperlink" Target="https://finance.yahoo.com/quote/AAPL/options/?straddle=false&amp;strike=105&amp;type=all" TargetMode="External"/><Relationship Id="rId1013" Type="http://schemas.openxmlformats.org/officeDocument/2006/relationships/hyperlink" Target="https://finance.yahoo.com/quote/AAPL260116P00140000/" TargetMode="External"/><Relationship Id="rId1360" Type="http://schemas.openxmlformats.org/officeDocument/2006/relationships/hyperlink" Target="https://finance.yahoo.com/quote/AAPL/options/?straddle=false&amp;strike=360&amp;type=all" TargetMode="External"/><Relationship Id="rId2411" Type="http://schemas.openxmlformats.org/officeDocument/2006/relationships/hyperlink" Target="https://finance.yahoo.com/quote/AAPL260918P00400000/" TargetMode="External"/><Relationship Id="rId1220" Type="http://schemas.openxmlformats.org/officeDocument/2006/relationships/hyperlink" Target="https://finance.yahoo.com/quote/AAPL/options/?straddle=false&amp;strike=150&amp;type=all" TargetMode="External"/><Relationship Id="rId3185" Type="http://schemas.openxmlformats.org/officeDocument/2006/relationships/hyperlink" Target="https://finance.yahoo.com/quote/AAPL271217C00210000/" TargetMode="External"/><Relationship Id="rId3392" Type="http://schemas.openxmlformats.org/officeDocument/2006/relationships/hyperlink" Target="https://finance.yahoo.com/quote/AAPL/options/?straddle=false&amp;strike=330&amp;type=all" TargetMode="External"/><Relationship Id="rId3045" Type="http://schemas.openxmlformats.org/officeDocument/2006/relationships/hyperlink" Target="https://finance.yahoo.com/quote/AAPL270617P00135000/" TargetMode="External"/><Relationship Id="rId3252" Type="http://schemas.openxmlformats.org/officeDocument/2006/relationships/hyperlink" Target="https://finance.yahoo.com/quote/AAPL/options/?straddle=false&amp;strike=375&amp;type=all" TargetMode="External"/><Relationship Id="rId173" Type="http://schemas.openxmlformats.org/officeDocument/2006/relationships/hyperlink" Target="https://finance.yahoo.com/quote/AAPL251017P00195000/" TargetMode="External"/><Relationship Id="rId380" Type="http://schemas.openxmlformats.org/officeDocument/2006/relationships/hyperlink" Target="https://finance.yahoo.com/quote/AAPL/options/?straddle=false&amp;strike=255&amp;type=all" TargetMode="External"/><Relationship Id="rId2061" Type="http://schemas.openxmlformats.org/officeDocument/2006/relationships/hyperlink" Target="https://finance.yahoo.com/quote/AAPL260821C00150000/" TargetMode="External"/><Relationship Id="rId3112" Type="http://schemas.openxmlformats.org/officeDocument/2006/relationships/hyperlink" Target="https://finance.yahoo.com/quote/AAPL/options/?straddle=false&amp;strike=410&amp;type=all" TargetMode="External"/><Relationship Id="rId240" Type="http://schemas.openxmlformats.org/officeDocument/2006/relationships/hyperlink" Target="https://finance.yahoo.com/quote/AAPL/options/?straddle=false&amp;strike=305&amp;type=all" TargetMode="External"/><Relationship Id="rId100" Type="http://schemas.openxmlformats.org/officeDocument/2006/relationships/hyperlink" Target="https://finance.yahoo.com/quote/AAPL/options/?straddle=false&amp;strike=290&amp;type=all" TargetMode="External"/><Relationship Id="rId2878" Type="http://schemas.openxmlformats.org/officeDocument/2006/relationships/hyperlink" Target="https://finance.yahoo.com/quote/AAPL/options/?straddle=false&amp;strike=330&amp;type=all" TargetMode="External"/><Relationship Id="rId1687" Type="http://schemas.openxmlformats.org/officeDocument/2006/relationships/hyperlink" Target="https://finance.yahoo.com/quote/AAPL260515P00010000/" TargetMode="External"/><Relationship Id="rId1894" Type="http://schemas.openxmlformats.org/officeDocument/2006/relationships/hyperlink" Target="https://finance.yahoo.com/quote/AAPL/options/?straddle=false&amp;strike=310&amp;type=all" TargetMode="External"/><Relationship Id="rId2738" Type="http://schemas.openxmlformats.org/officeDocument/2006/relationships/hyperlink" Target="https://finance.yahoo.com/quote/AAPL/options/?straddle=false&amp;strike=250&amp;type=all" TargetMode="External"/><Relationship Id="rId2945" Type="http://schemas.openxmlformats.org/officeDocument/2006/relationships/hyperlink" Target="https://finance.yahoo.com/quote/AAPL270617C00165000/" TargetMode="External"/><Relationship Id="rId917" Type="http://schemas.openxmlformats.org/officeDocument/2006/relationships/hyperlink" Target="https://finance.yahoo.com/quote/AAPL260116C00255000/" TargetMode="External"/><Relationship Id="rId1547" Type="http://schemas.openxmlformats.org/officeDocument/2006/relationships/hyperlink" Target="https://finance.yahoo.com/quote/AAPL260417P00175000/" TargetMode="External"/><Relationship Id="rId1754" Type="http://schemas.openxmlformats.org/officeDocument/2006/relationships/hyperlink" Target="https://finance.yahoo.com/quote/AAPL/options/?straddle=false&amp;strike=220&amp;type=all" TargetMode="External"/><Relationship Id="rId1961" Type="http://schemas.openxmlformats.org/officeDocument/2006/relationships/hyperlink" Target="https://finance.yahoo.com/quote/AAPL260618P00130000/" TargetMode="External"/><Relationship Id="rId2805" Type="http://schemas.openxmlformats.org/officeDocument/2006/relationships/hyperlink" Target="https://finance.yahoo.com/quote/AAPL270115P00085000/" TargetMode="External"/><Relationship Id="rId46" Type="http://schemas.openxmlformats.org/officeDocument/2006/relationships/hyperlink" Target="https://finance.yahoo.com/quote/AAPL/options/?straddle=false&amp;strike=215&amp;type=all" TargetMode="External"/><Relationship Id="rId1407" Type="http://schemas.openxmlformats.org/officeDocument/2006/relationships/hyperlink" Target="https://finance.yahoo.com/quote/AAPL260320P00200000/" TargetMode="External"/><Relationship Id="rId1614" Type="http://schemas.openxmlformats.org/officeDocument/2006/relationships/hyperlink" Target="https://finance.yahoo.com/quote/AAPL/options/?straddle=false&amp;strike=125&amp;type=all" TargetMode="External"/><Relationship Id="rId1821" Type="http://schemas.openxmlformats.org/officeDocument/2006/relationships/hyperlink" Target="https://finance.yahoo.com/quote/AAPL260618C00120000/" TargetMode="External"/><Relationship Id="rId3579" Type="http://schemas.openxmlformats.org/officeDocument/2006/relationships/hyperlink" Target="https://finance.yahoo.com/quote/AAPL251010C00220000/" TargetMode="External"/><Relationship Id="rId2388" Type="http://schemas.openxmlformats.org/officeDocument/2006/relationships/hyperlink" Target="https://finance.yahoo.com/quote/AAPL/options/?straddle=false&amp;strike=265&amp;type=all" TargetMode="External"/><Relationship Id="rId2595" Type="http://schemas.openxmlformats.org/officeDocument/2006/relationships/hyperlink" Target="https://finance.yahoo.com/quote/AAPL261218P00165000/" TargetMode="External"/><Relationship Id="rId3439" Type="http://schemas.openxmlformats.org/officeDocument/2006/relationships/hyperlink" Target="https://finance.yahoo.com/quote/AAPL280121C00230000/" TargetMode="External"/><Relationship Id="rId567" Type="http://schemas.openxmlformats.org/officeDocument/2006/relationships/hyperlink" Target="https://finance.yahoo.com/quote/AAPL251107C00265000/" TargetMode="External"/><Relationship Id="rId1197" Type="http://schemas.openxmlformats.org/officeDocument/2006/relationships/hyperlink" Target="https://finance.yahoo.com/quote/AAPL260220C00400000/" TargetMode="External"/><Relationship Id="rId2248" Type="http://schemas.openxmlformats.org/officeDocument/2006/relationships/hyperlink" Target="https://finance.yahoo.com/quote/AAPL/options/?straddle=false&amp;strike=220&amp;type=all" TargetMode="External"/><Relationship Id="rId3646" Type="http://schemas.openxmlformats.org/officeDocument/2006/relationships/hyperlink" Target="https://finance.yahoo.com/quote/AAPL/options/?straddle=false&amp;strike=120&amp;type=all" TargetMode="External"/><Relationship Id="rId774" Type="http://schemas.openxmlformats.org/officeDocument/2006/relationships/hyperlink" Target="https://finance.yahoo.com/quote/AAPL/options/?straddle=false&amp;strike=215&amp;type=all" TargetMode="External"/><Relationship Id="rId981" Type="http://schemas.openxmlformats.org/officeDocument/2006/relationships/hyperlink" Target="https://finance.yahoo.com/quote/AAPL260116P00060000/" TargetMode="External"/><Relationship Id="rId1057" Type="http://schemas.openxmlformats.org/officeDocument/2006/relationships/hyperlink" Target="https://finance.yahoo.com/quote/AAPL260116P00250000/" TargetMode="External"/><Relationship Id="rId2455" Type="http://schemas.openxmlformats.org/officeDocument/2006/relationships/hyperlink" Target="https://finance.yahoo.com/quote/AAPL261218C00125000/" TargetMode="External"/><Relationship Id="rId2662" Type="http://schemas.openxmlformats.org/officeDocument/2006/relationships/hyperlink" Target="https://finance.yahoo.com/quote/AAPL/options/?straddle=false&amp;strike=20&amp;type=all" TargetMode="External"/><Relationship Id="rId3506" Type="http://schemas.openxmlformats.org/officeDocument/2006/relationships/hyperlink" Target="https://finance.yahoo.com/quote/AAPL/options/?straddle=false&amp;strike=175&amp;type=all" TargetMode="External"/><Relationship Id="rId3713" Type="http://schemas.openxmlformats.org/officeDocument/2006/relationships/hyperlink" Target="https://finance.yahoo.com/quote/AAPL251010P00255000/" TargetMode="External"/><Relationship Id="rId427" Type="http://schemas.openxmlformats.org/officeDocument/2006/relationships/hyperlink" Target="https://finance.yahoo.com/quote/AAPL251031C00235000/" TargetMode="External"/><Relationship Id="rId634" Type="http://schemas.openxmlformats.org/officeDocument/2006/relationships/hyperlink" Target="https://finance.yahoo.com/quote/AAPL/options/?straddle=false&amp;strike=120&amp;type=all" TargetMode="External"/><Relationship Id="rId841" Type="http://schemas.openxmlformats.org/officeDocument/2006/relationships/hyperlink" Target="https://finance.yahoo.com/quote/AAPL260116C00065000/" TargetMode="External"/><Relationship Id="rId1264" Type="http://schemas.openxmlformats.org/officeDocument/2006/relationships/hyperlink" Target="https://finance.yahoo.com/quote/AAPL/options/?straddle=false&amp;strike=260&amp;type=all" TargetMode="External"/><Relationship Id="rId1471" Type="http://schemas.openxmlformats.org/officeDocument/2006/relationships/hyperlink" Target="https://finance.yahoo.com/quote/AAPL260417C00215000/" TargetMode="External"/><Relationship Id="rId2108" Type="http://schemas.openxmlformats.org/officeDocument/2006/relationships/hyperlink" Target="https://finance.yahoo.com/quote/AAPL/options/?straddle=false&amp;strike=330&amp;type=all" TargetMode="External"/><Relationship Id="rId2315" Type="http://schemas.openxmlformats.org/officeDocument/2006/relationships/hyperlink" Target="https://finance.yahoo.com/quote/AAPL260918P00085000/" TargetMode="External"/><Relationship Id="rId2522" Type="http://schemas.openxmlformats.org/officeDocument/2006/relationships/hyperlink" Target="https://finance.yahoo.com/quote/AAPL/options/?straddle=false&amp;strike=380&amp;type=all" TargetMode="External"/><Relationship Id="rId701" Type="http://schemas.openxmlformats.org/officeDocument/2006/relationships/hyperlink" Target="https://finance.yahoo.com/quote/AAPL251121C00290000/" TargetMode="External"/><Relationship Id="rId1124" Type="http://schemas.openxmlformats.org/officeDocument/2006/relationships/hyperlink" Target="https://finance.yahoo.com/quote/AAPL/options/?straddle=false&amp;strike=165&amp;type=all" TargetMode="External"/><Relationship Id="rId1331" Type="http://schemas.openxmlformats.org/officeDocument/2006/relationships/hyperlink" Target="https://finance.yahoo.com/quote/AAPL260320C00220000/" TargetMode="External"/><Relationship Id="rId3089" Type="http://schemas.openxmlformats.org/officeDocument/2006/relationships/hyperlink" Target="https://finance.yahoo.com/quote/AAPL270617P00290000/" TargetMode="External"/><Relationship Id="rId3296" Type="http://schemas.openxmlformats.org/officeDocument/2006/relationships/hyperlink" Target="https://finance.yahoo.com/quote/AAPL/options/?straddle=false&amp;strike=90&amp;type=all" TargetMode="External"/><Relationship Id="rId3156" Type="http://schemas.openxmlformats.org/officeDocument/2006/relationships/hyperlink" Target="https://finance.yahoo.com/quote/AAPL/options/?straddle=false&amp;strike=135&amp;type=all" TargetMode="External"/><Relationship Id="rId3363" Type="http://schemas.openxmlformats.org/officeDocument/2006/relationships/hyperlink" Target="https://finance.yahoo.com/quote/AAPL271217P00260000/" TargetMode="External"/><Relationship Id="rId284" Type="http://schemas.openxmlformats.org/officeDocument/2006/relationships/hyperlink" Target="https://finance.yahoo.com/quote/AAPL/options/?straddle=false&amp;strike=220&amp;type=all" TargetMode="External"/><Relationship Id="rId491" Type="http://schemas.openxmlformats.org/officeDocument/2006/relationships/hyperlink" Target="https://finance.yahoo.com/quote/AAPL251031P00185000/" TargetMode="External"/><Relationship Id="rId2172" Type="http://schemas.openxmlformats.org/officeDocument/2006/relationships/hyperlink" Target="https://finance.yahoo.com/quote/AAPL/options/?straddle=false&amp;strike=310&amp;type=all" TargetMode="External"/><Relationship Id="rId3016" Type="http://schemas.openxmlformats.org/officeDocument/2006/relationships/hyperlink" Target="https://finance.yahoo.com/quote/AAPL/options/?straddle=false&amp;strike=60&amp;type=all" TargetMode="External"/><Relationship Id="rId3223" Type="http://schemas.openxmlformats.org/officeDocument/2006/relationships/hyperlink" Target="https://finance.yahoo.com/quote/AAPL271217C00305000/" TargetMode="External"/><Relationship Id="rId3570" Type="http://schemas.openxmlformats.org/officeDocument/2006/relationships/hyperlink" Target="https://finance.yahoo.com/quote/AAPL/options/?straddle=false&amp;strike=200&amp;type=all" TargetMode="External"/><Relationship Id="rId144" Type="http://schemas.openxmlformats.org/officeDocument/2006/relationships/hyperlink" Target="https://finance.yahoo.com/quote/AAPL/options/?straddle=false&amp;strike=120&amp;type=all" TargetMode="External"/><Relationship Id="rId3430" Type="http://schemas.openxmlformats.org/officeDocument/2006/relationships/hyperlink" Target="https://finance.yahoo.com/quote/AAPL/options/?straddle=false&amp;strike=190&amp;type=all" TargetMode="External"/><Relationship Id="rId351" Type="http://schemas.openxmlformats.org/officeDocument/2006/relationships/hyperlink" Target="https://finance.yahoo.com/quote/AAPL251024P00185000/" TargetMode="External"/><Relationship Id="rId2032" Type="http://schemas.openxmlformats.org/officeDocument/2006/relationships/hyperlink" Target="https://finance.yahoo.com/quote/AAPL/options/?straddle=false&amp;strike=320&amp;type=all" TargetMode="External"/><Relationship Id="rId2989" Type="http://schemas.openxmlformats.org/officeDocument/2006/relationships/hyperlink" Target="https://finance.yahoo.com/quote/AAPL270617C00350000/" TargetMode="External"/><Relationship Id="rId211" Type="http://schemas.openxmlformats.org/officeDocument/2006/relationships/hyperlink" Target="https://finance.yahoo.com/quote/AAPL251017P00252500/" TargetMode="External"/><Relationship Id="rId1798" Type="http://schemas.openxmlformats.org/officeDocument/2006/relationships/hyperlink" Target="https://finance.yahoo.com/quote/AAPL/options/?straddle=false&amp;strike=60&amp;type=all" TargetMode="External"/><Relationship Id="rId2849" Type="http://schemas.openxmlformats.org/officeDocument/2006/relationships/hyperlink" Target="https://finance.yahoo.com/quote/AAPL270115P00195000/" TargetMode="External"/><Relationship Id="rId1658" Type="http://schemas.openxmlformats.org/officeDocument/2006/relationships/hyperlink" Target="https://finance.yahoo.com/quote/AAPL/options/?straddle=false&amp;strike=270&amp;type=all" TargetMode="External"/><Relationship Id="rId1865" Type="http://schemas.openxmlformats.org/officeDocument/2006/relationships/hyperlink" Target="https://finance.yahoo.com/quote/AAPL260618C00230000/" TargetMode="External"/><Relationship Id="rId2709" Type="http://schemas.openxmlformats.org/officeDocument/2006/relationships/hyperlink" Target="https://finance.yahoo.com/quote/AAPL270115C00155000/" TargetMode="External"/><Relationship Id="rId1518" Type="http://schemas.openxmlformats.org/officeDocument/2006/relationships/hyperlink" Target="https://finance.yahoo.com/quote/AAPL/options/?straddle=false&amp;strike=330&amp;type=all" TargetMode="External"/><Relationship Id="rId2916" Type="http://schemas.openxmlformats.org/officeDocument/2006/relationships/hyperlink" Target="https://finance.yahoo.com/quote/AAPL/options/?straddle=false&amp;strike=90&amp;type=all" TargetMode="External"/><Relationship Id="rId3080" Type="http://schemas.openxmlformats.org/officeDocument/2006/relationships/hyperlink" Target="https://finance.yahoo.com/quote/AAPL/options/?straddle=false&amp;strike=240&amp;type=all" TargetMode="External"/><Relationship Id="rId1725" Type="http://schemas.openxmlformats.org/officeDocument/2006/relationships/hyperlink" Target="https://finance.yahoo.com/quote/AAPL260515P00140000/" TargetMode="External"/><Relationship Id="rId1932" Type="http://schemas.openxmlformats.org/officeDocument/2006/relationships/hyperlink" Target="https://finance.yahoo.com/quote/AAPL/options/?straddle=false&amp;strike=55&amp;type=all" TargetMode="External"/><Relationship Id="rId17" Type="http://schemas.openxmlformats.org/officeDocument/2006/relationships/hyperlink" Target="https://finance.yahoo.com/quote/AAPL251017C00145000/" TargetMode="External"/><Relationship Id="rId2499" Type="http://schemas.openxmlformats.org/officeDocument/2006/relationships/hyperlink" Target="https://finance.yahoo.com/quote/AAPL261218C00270000/" TargetMode="External"/><Relationship Id="rId1" Type="http://schemas.openxmlformats.org/officeDocument/2006/relationships/hyperlink" Target="https://finance.yahoo.com/quote/AAPL251017C00105000/" TargetMode="External"/><Relationship Id="rId678" Type="http://schemas.openxmlformats.org/officeDocument/2006/relationships/hyperlink" Target="https://finance.yahoo.com/quote/AAPL/options/?straddle=false&amp;strike=230&amp;type=all" TargetMode="External"/><Relationship Id="rId885" Type="http://schemas.openxmlformats.org/officeDocument/2006/relationships/hyperlink" Target="https://finance.yahoo.com/quote/AAPL260116C00175000/" TargetMode="External"/><Relationship Id="rId2359" Type="http://schemas.openxmlformats.org/officeDocument/2006/relationships/hyperlink" Target="https://finance.yahoo.com/quote/AAPL260918P00195000/" TargetMode="External"/><Relationship Id="rId2566" Type="http://schemas.openxmlformats.org/officeDocument/2006/relationships/hyperlink" Target="https://finance.yahoo.com/quote/AAPL/options/?straddle=false&amp;strike=90&amp;type=all" TargetMode="External"/><Relationship Id="rId2773" Type="http://schemas.openxmlformats.org/officeDocument/2006/relationships/hyperlink" Target="https://finance.yahoo.com/quote/AAPL270115C00430000/" TargetMode="External"/><Relationship Id="rId2980" Type="http://schemas.openxmlformats.org/officeDocument/2006/relationships/hyperlink" Target="https://finance.yahoo.com/quote/AAPL/options/?straddle=false&amp;strike=300&amp;type=all" TargetMode="External"/><Relationship Id="rId3617" Type="http://schemas.openxmlformats.org/officeDocument/2006/relationships/hyperlink" Target="https://finance.yahoo.com/quote/AAPL251010C00267500/" TargetMode="External"/><Relationship Id="rId538" Type="http://schemas.openxmlformats.org/officeDocument/2006/relationships/hyperlink" Target="https://finance.yahoo.com/quote/AAPL/options/?straddle=false&amp;strike=300&amp;type=all" TargetMode="External"/><Relationship Id="rId745" Type="http://schemas.openxmlformats.org/officeDocument/2006/relationships/hyperlink" Target="https://finance.yahoo.com/quote/AAPL251121P00145000/" TargetMode="External"/><Relationship Id="rId952" Type="http://schemas.openxmlformats.org/officeDocument/2006/relationships/hyperlink" Target="https://finance.yahoo.com/quote/AAPL/options/?straddle=false&amp;strike=360&amp;type=all" TargetMode="External"/><Relationship Id="rId1168" Type="http://schemas.openxmlformats.org/officeDocument/2006/relationships/hyperlink" Target="https://finance.yahoo.com/quote/AAPL/options/?straddle=false&amp;strike=275&amp;type=all" TargetMode="External"/><Relationship Id="rId1375" Type="http://schemas.openxmlformats.org/officeDocument/2006/relationships/hyperlink" Target="https://finance.yahoo.com/quote/AAPL260320P00120000/" TargetMode="External"/><Relationship Id="rId1582" Type="http://schemas.openxmlformats.org/officeDocument/2006/relationships/hyperlink" Target="https://finance.yahoo.com/quote/AAPL/options/?straddle=false&amp;strike=260&amp;type=all" TargetMode="External"/><Relationship Id="rId2219" Type="http://schemas.openxmlformats.org/officeDocument/2006/relationships/hyperlink" Target="https://finance.yahoo.com/quote/AAPL260918C00150000/" TargetMode="External"/><Relationship Id="rId2426" Type="http://schemas.openxmlformats.org/officeDocument/2006/relationships/hyperlink" Target="https://finance.yahoo.com/quote/AAPL/options/?straddle=false&amp;strike=35&amp;type=all" TargetMode="External"/><Relationship Id="rId2633" Type="http://schemas.openxmlformats.org/officeDocument/2006/relationships/hyperlink" Target="https://finance.yahoo.com/quote/AAPL261218P00320000/" TargetMode="External"/><Relationship Id="rId81" Type="http://schemas.openxmlformats.org/officeDocument/2006/relationships/hyperlink" Target="https://finance.yahoo.com/quote/AAPL251017C00260000/" TargetMode="External"/><Relationship Id="rId605" Type="http://schemas.openxmlformats.org/officeDocument/2006/relationships/hyperlink" Target="https://finance.yahoo.com/quote/AAPL251107P00220000/" TargetMode="External"/><Relationship Id="rId812" Type="http://schemas.openxmlformats.org/officeDocument/2006/relationships/hyperlink" Target="https://finance.yahoo.com/quote/AAPL/options/?straddle=false&amp;strike=325&amp;type=all" TargetMode="External"/><Relationship Id="rId1028" Type="http://schemas.openxmlformats.org/officeDocument/2006/relationships/hyperlink" Target="https://finance.yahoo.com/quote/AAPL/options/?straddle=false&amp;strike=175&amp;type=all" TargetMode="External"/><Relationship Id="rId1235" Type="http://schemas.openxmlformats.org/officeDocument/2006/relationships/hyperlink" Target="https://finance.yahoo.com/quote/AAPL260220P00190000/" TargetMode="External"/><Relationship Id="rId1442" Type="http://schemas.openxmlformats.org/officeDocument/2006/relationships/hyperlink" Target="https://finance.yahoo.com/quote/AAPL/options/?straddle=false&amp;strike=125&amp;type=all" TargetMode="External"/><Relationship Id="rId2840" Type="http://schemas.openxmlformats.org/officeDocument/2006/relationships/hyperlink" Target="https://finance.yahoo.com/quote/AAPL/options/?straddle=false&amp;strike=170&amp;type=all" TargetMode="External"/><Relationship Id="rId1302" Type="http://schemas.openxmlformats.org/officeDocument/2006/relationships/hyperlink" Target="https://finance.yahoo.com/quote/AAPL/options/?straddle=false&amp;strike=135&amp;type=all" TargetMode="External"/><Relationship Id="rId2700" Type="http://schemas.openxmlformats.org/officeDocument/2006/relationships/hyperlink" Target="https://finance.yahoo.com/quote/AAPL/options/?straddle=false&amp;strike=130&amp;type=all" TargetMode="External"/><Relationship Id="rId3267" Type="http://schemas.openxmlformats.org/officeDocument/2006/relationships/hyperlink" Target="https://finance.yahoo.com/quote/AAPL271217C00415000/" TargetMode="External"/><Relationship Id="rId188" Type="http://schemas.openxmlformats.org/officeDocument/2006/relationships/hyperlink" Target="https://finance.yahoo.com/quote/AAPL/options/?straddle=false&amp;strike=222.5&amp;type=all" TargetMode="External"/><Relationship Id="rId395" Type="http://schemas.openxmlformats.org/officeDocument/2006/relationships/hyperlink" Target="https://finance.yahoo.com/quote/AAPL251024P00300000/" TargetMode="External"/><Relationship Id="rId2076" Type="http://schemas.openxmlformats.org/officeDocument/2006/relationships/hyperlink" Target="https://finance.yahoo.com/quote/AAPL/options/?straddle=false&amp;strike=185&amp;type=all" TargetMode="External"/><Relationship Id="rId3474" Type="http://schemas.openxmlformats.org/officeDocument/2006/relationships/hyperlink" Target="https://finance.yahoo.com/quote/AAPL/options/?straddle=false&amp;strike=400&amp;type=all" TargetMode="External"/><Relationship Id="rId3681" Type="http://schemas.openxmlformats.org/officeDocument/2006/relationships/hyperlink" Target="https://finance.yahoo.com/quote/AAPL251010P00215000/" TargetMode="External"/><Relationship Id="rId2283" Type="http://schemas.openxmlformats.org/officeDocument/2006/relationships/hyperlink" Target="https://finance.yahoo.com/quote/AAPL260918C00320000/" TargetMode="External"/><Relationship Id="rId2490" Type="http://schemas.openxmlformats.org/officeDocument/2006/relationships/hyperlink" Target="https://finance.yahoo.com/quote/AAPL/options/?straddle=false&amp;strike=220&amp;type=all" TargetMode="External"/><Relationship Id="rId3127" Type="http://schemas.openxmlformats.org/officeDocument/2006/relationships/hyperlink" Target="https://finance.yahoo.com/quote/AAPL271217C00065000/" TargetMode="External"/><Relationship Id="rId3334" Type="http://schemas.openxmlformats.org/officeDocument/2006/relationships/hyperlink" Target="https://finance.yahoo.com/quote/AAPL/options/?straddle=false&amp;strike=185&amp;type=all" TargetMode="External"/><Relationship Id="rId3541" Type="http://schemas.openxmlformats.org/officeDocument/2006/relationships/hyperlink" Target="https://finance.yahoo.com/quote/AAPL280121P00330000/" TargetMode="External"/><Relationship Id="rId255" Type="http://schemas.openxmlformats.org/officeDocument/2006/relationships/hyperlink" Target="https://finance.yahoo.com/quote/AAPL251024C00110000/" TargetMode="External"/><Relationship Id="rId462" Type="http://schemas.openxmlformats.org/officeDocument/2006/relationships/hyperlink" Target="https://finance.yahoo.com/quote/AAPL/options/?straddle=false&amp;strike=320&amp;type=all" TargetMode="External"/><Relationship Id="rId1092" Type="http://schemas.openxmlformats.org/officeDocument/2006/relationships/hyperlink" Target="https://finance.yahoo.com/quote/AAPL/options/?straddle=false&amp;strike=350&amp;type=all" TargetMode="External"/><Relationship Id="rId2143" Type="http://schemas.openxmlformats.org/officeDocument/2006/relationships/hyperlink" Target="https://finance.yahoo.com/quote/AAPL260821P00185000/" TargetMode="External"/><Relationship Id="rId2350" Type="http://schemas.openxmlformats.org/officeDocument/2006/relationships/hyperlink" Target="https://finance.yahoo.com/quote/AAPL/options/?straddle=false&amp;strike=170&amp;type=all" TargetMode="External"/><Relationship Id="rId3401" Type="http://schemas.openxmlformats.org/officeDocument/2006/relationships/hyperlink" Target="https://finance.yahoo.com/quote/AAPL271217P00435000/" TargetMode="External"/><Relationship Id="rId115" Type="http://schemas.openxmlformats.org/officeDocument/2006/relationships/hyperlink" Target="https://finance.yahoo.com/quote/AAPL251017C00330000/" TargetMode="External"/><Relationship Id="rId322" Type="http://schemas.openxmlformats.org/officeDocument/2006/relationships/hyperlink" Target="https://finance.yahoo.com/quote/AAPL/options/?straddle=false&amp;strike=315&amp;type=all" TargetMode="External"/><Relationship Id="rId2003" Type="http://schemas.openxmlformats.org/officeDocument/2006/relationships/hyperlink" Target="https://finance.yahoo.com/quote/AAPL260618P00235000/" TargetMode="External"/><Relationship Id="rId2210" Type="http://schemas.openxmlformats.org/officeDocument/2006/relationships/hyperlink" Target="https://finance.yahoo.com/quote/AAPL/options/?straddle=false&amp;strike=125&amp;type=all" TargetMode="External"/><Relationship Id="rId1769" Type="http://schemas.openxmlformats.org/officeDocument/2006/relationships/hyperlink" Target="https://finance.yahoo.com/quote/AAPL260515P00300000/" TargetMode="External"/><Relationship Id="rId1976" Type="http://schemas.openxmlformats.org/officeDocument/2006/relationships/hyperlink" Target="https://finance.yahoo.com/quote/AAPL/options/?straddle=false&amp;strike=165&amp;type=all" TargetMode="External"/><Relationship Id="rId3191" Type="http://schemas.openxmlformats.org/officeDocument/2006/relationships/hyperlink" Target="https://finance.yahoo.com/quote/AAPL271217C00225000/" TargetMode="External"/><Relationship Id="rId1629" Type="http://schemas.openxmlformats.org/officeDocument/2006/relationships/hyperlink" Target="https://finance.yahoo.com/quote/AAPL260515C00165000/" TargetMode="External"/><Relationship Id="rId1836" Type="http://schemas.openxmlformats.org/officeDocument/2006/relationships/hyperlink" Target="https://finance.yahoo.com/quote/AAPL/options/?straddle=false&amp;strike=155&amp;type=all" TargetMode="External"/><Relationship Id="rId1903" Type="http://schemas.openxmlformats.org/officeDocument/2006/relationships/hyperlink" Target="https://finance.yahoo.com/quote/AAPL260618C00360000/" TargetMode="External"/><Relationship Id="rId3051" Type="http://schemas.openxmlformats.org/officeDocument/2006/relationships/hyperlink" Target="https://finance.yahoo.com/quote/AAPL270617P00150000/" TargetMode="External"/><Relationship Id="rId789" Type="http://schemas.openxmlformats.org/officeDocument/2006/relationships/hyperlink" Target="https://finance.yahoo.com/quote/AAPL251121P00255000/" TargetMode="External"/><Relationship Id="rId996" Type="http://schemas.openxmlformats.org/officeDocument/2006/relationships/hyperlink" Target="https://finance.yahoo.com/quote/AAPL/options/?straddle=false&amp;strike=95&amp;type=all" TargetMode="External"/><Relationship Id="rId2677" Type="http://schemas.openxmlformats.org/officeDocument/2006/relationships/hyperlink" Target="https://finance.yahoo.com/quote/AAPL270115C00070000/" TargetMode="External"/><Relationship Id="rId2884" Type="http://schemas.openxmlformats.org/officeDocument/2006/relationships/hyperlink" Target="https://finance.yahoo.com/quote/AAPL/options/?straddle=false&amp;strike=370&amp;type=all" TargetMode="External"/><Relationship Id="rId3728" Type="http://schemas.openxmlformats.org/officeDocument/2006/relationships/hyperlink" Target="https://finance.yahoo.com/quote/AAPL/options/?straddle=false&amp;strike=272.5&amp;type=all" TargetMode="External"/><Relationship Id="rId649" Type="http://schemas.openxmlformats.org/officeDocument/2006/relationships/hyperlink" Target="https://finance.yahoo.com/quote/AAPL251121C00160000/" TargetMode="External"/><Relationship Id="rId856" Type="http://schemas.openxmlformats.org/officeDocument/2006/relationships/hyperlink" Target="https://finance.yahoo.com/quote/AAPL/options/?straddle=false&amp;strike=100&amp;type=all" TargetMode="External"/><Relationship Id="rId1279" Type="http://schemas.openxmlformats.org/officeDocument/2006/relationships/hyperlink" Target="https://finance.yahoo.com/quote/AAPL260220P00300000/" TargetMode="External"/><Relationship Id="rId1486" Type="http://schemas.openxmlformats.org/officeDocument/2006/relationships/hyperlink" Target="https://finance.yahoo.com/quote/AAPL/options/?straddle=false&amp;strike=250&amp;type=all" TargetMode="External"/><Relationship Id="rId2537" Type="http://schemas.openxmlformats.org/officeDocument/2006/relationships/hyperlink" Target="https://finance.yahoo.com/quote/AAPL261218P00005000/" TargetMode="External"/><Relationship Id="rId509" Type="http://schemas.openxmlformats.org/officeDocument/2006/relationships/hyperlink" Target="https://finance.yahoo.com/quote/AAPL251031P00230000/" TargetMode="External"/><Relationship Id="rId1139" Type="http://schemas.openxmlformats.org/officeDocument/2006/relationships/hyperlink" Target="https://finance.yahoo.com/quote/AAPL260220C00205000/" TargetMode="External"/><Relationship Id="rId1346" Type="http://schemas.openxmlformats.org/officeDocument/2006/relationships/hyperlink" Target="https://finance.yahoo.com/quote/AAPL/options/?straddle=false&amp;strike=290&amp;type=all" TargetMode="External"/><Relationship Id="rId1693" Type="http://schemas.openxmlformats.org/officeDocument/2006/relationships/hyperlink" Target="https://finance.yahoo.com/quote/AAPL260515P00045000/" TargetMode="External"/><Relationship Id="rId2744" Type="http://schemas.openxmlformats.org/officeDocument/2006/relationships/hyperlink" Target="https://finance.yahoo.com/quote/AAPL/options/?straddle=false&amp;strike=280&amp;type=all" TargetMode="External"/><Relationship Id="rId2951" Type="http://schemas.openxmlformats.org/officeDocument/2006/relationships/hyperlink" Target="https://finance.yahoo.com/quote/AAPL270617C00180000/" TargetMode="External"/><Relationship Id="rId716" Type="http://schemas.openxmlformats.org/officeDocument/2006/relationships/hyperlink" Target="https://finance.yahoo.com/quote/AAPL/options/?straddle=false&amp;strike=325&amp;type=all" TargetMode="External"/><Relationship Id="rId923" Type="http://schemas.openxmlformats.org/officeDocument/2006/relationships/hyperlink" Target="https://finance.yahoo.com/quote/AAPL260116C00270000/" TargetMode="External"/><Relationship Id="rId1553" Type="http://schemas.openxmlformats.org/officeDocument/2006/relationships/hyperlink" Target="https://finance.yahoo.com/quote/AAPL260417P00190000/" TargetMode="External"/><Relationship Id="rId1760" Type="http://schemas.openxmlformats.org/officeDocument/2006/relationships/hyperlink" Target="https://finance.yahoo.com/quote/AAPL/options/?straddle=false&amp;strike=250&amp;type=all" TargetMode="External"/><Relationship Id="rId2604" Type="http://schemas.openxmlformats.org/officeDocument/2006/relationships/hyperlink" Target="https://finance.yahoo.com/quote/AAPL/options/?straddle=false&amp;strike=185&amp;type=all" TargetMode="External"/><Relationship Id="rId2811" Type="http://schemas.openxmlformats.org/officeDocument/2006/relationships/hyperlink" Target="https://finance.yahoo.com/quote/AAPL270115P00100000/" TargetMode="External"/><Relationship Id="rId52" Type="http://schemas.openxmlformats.org/officeDocument/2006/relationships/hyperlink" Target="https://finance.yahoo.com/quote/AAPL/options/?straddle=false&amp;strike=222.5&amp;type=all" TargetMode="External"/><Relationship Id="rId1206" Type="http://schemas.openxmlformats.org/officeDocument/2006/relationships/hyperlink" Target="https://finance.yahoo.com/quote/AAPL/options/?straddle=false&amp;strike=115&amp;type=all" TargetMode="External"/><Relationship Id="rId1413" Type="http://schemas.openxmlformats.org/officeDocument/2006/relationships/hyperlink" Target="https://finance.yahoo.com/quote/AAPL260320P00230000/" TargetMode="External"/><Relationship Id="rId1620" Type="http://schemas.openxmlformats.org/officeDocument/2006/relationships/hyperlink" Target="https://finance.yahoo.com/quote/AAPL/options/?straddle=false&amp;strike=140&amp;type=all" TargetMode="External"/><Relationship Id="rId3378" Type="http://schemas.openxmlformats.org/officeDocument/2006/relationships/hyperlink" Target="https://finance.yahoo.com/quote/AAPL/options/?straddle=false&amp;strike=295&amp;type=all" TargetMode="External"/><Relationship Id="rId3585" Type="http://schemas.openxmlformats.org/officeDocument/2006/relationships/hyperlink" Target="https://finance.yahoo.com/quote/AAPL251010C00227500/" TargetMode="External"/><Relationship Id="rId299" Type="http://schemas.openxmlformats.org/officeDocument/2006/relationships/hyperlink" Target="https://finance.yahoo.com/quote/AAPL251024C00260000/" TargetMode="External"/><Relationship Id="rId2187" Type="http://schemas.openxmlformats.org/officeDocument/2006/relationships/hyperlink" Target="https://finance.yahoo.com/quote/AAPL260918C00070000/" TargetMode="External"/><Relationship Id="rId2394" Type="http://schemas.openxmlformats.org/officeDocument/2006/relationships/hyperlink" Target="https://finance.yahoo.com/quote/AAPL/options/?straddle=false&amp;strike=280&amp;type=all" TargetMode="External"/><Relationship Id="rId3238" Type="http://schemas.openxmlformats.org/officeDocument/2006/relationships/hyperlink" Target="https://finance.yahoo.com/quote/AAPL/options/?straddle=false&amp;strike=340&amp;type=all" TargetMode="External"/><Relationship Id="rId3445" Type="http://schemas.openxmlformats.org/officeDocument/2006/relationships/hyperlink" Target="https://finance.yahoo.com/quote/AAPL280121C00260000/" TargetMode="External"/><Relationship Id="rId3652" Type="http://schemas.openxmlformats.org/officeDocument/2006/relationships/hyperlink" Target="https://finance.yahoo.com/quote/AAPL/options/?straddle=false&amp;strike=140&amp;type=all" TargetMode="External"/><Relationship Id="rId159" Type="http://schemas.openxmlformats.org/officeDocument/2006/relationships/hyperlink" Target="https://finance.yahoo.com/quote/AAPL251017P00160000/" TargetMode="External"/><Relationship Id="rId366" Type="http://schemas.openxmlformats.org/officeDocument/2006/relationships/hyperlink" Target="https://finance.yahoo.com/quote/AAPL/options/?straddle=false&amp;strike=220&amp;type=all" TargetMode="External"/><Relationship Id="rId573" Type="http://schemas.openxmlformats.org/officeDocument/2006/relationships/hyperlink" Target="https://finance.yahoo.com/quote/AAPL251107C00280000/" TargetMode="External"/><Relationship Id="rId780" Type="http://schemas.openxmlformats.org/officeDocument/2006/relationships/hyperlink" Target="https://finance.yahoo.com/quote/AAPL/options/?straddle=false&amp;strike=230&amp;type=all" TargetMode="External"/><Relationship Id="rId2047" Type="http://schemas.openxmlformats.org/officeDocument/2006/relationships/hyperlink" Target="https://finance.yahoo.com/quote/AAPL260821C00115000/" TargetMode="External"/><Relationship Id="rId2254" Type="http://schemas.openxmlformats.org/officeDocument/2006/relationships/hyperlink" Target="https://finance.yahoo.com/quote/AAPL/options/?straddle=false&amp;strike=235&amp;type=all" TargetMode="External"/><Relationship Id="rId2461" Type="http://schemas.openxmlformats.org/officeDocument/2006/relationships/hyperlink" Target="https://finance.yahoo.com/quote/AAPL261218C00140000/" TargetMode="External"/><Relationship Id="rId3305" Type="http://schemas.openxmlformats.org/officeDocument/2006/relationships/hyperlink" Target="https://finance.yahoo.com/quote/AAPL271217P00115000/" TargetMode="External"/><Relationship Id="rId3512" Type="http://schemas.openxmlformats.org/officeDocument/2006/relationships/hyperlink" Target="https://finance.yahoo.com/quote/AAPL/options/?straddle=false&amp;strike=190&amp;type=all" TargetMode="External"/><Relationship Id="rId226" Type="http://schemas.openxmlformats.org/officeDocument/2006/relationships/hyperlink" Target="https://finance.yahoo.com/quote/AAPL/options/?straddle=false&amp;strike=270&amp;type=all" TargetMode="External"/><Relationship Id="rId433" Type="http://schemas.openxmlformats.org/officeDocument/2006/relationships/hyperlink" Target="https://finance.yahoo.com/quote/AAPL251031C00250000/" TargetMode="External"/><Relationship Id="rId1063" Type="http://schemas.openxmlformats.org/officeDocument/2006/relationships/hyperlink" Target="https://finance.yahoo.com/quote/AAPL260116P00265000/" TargetMode="External"/><Relationship Id="rId1270" Type="http://schemas.openxmlformats.org/officeDocument/2006/relationships/hyperlink" Target="https://finance.yahoo.com/quote/AAPL/options/?straddle=false&amp;strike=275&amp;type=all" TargetMode="External"/><Relationship Id="rId2114" Type="http://schemas.openxmlformats.org/officeDocument/2006/relationships/hyperlink" Target="https://finance.yahoo.com/quote/AAPL/options/?straddle=false&amp;strike=110&amp;type=all" TargetMode="External"/><Relationship Id="rId640" Type="http://schemas.openxmlformats.org/officeDocument/2006/relationships/hyperlink" Target="https://finance.yahoo.com/quote/AAPL/options/?straddle=false&amp;strike=135&amp;type=all" TargetMode="External"/><Relationship Id="rId2321" Type="http://schemas.openxmlformats.org/officeDocument/2006/relationships/hyperlink" Target="https://finance.yahoo.com/quote/AAPL260918P00100000/" TargetMode="External"/><Relationship Id="rId500" Type="http://schemas.openxmlformats.org/officeDocument/2006/relationships/hyperlink" Target="https://finance.yahoo.com/quote/AAPL/options/?straddle=false&amp;strike=205&amp;type=all" TargetMode="External"/><Relationship Id="rId1130" Type="http://schemas.openxmlformats.org/officeDocument/2006/relationships/hyperlink" Target="https://finance.yahoo.com/quote/AAPL/options/?straddle=false&amp;strike=180&amp;type=all" TargetMode="External"/><Relationship Id="rId1947" Type="http://schemas.openxmlformats.org/officeDocument/2006/relationships/hyperlink" Target="https://finance.yahoo.com/quote/AAPL260618P00095000/" TargetMode="External"/><Relationship Id="rId3095" Type="http://schemas.openxmlformats.org/officeDocument/2006/relationships/hyperlink" Target="https://finance.yahoo.com/quote/AAPL270617P00320000/" TargetMode="External"/><Relationship Id="rId1807" Type="http://schemas.openxmlformats.org/officeDocument/2006/relationships/hyperlink" Target="https://finance.yahoo.com/quote/AAPL260618C00085000/" TargetMode="External"/><Relationship Id="rId3162" Type="http://schemas.openxmlformats.org/officeDocument/2006/relationships/hyperlink" Target="https://finance.yahoo.com/quote/AAPL/options/?straddle=false&amp;strike=150&amp;type=all" TargetMode="External"/><Relationship Id="rId290" Type="http://schemas.openxmlformats.org/officeDocument/2006/relationships/hyperlink" Target="https://finance.yahoo.com/quote/AAPL/options/?straddle=false&amp;strike=235&amp;type=all" TargetMode="External"/><Relationship Id="rId3022" Type="http://schemas.openxmlformats.org/officeDocument/2006/relationships/hyperlink" Target="https://finance.yahoo.com/quote/AAPL/options/?straddle=false&amp;strike=75&amp;type=all" TargetMode="External"/><Relationship Id="rId150" Type="http://schemas.openxmlformats.org/officeDocument/2006/relationships/hyperlink" Target="https://finance.yahoo.com/quote/AAPL/options/?straddle=false&amp;strike=135&amp;type=all" TargetMode="External"/><Relationship Id="rId2788" Type="http://schemas.openxmlformats.org/officeDocument/2006/relationships/hyperlink" Target="https://finance.yahoo.com/quote/AAPL/options/?straddle=false&amp;strike=25&amp;type=all" TargetMode="External"/><Relationship Id="rId2995" Type="http://schemas.openxmlformats.org/officeDocument/2006/relationships/hyperlink" Target="https://finance.yahoo.com/quote/AAPL270617C00380000/" TargetMode="External"/><Relationship Id="rId967" Type="http://schemas.openxmlformats.org/officeDocument/2006/relationships/hyperlink" Target="https://finance.yahoo.com/quote/AAPL260116P00025000/" TargetMode="External"/><Relationship Id="rId1597" Type="http://schemas.openxmlformats.org/officeDocument/2006/relationships/hyperlink" Target="https://finance.yahoo.com/quote/AAPL260417P00305000/" TargetMode="External"/><Relationship Id="rId2648" Type="http://schemas.openxmlformats.org/officeDocument/2006/relationships/hyperlink" Target="https://finance.yahoo.com/quote/AAPL/options/?straddle=false&amp;strike=400&amp;type=all" TargetMode="External"/><Relationship Id="rId2855" Type="http://schemas.openxmlformats.org/officeDocument/2006/relationships/hyperlink" Target="https://finance.yahoo.com/quote/AAPL270115P00220000/" TargetMode="External"/><Relationship Id="rId96" Type="http://schemas.openxmlformats.org/officeDocument/2006/relationships/hyperlink" Target="https://finance.yahoo.com/quote/AAPL/options/?straddle=false&amp;strike=280&amp;type=all" TargetMode="External"/><Relationship Id="rId827" Type="http://schemas.openxmlformats.org/officeDocument/2006/relationships/hyperlink" Target="https://finance.yahoo.com/quote/AAPL260116C00030000/" TargetMode="External"/><Relationship Id="rId1457" Type="http://schemas.openxmlformats.org/officeDocument/2006/relationships/hyperlink" Target="https://finance.yahoo.com/quote/AAPL260417C00180000/" TargetMode="External"/><Relationship Id="rId1664" Type="http://schemas.openxmlformats.org/officeDocument/2006/relationships/hyperlink" Target="https://finance.yahoo.com/quote/AAPL/options/?straddle=false&amp;strike=300&amp;type=all" TargetMode="External"/><Relationship Id="rId1871" Type="http://schemas.openxmlformats.org/officeDocument/2006/relationships/hyperlink" Target="https://finance.yahoo.com/quote/AAPL260618C00245000/" TargetMode="External"/><Relationship Id="rId2508" Type="http://schemas.openxmlformats.org/officeDocument/2006/relationships/hyperlink" Target="https://finance.yahoo.com/quote/AAPL/options/?straddle=false&amp;strike=310&amp;type=all" TargetMode="External"/><Relationship Id="rId2715" Type="http://schemas.openxmlformats.org/officeDocument/2006/relationships/hyperlink" Target="https://finance.yahoo.com/quote/AAPL270115C00170000/" TargetMode="External"/><Relationship Id="rId2922" Type="http://schemas.openxmlformats.org/officeDocument/2006/relationships/hyperlink" Target="https://finance.yahoo.com/quote/AAPL/options/?straddle=false&amp;strike=105&amp;type=all" TargetMode="External"/><Relationship Id="rId1317" Type="http://schemas.openxmlformats.org/officeDocument/2006/relationships/hyperlink" Target="https://finance.yahoo.com/quote/AAPL260320C00175000/" TargetMode="External"/><Relationship Id="rId1524" Type="http://schemas.openxmlformats.org/officeDocument/2006/relationships/hyperlink" Target="https://finance.yahoo.com/quote/AAPL/options/?straddle=false&amp;strike=370&amp;type=all" TargetMode="External"/><Relationship Id="rId1731" Type="http://schemas.openxmlformats.org/officeDocument/2006/relationships/hyperlink" Target="https://finance.yahoo.com/quote/AAPL260515P00155000/" TargetMode="External"/><Relationship Id="rId23" Type="http://schemas.openxmlformats.org/officeDocument/2006/relationships/hyperlink" Target="https://finance.yahoo.com/quote/AAPL251017C00160000/" TargetMode="External"/><Relationship Id="rId3489" Type="http://schemas.openxmlformats.org/officeDocument/2006/relationships/hyperlink" Target="https://finance.yahoo.com/quote/AAPL280121P00120000/" TargetMode="External"/><Relationship Id="rId3696" Type="http://schemas.openxmlformats.org/officeDocument/2006/relationships/hyperlink" Target="https://finance.yahoo.com/quote/AAPL/options/?straddle=false&amp;strike=232.5&amp;type=all" TargetMode="External"/><Relationship Id="rId2298" Type="http://schemas.openxmlformats.org/officeDocument/2006/relationships/hyperlink" Target="https://finance.yahoo.com/quote/AAPL/options/?straddle=false&amp;strike=390&amp;type=all" TargetMode="External"/><Relationship Id="rId3349" Type="http://schemas.openxmlformats.org/officeDocument/2006/relationships/hyperlink" Target="https://finance.yahoo.com/quote/AAPL271217P00225000/" TargetMode="External"/><Relationship Id="rId3556" Type="http://schemas.openxmlformats.org/officeDocument/2006/relationships/hyperlink" Target="https://finance.yahoo.com/quote/AAPL/options/?straddle=false&amp;strike=165&amp;type=all" TargetMode="External"/><Relationship Id="rId477" Type="http://schemas.openxmlformats.org/officeDocument/2006/relationships/hyperlink" Target="https://finance.yahoo.com/quote/AAPL251031P00150000/" TargetMode="External"/><Relationship Id="rId684" Type="http://schemas.openxmlformats.org/officeDocument/2006/relationships/hyperlink" Target="https://finance.yahoo.com/quote/AAPL/options/?straddle=false&amp;strike=245&amp;type=all" TargetMode="External"/><Relationship Id="rId2158" Type="http://schemas.openxmlformats.org/officeDocument/2006/relationships/hyperlink" Target="https://finance.yahoo.com/quote/AAPL/options/?straddle=false&amp;strike=240&amp;type=all" TargetMode="External"/><Relationship Id="rId2365" Type="http://schemas.openxmlformats.org/officeDocument/2006/relationships/hyperlink" Target="https://finance.yahoo.com/quote/AAPL260918P00210000/" TargetMode="External"/><Relationship Id="rId3209" Type="http://schemas.openxmlformats.org/officeDocument/2006/relationships/hyperlink" Target="https://finance.yahoo.com/quote/AAPL271217C00270000/" TargetMode="External"/><Relationship Id="rId337" Type="http://schemas.openxmlformats.org/officeDocument/2006/relationships/hyperlink" Target="https://finance.yahoo.com/quote/AAPL251024P00150000/" TargetMode="External"/><Relationship Id="rId891" Type="http://schemas.openxmlformats.org/officeDocument/2006/relationships/hyperlink" Target="https://finance.yahoo.com/quote/AAPL260116C00190000/" TargetMode="External"/><Relationship Id="rId2018" Type="http://schemas.openxmlformats.org/officeDocument/2006/relationships/hyperlink" Target="https://finance.yahoo.com/quote/AAPL/options/?straddle=false&amp;strike=270&amp;type=all" TargetMode="External"/><Relationship Id="rId2572" Type="http://schemas.openxmlformats.org/officeDocument/2006/relationships/hyperlink" Target="https://finance.yahoo.com/quote/AAPL/options/?straddle=false&amp;strike=105&amp;type=all" TargetMode="External"/><Relationship Id="rId3416" Type="http://schemas.openxmlformats.org/officeDocument/2006/relationships/hyperlink" Target="https://finance.yahoo.com/quote/AAPL/options/?straddle=false&amp;strike=150&amp;type=all" TargetMode="External"/><Relationship Id="rId3623" Type="http://schemas.openxmlformats.org/officeDocument/2006/relationships/hyperlink" Target="https://finance.yahoo.com/quote/AAPL251010C00275000/" TargetMode="External"/><Relationship Id="rId544" Type="http://schemas.openxmlformats.org/officeDocument/2006/relationships/hyperlink" Target="https://finance.yahoo.com/quote/AAPL/options/?straddle=false&amp;strike=120&amp;type=all" TargetMode="External"/><Relationship Id="rId751" Type="http://schemas.openxmlformats.org/officeDocument/2006/relationships/hyperlink" Target="https://finance.yahoo.com/quote/AAPL251121P00160000/" TargetMode="External"/><Relationship Id="rId1174" Type="http://schemas.openxmlformats.org/officeDocument/2006/relationships/hyperlink" Target="https://finance.yahoo.com/quote/AAPL/options/?straddle=false&amp;strike=290&amp;type=all" TargetMode="External"/><Relationship Id="rId1381" Type="http://schemas.openxmlformats.org/officeDocument/2006/relationships/hyperlink" Target="https://finance.yahoo.com/quote/AAPL260320P00135000/" TargetMode="External"/><Relationship Id="rId2225" Type="http://schemas.openxmlformats.org/officeDocument/2006/relationships/hyperlink" Target="https://finance.yahoo.com/quote/AAPL260918C00165000/" TargetMode="External"/><Relationship Id="rId2432" Type="http://schemas.openxmlformats.org/officeDocument/2006/relationships/hyperlink" Target="https://finance.yahoo.com/quote/AAPL/options/?straddle=false&amp;strike=50&amp;type=all" TargetMode="External"/><Relationship Id="rId404" Type="http://schemas.openxmlformats.org/officeDocument/2006/relationships/hyperlink" Target="https://finance.yahoo.com/quote/AAPL/options/?straddle=false&amp;strike=170&amp;type=all" TargetMode="External"/><Relationship Id="rId611" Type="http://schemas.openxmlformats.org/officeDocument/2006/relationships/hyperlink" Target="https://finance.yahoo.com/quote/AAPL251107P00235000/" TargetMode="External"/><Relationship Id="rId1034" Type="http://schemas.openxmlformats.org/officeDocument/2006/relationships/hyperlink" Target="https://finance.yahoo.com/quote/AAPL/options/?straddle=false&amp;strike=190&amp;type=all" TargetMode="External"/><Relationship Id="rId1241" Type="http://schemas.openxmlformats.org/officeDocument/2006/relationships/hyperlink" Target="https://finance.yahoo.com/quote/AAPL260220P00205000/" TargetMode="External"/><Relationship Id="rId1101" Type="http://schemas.openxmlformats.org/officeDocument/2006/relationships/hyperlink" Target="https://finance.yahoo.com/quote/AAPL260220C00105000/" TargetMode="External"/><Relationship Id="rId3066" Type="http://schemas.openxmlformats.org/officeDocument/2006/relationships/hyperlink" Target="https://finance.yahoo.com/quote/AAPL/options/?straddle=false&amp;strike=185&amp;type=all" TargetMode="External"/><Relationship Id="rId3273" Type="http://schemas.openxmlformats.org/officeDocument/2006/relationships/hyperlink" Target="https://finance.yahoo.com/quote/AAPL271217C00430000/" TargetMode="External"/><Relationship Id="rId3480" Type="http://schemas.openxmlformats.org/officeDocument/2006/relationships/hyperlink" Target="https://finance.yahoo.com/quote/AAPL/options/?straddle=false&amp;strike=450&amp;type=all" TargetMode="External"/><Relationship Id="rId194" Type="http://schemas.openxmlformats.org/officeDocument/2006/relationships/hyperlink" Target="https://finance.yahoo.com/quote/AAPL/options/?straddle=false&amp;strike=230&amp;type=all" TargetMode="External"/><Relationship Id="rId1918" Type="http://schemas.openxmlformats.org/officeDocument/2006/relationships/hyperlink" Target="https://finance.yahoo.com/quote/AAPL/options/?straddle=false&amp;strike=20&amp;type=all" TargetMode="External"/><Relationship Id="rId2082" Type="http://schemas.openxmlformats.org/officeDocument/2006/relationships/hyperlink" Target="https://finance.yahoo.com/quote/AAPL/options/?straddle=false&amp;strike=200&amp;type=all" TargetMode="External"/><Relationship Id="rId3133" Type="http://schemas.openxmlformats.org/officeDocument/2006/relationships/hyperlink" Target="https://finance.yahoo.com/quote/AAPL271217C00080000/" TargetMode="External"/><Relationship Id="rId261" Type="http://schemas.openxmlformats.org/officeDocument/2006/relationships/hyperlink" Target="https://finance.yahoo.com/quote/AAPL251024C00165000/" TargetMode="External"/><Relationship Id="rId3340" Type="http://schemas.openxmlformats.org/officeDocument/2006/relationships/hyperlink" Target="https://finance.yahoo.com/quote/AAPL/options/?straddle=false&amp;strike=200&amp;type=all" TargetMode="External"/><Relationship Id="rId2899" Type="http://schemas.openxmlformats.org/officeDocument/2006/relationships/hyperlink" Target="https://finance.yahoo.com/quote/AAPL270617C00050000/" TargetMode="External"/><Relationship Id="rId3200" Type="http://schemas.openxmlformats.org/officeDocument/2006/relationships/hyperlink" Target="https://finance.yahoo.com/quote/AAPL/options/?straddle=false&amp;strike=245&amp;type=all" TargetMode="External"/><Relationship Id="rId121" Type="http://schemas.openxmlformats.org/officeDocument/2006/relationships/hyperlink" Target="https://finance.yahoo.com/quote/AAPL251017C00345000/" TargetMode="External"/><Relationship Id="rId2759" Type="http://schemas.openxmlformats.org/officeDocument/2006/relationships/hyperlink" Target="https://finance.yahoo.com/quote/AAPL270115C00360000/" TargetMode="External"/><Relationship Id="rId2966" Type="http://schemas.openxmlformats.org/officeDocument/2006/relationships/hyperlink" Target="https://finance.yahoo.com/quote/AAPL/options/?straddle=false&amp;strike=230&amp;type=all" TargetMode="External"/><Relationship Id="rId938" Type="http://schemas.openxmlformats.org/officeDocument/2006/relationships/hyperlink" Target="https://finance.yahoo.com/quote/AAPL/options/?straddle=false&amp;strike=305&amp;type=all" TargetMode="External"/><Relationship Id="rId1568" Type="http://schemas.openxmlformats.org/officeDocument/2006/relationships/hyperlink" Target="https://finance.yahoo.com/quote/AAPL/options/?straddle=false&amp;strike=225&amp;type=all" TargetMode="External"/><Relationship Id="rId1775" Type="http://schemas.openxmlformats.org/officeDocument/2006/relationships/hyperlink" Target="https://finance.yahoo.com/quote/AAPL260618C00005000/" TargetMode="External"/><Relationship Id="rId2619" Type="http://schemas.openxmlformats.org/officeDocument/2006/relationships/hyperlink" Target="https://finance.yahoo.com/quote/AAPL261218P00250000/" TargetMode="External"/><Relationship Id="rId2826" Type="http://schemas.openxmlformats.org/officeDocument/2006/relationships/hyperlink" Target="https://finance.yahoo.com/quote/AAPL/options/?straddle=false&amp;strike=135&amp;type=all" TargetMode="External"/><Relationship Id="rId67" Type="http://schemas.openxmlformats.org/officeDocument/2006/relationships/hyperlink" Target="https://finance.yahoo.com/quote/AAPL251017C00242500/" TargetMode="External"/><Relationship Id="rId1428" Type="http://schemas.openxmlformats.org/officeDocument/2006/relationships/hyperlink" Target="https://finance.yahoo.com/quote/AAPL/options/?straddle=false&amp;strike=300&amp;type=all" TargetMode="External"/><Relationship Id="rId1635" Type="http://schemas.openxmlformats.org/officeDocument/2006/relationships/hyperlink" Target="https://finance.yahoo.com/quote/AAPL260515C00180000/" TargetMode="External"/><Relationship Id="rId1982" Type="http://schemas.openxmlformats.org/officeDocument/2006/relationships/hyperlink" Target="https://finance.yahoo.com/quote/AAPL/options/?straddle=false&amp;strike=180&amp;type=all" TargetMode="External"/><Relationship Id="rId1842" Type="http://schemas.openxmlformats.org/officeDocument/2006/relationships/hyperlink" Target="https://finance.yahoo.com/quote/AAPL/options/?straddle=false&amp;strike=170&amp;type=all" TargetMode="External"/><Relationship Id="rId1702" Type="http://schemas.openxmlformats.org/officeDocument/2006/relationships/hyperlink" Target="https://finance.yahoo.com/quote/AAPL/options/?straddle=false&amp;strike=80&amp;type=all" TargetMode="External"/><Relationship Id="rId3667" Type="http://schemas.openxmlformats.org/officeDocument/2006/relationships/hyperlink" Target="https://finance.yahoo.com/quote/AAPL251010P00180000/" TargetMode="External"/><Relationship Id="rId588" Type="http://schemas.openxmlformats.org/officeDocument/2006/relationships/hyperlink" Target="https://finance.yahoo.com/quote/AAPL/options/?straddle=false&amp;strike=325&amp;type=all" TargetMode="External"/><Relationship Id="rId795" Type="http://schemas.openxmlformats.org/officeDocument/2006/relationships/hyperlink" Target="https://finance.yahoo.com/quote/AAPL251121P00270000/" TargetMode="External"/><Relationship Id="rId2269" Type="http://schemas.openxmlformats.org/officeDocument/2006/relationships/hyperlink" Target="https://finance.yahoo.com/quote/AAPL260918C00275000/" TargetMode="External"/><Relationship Id="rId2476" Type="http://schemas.openxmlformats.org/officeDocument/2006/relationships/hyperlink" Target="https://finance.yahoo.com/quote/AAPL/options/?straddle=false&amp;strike=175&amp;type=all" TargetMode="External"/><Relationship Id="rId2683" Type="http://schemas.openxmlformats.org/officeDocument/2006/relationships/hyperlink" Target="https://finance.yahoo.com/quote/AAPL270115C00090000/" TargetMode="External"/><Relationship Id="rId2890" Type="http://schemas.openxmlformats.org/officeDocument/2006/relationships/hyperlink" Target="https://finance.yahoo.com/quote/AAPL/options/?straddle=false&amp;strike=410&amp;type=all" TargetMode="External"/><Relationship Id="rId3527" Type="http://schemas.openxmlformats.org/officeDocument/2006/relationships/hyperlink" Target="https://finance.yahoo.com/quote/AAPL280121P00260000/" TargetMode="External"/><Relationship Id="rId3734" Type="http://schemas.openxmlformats.org/officeDocument/2006/relationships/hyperlink" Target="https://finance.yahoo.com/quote/AAPL/options/?straddle=false&amp;strike=290&amp;type=all" TargetMode="External"/><Relationship Id="rId448" Type="http://schemas.openxmlformats.org/officeDocument/2006/relationships/hyperlink" Target="https://finance.yahoo.com/quote/AAPL/options/?straddle=false&amp;strike=285&amp;type=all" TargetMode="External"/><Relationship Id="rId655" Type="http://schemas.openxmlformats.org/officeDocument/2006/relationships/hyperlink" Target="https://finance.yahoo.com/quote/AAPL251121C00175000/" TargetMode="External"/><Relationship Id="rId862" Type="http://schemas.openxmlformats.org/officeDocument/2006/relationships/hyperlink" Target="https://finance.yahoo.com/quote/AAPL/options/?straddle=false&amp;strike=115&amp;type=all" TargetMode="External"/><Relationship Id="rId1078" Type="http://schemas.openxmlformats.org/officeDocument/2006/relationships/hyperlink" Target="https://finance.yahoo.com/quote/AAPL/options/?straddle=false&amp;strike=300&amp;type=all" TargetMode="External"/><Relationship Id="rId1285" Type="http://schemas.openxmlformats.org/officeDocument/2006/relationships/hyperlink" Target="https://finance.yahoo.com/quote/AAPL260320C00095000/" TargetMode="External"/><Relationship Id="rId1492" Type="http://schemas.openxmlformats.org/officeDocument/2006/relationships/hyperlink" Target="https://finance.yahoo.com/quote/AAPL/options/?straddle=false&amp;strike=265&amp;type=all" TargetMode="External"/><Relationship Id="rId2129" Type="http://schemas.openxmlformats.org/officeDocument/2006/relationships/hyperlink" Target="https://finance.yahoo.com/quote/AAPL260821P00150000/" TargetMode="External"/><Relationship Id="rId2336" Type="http://schemas.openxmlformats.org/officeDocument/2006/relationships/hyperlink" Target="https://finance.yahoo.com/quote/AAPL/options/?straddle=false&amp;strike=135&amp;type=all" TargetMode="External"/><Relationship Id="rId2543" Type="http://schemas.openxmlformats.org/officeDocument/2006/relationships/hyperlink" Target="https://finance.yahoo.com/quote/AAPL261218P00020000/" TargetMode="External"/><Relationship Id="rId2750" Type="http://schemas.openxmlformats.org/officeDocument/2006/relationships/hyperlink" Target="https://finance.yahoo.com/quote/AAPL/options/?straddle=false&amp;strike=310&amp;type=all" TargetMode="External"/><Relationship Id="rId308" Type="http://schemas.openxmlformats.org/officeDocument/2006/relationships/hyperlink" Target="https://finance.yahoo.com/quote/AAPL/options/?straddle=false&amp;strike=280&amp;type=all" TargetMode="External"/><Relationship Id="rId515" Type="http://schemas.openxmlformats.org/officeDocument/2006/relationships/hyperlink" Target="https://finance.yahoo.com/quote/AAPL251031P00245000/" TargetMode="External"/><Relationship Id="rId722" Type="http://schemas.openxmlformats.org/officeDocument/2006/relationships/hyperlink" Target="https://finance.yahoo.com/quote/AAPL/options/?straddle=false&amp;strike=340&amp;type=all" TargetMode="External"/><Relationship Id="rId1145" Type="http://schemas.openxmlformats.org/officeDocument/2006/relationships/hyperlink" Target="https://finance.yahoo.com/quote/AAPL260220C00220000/" TargetMode="External"/><Relationship Id="rId1352" Type="http://schemas.openxmlformats.org/officeDocument/2006/relationships/hyperlink" Target="https://finance.yahoo.com/quote/AAPL/options/?straddle=false&amp;strike=320&amp;type=all" TargetMode="External"/><Relationship Id="rId2403" Type="http://schemas.openxmlformats.org/officeDocument/2006/relationships/hyperlink" Target="https://finance.yahoo.com/quote/AAPL260918P00310000/" TargetMode="External"/><Relationship Id="rId1005" Type="http://schemas.openxmlformats.org/officeDocument/2006/relationships/hyperlink" Target="https://finance.yahoo.com/quote/AAPL260116P00120000/" TargetMode="External"/><Relationship Id="rId1212" Type="http://schemas.openxmlformats.org/officeDocument/2006/relationships/hyperlink" Target="https://finance.yahoo.com/quote/AAPL/options/?straddle=false&amp;strike=130&amp;type=all" TargetMode="External"/><Relationship Id="rId2610" Type="http://schemas.openxmlformats.org/officeDocument/2006/relationships/hyperlink" Target="https://finance.yahoo.com/quote/AAPL/options/?straddle=false&amp;strike=200&amp;type=all" TargetMode="External"/><Relationship Id="rId3177" Type="http://schemas.openxmlformats.org/officeDocument/2006/relationships/hyperlink" Target="https://finance.yahoo.com/quote/AAPL271217C00190000/" TargetMode="External"/><Relationship Id="rId3037" Type="http://schemas.openxmlformats.org/officeDocument/2006/relationships/hyperlink" Target="https://finance.yahoo.com/quote/AAPL270617P00115000/" TargetMode="External"/><Relationship Id="rId3384" Type="http://schemas.openxmlformats.org/officeDocument/2006/relationships/hyperlink" Target="https://finance.yahoo.com/quote/AAPL/options/?straddle=false&amp;strike=310&amp;type=all" TargetMode="External"/><Relationship Id="rId3591" Type="http://schemas.openxmlformats.org/officeDocument/2006/relationships/hyperlink" Target="https://finance.yahoo.com/quote/AAPL251010C00235000/" TargetMode="External"/><Relationship Id="rId2193" Type="http://schemas.openxmlformats.org/officeDocument/2006/relationships/hyperlink" Target="https://finance.yahoo.com/quote/AAPL260918C00085000/" TargetMode="External"/><Relationship Id="rId3244" Type="http://schemas.openxmlformats.org/officeDocument/2006/relationships/hyperlink" Target="https://finance.yahoo.com/quote/AAPL/options/?straddle=false&amp;strike=355&amp;type=all" TargetMode="External"/><Relationship Id="rId3451" Type="http://schemas.openxmlformats.org/officeDocument/2006/relationships/hyperlink" Target="https://finance.yahoo.com/quote/AAPL280121C00290000/" TargetMode="External"/><Relationship Id="rId165" Type="http://schemas.openxmlformats.org/officeDocument/2006/relationships/hyperlink" Target="https://finance.yahoo.com/quote/AAPL251017P00175000/" TargetMode="External"/><Relationship Id="rId372" Type="http://schemas.openxmlformats.org/officeDocument/2006/relationships/hyperlink" Target="https://finance.yahoo.com/quote/AAPL/options/?straddle=false&amp;strike=235&amp;type=all" TargetMode="External"/><Relationship Id="rId2053" Type="http://schemas.openxmlformats.org/officeDocument/2006/relationships/hyperlink" Target="https://finance.yahoo.com/quote/AAPL260821C00130000/" TargetMode="External"/><Relationship Id="rId2260" Type="http://schemas.openxmlformats.org/officeDocument/2006/relationships/hyperlink" Target="https://finance.yahoo.com/quote/AAPL/options/?straddle=false&amp;strike=250&amp;type=all" TargetMode="External"/><Relationship Id="rId3104" Type="http://schemas.openxmlformats.org/officeDocument/2006/relationships/hyperlink" Target="https://finance.yahoo.com/quote/AAPL/options/?straddle=false&amp;strike=360&amp;type=all" TargetMode="External"/><Relationship Id="rId3311" Type="http://schemas.openxmlformats.org/officeDocument/2006/relationships/hyperlink" Target="https://finance.yahoo.com/quote/AAPL271217P00130000/" TargetMode="External"/><Relationship Id="rId232" Type="http://schemas.openxmlformats.org/officeDocument/2006/relationships/hyperlink" Target="https://finance.yahoo.com/quote/AAPL/options/?straddle=false&amp;strike=285&amp;type=all" TargetMode="External"/><Relationship Id="rId2120" Type="http://schemas.openxmlformats.org/officeDocument/2006/relationships/hyperlink" Target="https://finance.yahoo.com/quote/AAPL/options/?straddle=false&amp;strike=125&amp;type=all" TargetMode="External"/><Relationship Id="rId1679" Type="http://schemas.openxmlformats.org/officeDocument/2006/relationships/hyperlink" Target="https://finance.yahoo.com/quote/AAPL260515C00380000/" TargetMode="External"/><Relationship Id="rId80" Type="http://schemas.openxmlformats.org/officeDocument/2006/relationships/hyperlink" Target="https://finance.yahoo.com/quote/AAPL/options/?straddle=false&amp;strike=257.5&amp;type=all" TargetMode="External"/><Relationship Id="rId604" Type="http://schemas.openxmlformats.org/officeDocument/2006/relationships/hyperlink" Target="https://finance.yahoo.com/quote/AAPL/options/?straddle=false&amp;strike=215&amp;type=all" TargetMode="External"/><Relationship Id="rId811" Type="http://schemas.openxmlformats.org/officeDocument/2006/relationships/hyperlink" Target="https://finance.yahoo.com/quote/AAPL251121P00325000/" TargetMode="External"/><Relationship Id="rId1027" Type="http://schemas.openxmlformats.org/officeDocument/2006/relationships/hyperlink" Target="https://finance.yahoo.com/quote/AAPL260116P00175000/" TargetMode="External"/><Relationship Id="rId1234" Type="http://schemas.openxmlformats.org/officeDocument/2006/relationships/hyperlink" Target="https://finance.yahoo.com/quote/AAPL/options/?straddle=false&amp;strike=185&amp;type=all" TargetMode="External"/><Relationship Id="rId1441" Type="http://schemas.openxmlformats.org/officeDocument/2006/relationships/hyperlink" Target="https://finance.yahoo.com/quote/AAPL260417C00125000/" TargetMode="External"/><Relationship Id="rId1886" Type="http://schemas.openxmlformats.org/officeDocument/2006/relationships/hyperlink" Target="https://finance.yahoo.com/quote/AAPL/options/?straddle=false&amp;strike=280&amp;type=all" TargetMode="External"/><Relationship Id="rId2937" Type="http://schemas.openxmlformats.org/officeDocument/2006/relationships/hyperlink" Target="https://finance.yahoo.com/quote/AAPL270617C00145000/" TargetMode="External"/><Relationship Id="rId909" Type="http://schemas.openxmlformats.org/officeDocument/2006/relationships/hyperlink" Target="https://finance.yahoo.com/quote/AAPL260116C00235000/" TargetMode="External"/><Relationship Id="rId1301" Type="http://schemas.openxmlformats.org/officeDocument/2006/relationships/hyperlink" Target="https://finance.yahoo.com/quote/AAPL260320C00135000/" TargetMode="External"/><Relationship Id="rId1539" Type="http://schemas.openxmlformats.org/officeDocument/2006/relationships/hyperlink" Target="https://finance.yahoo.com/quote/AAPL260417P00155000/" TargetMode="External"/><Relationship Id="rId1746" Type="http://schemas.openxmlformats.org/officeDocument/2006/relationships/hyperlink" Target="https://finance.yahoo.com/quote/AAPL/options/?straddle=false&amp;strike=190&amp;type=all" TargetMode="External"/><Relationship Id="rId1953" Type="http://schemas.openxmlformats.org/officeDocument/2006/relationships/hyperlink" Target="https://finance.yahoo.com/quote/AAPL260618P00110000/" TargetMode="External"/><Relationship Id="rId3199" Type="http://schemas.openxmlformats.org/officeDocument/2006/relationships/hyperlink" Target="https://finance.yahoo.com/quote/AAPL271217C00245000/" TargetMode="External"/><Relationship Id="rId38" Type="http://schemas.openxmlformats.org/officeDocument/2006/relationships/hyperlink" Target="https://finance.yahoo.com/quote/AAPL/options/?straddle=false&amp;strike=195&amp;type=all" TargetMode="External"/><Relationship Id="rId1606" Type="http://schemas.openxmlformats.org/officeDocument/2006/relationships/hyperlink" Target="https://finance.yahoo.com/quote/AAPL/options/?straddle=false&amp;strike=90&amp;type=all" TargetMode="External"/><Relationship Id="rId1813" Type="http://schemas.openxmlformats.org/officeDocument/2006/relationships/hyperlink" Target="https://finance.yahoo.com/quote/AAPL260618C00100000/" TargetMode="External"/><Relationship Id="rId3059" Type="http://schemas.openxmlformats.org/officeDocument/2006/relationships/hyperlink" Target="https://finance.yahoo.com/quote/AAPL270617P00170000/" TargetMode="External"/><Relationship Id="rId3266" Type="http://schemas.openxmlformats.org/officeDocument/2006/relationships/hyperlink" Target="https://finance.yahoo.com/quote/AAPL/options/?straddle=false&amp;strike=410&amp;type=all" TargetMode="External"/><Relationship Id="rId3473" Type="http://schemas.openxmlformats.org/officeDocument/2006/relationships/hyperlink" Target="https://finance.yahoo.com/quote/AAPL280121C00400000/" TargetMode="External"/><Relationship Id="rId187" Type="http://schemas.openxmlformats.org/officeDocument/2006/relationships/hyperlink" Target="https://finance.yahoo.com/quote/AAPL251017P00222500/" TargetMode="External"/><Relationship Id="rId394" Type="http://schemas.openxmlformats.org/officeDocument/2006/relationships/hyperlink" Target="https://finance.yahoo.com/quote/AAPL/options/?straddle=false&amp;strike=295&amp;type=all" TargetMode="External"/><Relationship Id="rId2075" Type="http://schemas.openxmlformats.org/officeDocument/2006/relationships/hyperlink" Target="https://finance.yahoo.com/quote/AAPL260821C00185000/" TargetMode="External"/><Relationship Id="rId2282" Type="http://schemas.openxmlformats.org/officeDocument/2006/relationships/hyperlink" Target="https://finance.yahoo.com/quote/AAPL/options/?straddle=false&amp;strike=310&amp;type=all" TargetMode="External"/><Relationship Id="rId3126" Type="http://schemas.openxmlformats.org/officeDocument/2006/relationships/hyperlink" Target="https://finance.yahoo.com/quote/AAPL/options/?straddle=false&amp;strike=60&amp;type=all" TargetMode="External"/><Relationship Id="rId3680" Type="http://schemas.openxmlformats.org/officeDocument/2006/relationships/hyperlink" Target="https://finance.yahoo.com/quote/AAPL/options/?straddle=false&amp;strike=210&amp;type=all" TargetMode="External"/><Relationship Id="rId254" Type="http://schemas.openxmlformats.org/officeDocument/2006/relationships/hyperlink" Target="https://finance.yahoo.com/quote/AAPL/options/?straddle=false&amp;strike=370&amp;type=all" TargetMode="External"/><Relationship Id="rId699" Type="http://schemas.openxmlformats.org/officeDocument/2006/relationships/hyperlink" Target="https://finance.yahoo.com/quote/AAPL251121C00285000/" TargetMode="External"/><Relationship Id="rId1091" Type="http://schemas.openxmlformats.org/officeDocument/2006/relationships/hyperlink" Target="https://finance.yahoo.com/quote/AAPL260116P00350000/" TargetMode="External"/><Relationship Id="rId2587" Type="http://schemas.openxmlformats.org/officeDocument/2006/relationships/hyperlink" Target="https://finance.yahoo.com/quote/AAPL261218P00145000/" TargetMode="External"/><Relationship Id="rId2794" Type="http://schemas.openxmlformats.org/officeDocument/2006/relationships/hyperlink" Target="https://finance.yahoo.com/quote/AAPL/options/?straddle=false&amp;strike=40&amp;type=all" TargetMode="External"/><Relationship Id="rId3333" Type="http://schemas.openxmlformats.org/officeDocument/2006/relationships/hyperlink" Target="https://finance.yahoo.com/quote/AAPL271217P00185000/" TargetMode="External"/><Relationship Id="rId3540" Type="http://schemas.openxmlformats.org/officeDocument/2006/relationships/hyperlink" Target="https://finance.yahoo.com/quote/AAPL/options/?straddle=false&amp;strike=320&amp;type=all" TargetMode="External"/><Relationship Id="rId3638" Type="http://schemas.openxmlformats.org/officeDocument/2006/relationships/hyperlink" Target="https://finance.yahoo.com/quote/AAPL/options/?straddle=false&amp;strike=310&amp;type=all" TargetMode="External"/><Relationship Id="rId114" Type="http://schemas.openxmlformats.org/officeDocument/2006/relationships/hyperlink" Target="https://finance.yahoo.com/quote/AAPL/options/?straddle=false&amp;strike=325&amp;type=all" TargetMode="External"/><Relationship Id="rId461" Type="http://schemas.openxmlformats.org/officeDocument/2006/relationships/hyperlink" Target="https://finance.yahoo.com/quote/AAPL251031C00320000/" TargetMode="External"/><Relationship Id="rId559" Type="http://schemas.openxmlformats.org/officeDocument/2006/relationships/hyperlink" Target="https://finance.yahoo.com/quote/AAPL251107C00245000/" TargetMode="External"/><Relationship Id="rId766" Type="http://schemas.openxmlformats.org/officeDocument/2006/relationships/hyperlink" Target="https://finance.yahoo.com/quote/AAPL/options/?straddle=false&amp;strike=195&amp;type=all" TargetMode="External"/><Relationship Id="rId1189" Type="http://schemas.openxmlformats.org/officeDocument/2006/relationships/hyperlink" Target="https://finance.yahoo.com/quote/AAPL260220C00360000/" TargetMode="External"/><Relationship Id="rId1396" Type="http://schemas.openxmlformats.org/officeDocument/2006/relationships/hyperlink" Target="https://finance.yahoo.com/quote/AAPL/options/?straddle=false&amp;strike=170&amp;type=all" TargetMode="External"/><Relationship Id="rId2142" Type="http://schemas.openxmlformats.org/officeDocument/2006/relationships/hyperlink" Target="https://finance.yahoo.com/quote/AAPL/options/?straddle=false&amp;strike=180&amp;type=all" TargetMode="External"/><Relationship Id="rId2447" Type="http://schemas.openxmlformats.org/officeDocument/2006/relationships/hyperlink" Target="https://finance.yahoo.com/quote/AAPL261218C00105000/" TargetMode="External"/><Relationship Id="rId3400" Type="http://schemas.openxmlformats.org/officeDocument/2006/relationships/hyperlink" Target="https://finance.yahoo.com/quote/AAPL/options/?straddle=false&amp;strike=400&amp;type=all" TargetMode="External"/><Relationship Id="rId321" Type="http://schemas.openxmlformats.org/officeDocument/2006/relationships/hyperlink" Target="https://finance.yahoo.com/quote/AAPL251024C00315000/" TargetMode="External"/><Relationship Id="rId419" Type="http://schemas.openxmlformats.org/officeDocument/2006/relationships/hyperlink" Target="https://finance.yahoo.com/quote/AAPL251031C00215000/" TargetMode="External"/><Relationship Id="rId626" Type="http://schemas.openxmlformats.org/officeDocument/2006/relationships/hyperlink" Target="https://finance.yahoo.com/quote/AAPL/options/?straddle=false&amp;strike=100&amp;type=all" TargetMode="External"/><Relationship Id="rId973" Type="http://schemas.openxmlformats.org/officeDocument/2006/relationships/hyperlink" Target="https://finance.yahoo.com/quote/AAPL260116P00040000/" TargetMode="External"/><Relationship Id="rId1049" Type="http://schemas.openxmlformats.org/officeDocument/2006/relationships/hyperlink" Target="https://finance.yahoo.com/quote/AAPL260116P00230000/" TargetMode="External"/><Relationship Id="rId1256" Type="http://schemas.openxmlformats.org/officeDocument/2006/relationships/hyperlink" Target="https://finance.yahoo.com/quote/AAPL/options/?straddle=false&amp;strike=240&amp;type=all" TargetMode="External"/><Relationship Id="rId2002" Type="http://schemas.openxmlformats.org/officeDocument/2006/relationships/hyperlink" Target="https://finance.yahoo.com/quote/AAPL/options/?straddle=false&amp;strike=230&amp;type=all" TargetMode="External"/><Relationship Id="rId2307" Type="http://schemas.openxmlformats.org/officeDocument/2006/relationships/hyperlink" Target="https://finance.yahoo.com/quote/AAPL260918P00065000/" TargetMode="External"/><Relationship Id="rId2654" Type="http://schemas.openxmlformats.org/officeDocument/2006/relationships/hyperlink" Target="https://finance.yahoo.com/quote/AAPL/options/?straddle=false&amp;strike=450&amp;type=all" TargetMode="External"/><Relationship Id="rId2861" Type="http://schemas.openxmlformats.org/officeDocument/2006/relationships/hyperlink" Target="https://finance.yahoo.com/quote/AAPL270115P00250000/" TargetMode="External"/><Relationship Id="rId2959" Type="http://schemas.openxmlformats.org/officeDocument/2006/relationships/hyperlink" Target="https://finance.yahoo.com/quote/AAPL270617C00200000/" TargetMode="External"/><Relationship Id="rId3705" Type="http://schemas.openxmlformats.org/officeDocument/2006/relationships/hyperlink" Target="https://finance.yahoo.com/quote/AAPL251010P00245000/" TargetMode="External"/><Relationship Id="rId833" Type="http://schemas.openxmlformats.org/officeDocument/2006/relationships/hyperlink" Target="https://finance.yahoo.com/quote/AAPL260116C00045000/" TargetMode="External"/><Relationship Id="rId1116" Type="http://schemas.openxmlformats.org/officeDocument/2006/relationships/hyperlink" Target="https://finance.yahoo.com/quote/AAPL/options/?straddle=false&amp;strike=145&amp;type=all" TargetMode="External"/><Relationship Id="rId1463" Type="http://schemas.openxmlformats.org/officeDocument/2006/relationships/hyperlink" Target="https://finance.yahoo.com/quote/AAPL260417C00195000/" TargetMode="External"/><Relationship Id="rId1670" Type="http://schemas.openxmlformats.org/officeDocument/2006/relationships/hyperlink" Target="https://finance.yahoo.com/quote/AAPL/options/?straddle=false&amp;strike=330&amp;type=all" TargetMode="External"/><Relationship Id="rId1768" Type="http://schemas.openxmlformats.org/officeDocument/2006/relationships/hyperlink" Target="https://finance.yahoo.com/quote/AAPL/options/?straddle=false&amp;strike=290&amp;type=all" TargetMode="External"/><Relationship Id="rId2514" Type="http://schemas.openxmlformats.org/officeDocument/2006/relationships/hyperlink" Target="https://finance.yahoo.com/quote/AAPL/options/?straddle=false&amp;strike=340&amp;type=all" TargetMode="External"/><Relationship Id="rId2721" Type="http://schemas.openxmlformats.org/officeDocument/2006/relationships/hyperlink" Target="https://finance.yahoo.com/quote/AAPL270115C00185000/" TargetMode="External"/><Relationship Id="rId2819" Type="http://schemas.openxmlformats.org/officeDocument/2006/relationships/hyperlink" Target="https://finance.yahoo.com/quote/AAPL270115P00120000/" TargetMode="External"/><Relationship Id="rId900" Type="http://schemas.openxmlformats.org/officeDocument/2006/relationships/hyperlink" Target="https://finance.yahoo.com/quote/AAPL/options/?straddle=false&amp;strike=210&amp;type=all" TargetMode="External"/><Relationship Id="rId1323" Type="http://schemas.openxmlformats.org/officeDocument/2006/relationships/hyperlink" Target="https://finance.yahoo.com/quote/AAPL260320C00190000/" TargetMode="External"/><Relationship Id="rId1530" Type="http://schemas.openxmlformats.org/officeDocument/2006/relationships/hyperlink" Target="https://finance.yahoo.com/quote/AAPL/options/?straddle=false&amp;strike=130&amp;type=all" TargetMode="External"/><Relationship Id="rId1628" Type="http://schemas.openxmlformats.org/officeDocument/2006/relationships/hyperlink" Target="https://finance.yahoo.com/quote/AAPL/options/?straddle=false&amp;strike=160&amp;type=all" TargetMode="External"/><Relationship Id="rId1975" Type="http://schemas.openxmlformats.org/officeDocument/2006/relationships/hyperlink" Target="https://finance.yahoo.com/quote/AAPL260618P00165000/" TargetMode="External"/><Relationship Id="rId3190" Type="http://schemas.openxmlformats.org/officeDocument/2006/relationships/hyperlink" Target="https://finance.yahoo.com/quote/AAPL/options/?straddle=false&amp;strike=220&amp;type=all" TargetMode="External"/><Relationship Id="rId1835" Type="http://schemas.openxmlformats.org/officeDocument/2006/relationships/hyperlink" Target="https://finance.yahoo.com/quote/AAPL260618C00155000/" TargetMode="External"/><Relationship Id="rId3050" Type="http://schemas.openxmlformats.org/officeDocument/2006/relationships/hyperlink" Target="https://finance.yahoo.com/quote/AAPL/options/?straddle=false&amp;strike=145&amp;type=all" TargetMode="External"/><Relationship Id="rId3288" Type="http://schemas.openxmlformats.org/officeDocument/2006/relationships/hyperlink" Target="https://finance.yahoo.com/quote/AAPL/options/?straddle=false&amp;strike=70&amp;type=all" TargetMode="External"/><Relationship Id="rId3495" Type="http://schemas.openxmlformats.org/officeDocument/2006/relationships/hyperlink" Target="https://finance.yahoo.com/quote/AAPL280121P00140000/" TargetMode="External"/><Relationship Id="rId1902" Type="http://schemas.openxmlformats.org/officeDocument/2006/relationships/hyperlink" Target="https://finance.yahoo.com/quote/AAPL/options/?straddle=false&amp;strike=350&amp;type=all" TargetMode="External"/><Relationship Id="rId2097" Type="http://schemas.openxmlformats.org/officeDocument/2006/relationships/hyperlink" Target="https://finance.yahoo.com/quote/AAPL260821C00280000/" TargetMode="External"/><Relationship Id="rId3148" Type="http://schemas.openxmlformats.org/officeDocument/2006/relationships/hyperlink" Target="https://finance.yahoo.com/quote/AAPL/options/?straddle=false&amp;strike=115&amp;type=all" TargetMode="External"/><Relationship Id="rId3355" Type="http://schemas.openxmlformats.org/officeDocument/2006/relationships/hyperlink" Target="https://finance.yahoo.com/quote/AAPL271217P00240000/" TargetMode="External"/><Relationship Id="rId3562" Type="http://schemas.openxmlformats.org/officeDocument/2006/relationships/hyperlink" Target="https://finance.yahoo.com/quote/AAPL/options/?straddle=false&amp;strike=180&amp;type=all" TargetMode="External"/><Relationship Id="rId276" Type="http://schemas.openxmlformats.org/officeDocument/2006/relationships/hyperlink" Target="https://finance.yahoo.com/quote/AAPL/options/?straddle=false&amp;strike=200&amp;type=all" TargetMode="External"/><Relationship Id="rId483" Type="http://schemas.openxmlformats.org/officeDocument/2006/relationships/hyperlink" Target="https://finance.yahoo.com/quote/AAPL251031P00165000/" TargetMode="External"/><Relationship Id="rId690" Type="http://schemas.openxmlformats.org/officeDocument/2006/relationships/hyperlink" Target="https://finance.yahoo.com/quote/AAPL/options/?straddle=false&amp;strike=260&amp;type=all" TargetMode="External"/><Relationship Id="rId2164" Type="http://schemas.openxmlformats.org/officeDocument/2006/relationships/hyperlink" Target="https://finance.yahoo.com/quote/AAPL/options/?straddle=false&amp;strike=270&amp;type=all" TargetMode="External"/><Relationship Id="rId2371" Type="http://schemas.openxmlformats.org/officeDocument/2006/relationships/hyperlink" Target="https://finance.yahoo.com/quote/AAPL260918P00225000/" TargetMode="External"/><Relationship Id="rId3008" Type="http://schemas.openxmlformats.org/officeDocument/2006/relationships/hyperlink" Target="https://finance.yahoo.com/quote/AAPL/options/?straddle=false&amp;strike=440&amp;type=all" TargetMode="External"/><Relationship Id="rId3215" Type="http://schemas.openxmlformats.org/officeDocument/2006/relationships/hyperlink" Target="https://finance.yahoo.com/quote/AAPL271217C00285000/" TargetMode="External"/><Relationship Id="rId3422" Type="http://schemas.openxmlformats.org/officeDocument/2006/relationships/hyperlink" Target="https://finance.yahoo.com/quote/AAPL/options/?straddle=false&amp;strike=170&amp;type=all" TargetMode="External"/><Relationship Id="rId136" Type="http://schemas.openxmlformats.org/officeDocument/2006/relationships/hyperlink" Target="https://finance.yahoo.com/quote/AAPL/options/?straddle=false&amp;strike=100&amp;type=all" TargetMode="External"/><Relationship Id="rId343" Type="http://schemas.openxmlformats.org/officeDocument/2006/relationships/hyperlink" Target="https://finance.yahoo.com/quote/AAPL251024P00165000/" TargetMode="External"/><Relationship Id="rId550" Type="http://schemas.openxmlformats.org/officeDocument/2006/relationships/hyperlink" Target="https://finance.yahoo.com/quote/AAPL/options/?straddle=false&amp;strike=220&amp;type=all" TargetMode="External"/><Relationship Id="rId788" Type="http://schemas.openxmlformats.org/officeDocument/2006/relationships/hyperlink" Target="https://finance.yahoo.com/quote/AAPL/options/?straddle=false&amp;strike=250&amp;type=all" TargetMode="External"/><Relationship Id="rId995" Type="http://schemas.openxmlformats.org/officeDocument/2006/relationships/hyperlink" Target="https://finance.yahoo.com/quote/AAPL260116P00095000/" TargetMode="External"/><Relationship Id="rId1180" Type="http://schemas.openxmlformats.org/officeDocument/2006/relationships/hyperlink" Target="https://finance.yahoo.com/quote/AAPL/options/?straddle=false&amp;strike=310&amp;type=all" TargetMode="External"/><Relationship Id="rId2024" Type="http://schemas.openxmlformats.org/officeDocument/2006/relationships/hyperlink" Target="https://finance.yahoo.com/quote/AAPL/options/?straddle=false&amp;strike=285&amp;type=all" TargetMode="External"/><Relationship Id="rId2231" Type="http://schemas.openxmlformats.org/officeDocument/2006/relationships/hyperlink" Target="https://finance.yahoo.com/quote/AAPL260918C00180000/" TargetMode="External"/><Relationship Id="rId2469" Type="http://schemas.openxmlformats.org/officeDocument/2006/relationships/hyperlink" Target="https://finance.yahoo.com/quote/AAPL261218C00160000/" TargetMode="External"/><Relationship Id="rId2676" Type="http://schemas.openxmlformats.org/officeDocument/2006/relationships/hyperlink" Target="https://finance.yahoo.com/quote/AAPL/options/?straddle=false&amp;strike=60&amp;type=all" TargetMode="External"/><Relationship Id="rId2883" Type="http://schemas.openxmlformats.org/officeDocument/2006/relationships/hyperlink" Target="https://finance.yahoo.com/quote/AAPL270115P00370000/" TargetMode="External"/><Relationship Id="rId3727" Type="http://schemas.openxmlformats.org/officeDocument/2006/relationships/hyperlink" Target="https://finance.yahoo.com/quote/AAPL251010P00272500/" TargetMode="External"/><Relationship Id="rId203" Type="http://schemas.openxmlformats.org/officeDocument/2006/relationships/hyperlink" Target="https://finance.yahoo.com/quote/AAPL251017P00242500/" TargetMode="External"/><Relationship Id="rId648" Type="http://schemas.openxmlformats.org/officeDocument/2006/relationships/hyperlink" Target="https://finance.yahoo.com/quote/AAPL/options/?straddle=false&amp;strike=155&amp;type=all" TargetMode="External"/><Relationship Id="rId855" Type="http://schemas.openxmlformats.org/officeDocument/2006/relationships/hyperlink" Target="https://finance.yahoo.com/quote/AAPL260116C00100000/" TargetMode="External"/><Relationship Id="rId1040" Type="http://schemas.openxmlformats.org/officeDocument/2006/relationships/hyperlink" Target="https://finance.yahoo.com/quote/AAPL/options/?straddle=false&amp;strike=205&amp;type=all" TargetMode="External"/><Relationship Id="rId1278" Type="http://schemas.openxmlformats.org/officeDocument/2006/relationships/hyperlink" Target="https://finance.yahoo.com/quote/AAPL/options/?straddle=false&amp;strike=295&amp;type=all" TargetMode="External"/><Relationship Id="rId1485" Type="http://schemas.openxmlformats.org/officeDocument/2006/relationships/hyperlink" Target="https://finance.yahoo.com/quote/AAPL260417C00250000/" TargetMode="External"/><Relationship Id="rId1692" Type="http://schemas.openxmlformats.org/officeDocument/2006/relationships/hyperlink" Target="https://finance.yahoo.com/quote/AAPL/options/?straddle=false&amp;strike=35&amp;type=all" TargetMode="External"/><Relationship Id="rId2329" Type="http://schemas.openxmlformats.org/officeDocument/2006/relationships/hyperlink" Target="https://finance.yahoo.com/quote/AAPL260918P00120000/" TargetMode="External"/><Relationship Id="rId2536" Type="http://schemas.openxmlformats.org/officeDocument/2006/relationships/hyperlink" Target="https://finance.yahoo.com/quote/AAPL/options/?straddle=false&amp;strike=450&amp;type=all" TargetMode="External"/><Relationship Id="rId2743" Type="http://schemas.openxmlformats.org/officeDocument/2006/relationships/hyperlink" Target="https://finance.yahoo.com/quote/AAPL270115C00280000/" TargetMode="External"/><Relationship Id="rId410" Type="http://schemas.openxmlformats.org/officeDocument/2006/relationships/hyperlink" Target="https://finance.yahoo.com/quote/AAPL/options/?straddle=false&amp;strike=190&amp;type=all" TargetMode="External"/><Relationship Id="rId508" Type="http://schemas.openxmlformats.org/officeDocument/2006/relationships/hyperlink" Target="https://finance.yahoo.com/quote/AAPL/options/?straddle=false&amp;strike=225&amp;type=all" TargetMode="External"/><Relationship Id="rId715" Type="http://schemas.openxmlformats.org/officeDocument/2006/relationships/hyperlink" Target="https://finance.yahoo.com/quote/AAPL251121C00325000/" TargetMode="External"/><Relationship Id="rId922" Type="http://schemas.openxmlformats.org/officeDocument/2006/relationships/hyperlink" Target="https://finance.yahoo.com/quote/AAPL/options/?straddle=false&amp;strike=265&amp;type=all" TargetMode="External"/><Relationship Id="rId1138" Type="http://schemas.openxmlformats.org/officeDocument/2006/relationships/hyperlink" Target="https://finance.yahoo.com/quote/AAPL/options/?straddle=false&amp;strike=200&amp;type=all" TargetMode="External"/><Relationship Id="rId1345" Type="http://schemas.openxmlformats.org/officeDocument/2006/relationships/hyperlink" Target="https://finance.yahoo.com/quote/AAPL260320C00290000/" TargetMode="External"/><Relationship Id="rId1552" Type="http://schemas.openxmlformats.org/officeDocument/2006/relationships/hyperlink" Target="https://finance.yahoo.com/quote/AAPL/options/?straddle=false&amp;strike=185&amp;type=all" TargetMode="External"/><Relationship Id="rId1997" Type="http://schemas.openxmlformats.org/officeDocument/2006/relationships/hyperlink" Target="https://finance.yahoo.com/quote/AAPL260618P00220000/" TargetMode="External"/><Relationship Id="rId2603" Type="http://schemas.openxmlformats.org/officeDocument/2006/relationships/hyperlink" Target="https://finance.yahoo.com/quote/AAPL261218P00185000/" TargetMode="External"/><Relationship Id="rId2950" Type="http://schemas.openxmlformats.org/officeDocument/2006/relationships/hyperlink" Target="https://finance.yahoo.com/quote/AAPL/options/?straddle=false&amp;strike=175&amp;type=all" TargetMode="External"/><Relationship Id="rId1205" Type="http://schemas.openxmlformats.org/officeDocument/2006/relationships/hyperlink" Target="https://finance.yahoo.com/quote/AAPL260220P00115000/" TargetMode="External"/><Relationship Id="rId1857" Type="http://schemas.openxmlformats.org/officeDocument/2006/relationships/hyperlink" Target="https://finance.yahoo.com/quote/AAPL260618C00210000/" TargetMode="External"/><Relationship Id="rId2810" Type="http://schemas.openxmlformats.org/officeDocument/2006/relationships/hyperlink" Target="https://finance.yahoo.com/quote/AAPL/options/?straddle=false&amp;strike=95&amp;type=all" TargetMode="External"/><Relationship Id="rId2908" Type="http://schemas.openxmlformats.org/officeDocument/2006/relationships/hyperlink" Target="https://finance.yahoo.com/quote/AAPL/options/?straddle=false&amp;strike=70&amp;type=all" TargetMode="External"/><Relationship Id="rId51" Type="http://schemas.openxmlformats.org/officeDocument/2006/relationships/hyperlink" Target="https://finance.yahoo.com/quote/AAPL251017C00222500/" TargetMode="External"/><Relationship Id="rId1412" Type="http://schemas.openxmlformats.org/officeDocument/2006/relationships/hyperlink" Target="https://finance.yahoo.com/quote/AAPL/options/?straddle=false&amp;strike=220&amp;type=all" TargetMode="External"/><Relationship Id="rId1717" Type="http://schemas.openxmlformats.org/officeDocument/2006/relationships/hyperlink" Target="https://finance.yahoo.com/quote/AAPL260515P00120000/" TargetMode="External"/><Relationship Id="rId1924" Type="http://schemas.openxmlformats.org/officeDocument/2006/relationships/hyperlink" Target="https://finance.yahoo.com/quote/AAPL/options/?straddle=false&amp;strike=35&amp;type=all" TargetMode="External"/><Relationship Id="rId3072" Type="http://schemas.openxmlformats.org/officeDocument/2006/relationships/hyperlink" Target="https://finance.yahoo.com/quote/AAPL/options/?straddle=false&amp;strike=200&amp;type=all" TargetMode="External"/><Relationship Id="rId3377" Type="http://schemas.openxmlformats.org/officeDocument/2006/relationships/hyperlink" Target="https://finance.yahoo.com/quote/AAPL271217P00295000/" TargetMode="External"/><Relationship Id="rId298" Type="http://schemas.openxmlformats.org/officeDocument/2006/relationships/hyperlink" Target="https://finance.yahoo.com/quote/AAPL/options/?straddle=false&amp;strike=255&amp;type=all" TargetMode="External"/><Relationship Id="rId3584" Type="http://schemas.openxmlformats.org/officeDocument/2006/relationships/hyperlink" Target="https://finance.yahoo.com/quote/AAPL/options/?straddle=false&amp;strike=225&amp;type=all" TargetMode="External"/><Relationship Id="rId158" Type="http://schemas.openxmlformats.org/officeDocument/2006/relationships/hyperlink" Target="https://finance.yahoo.com/quote/AAPL/options/?straddle=false&amp;strike=155&amp;type=all" TargetMode="External"/><Relationship Id="rId2186" Type="http://schemas.openxmlformats.org/officeDocument/2006/relationships/hyperlink" Target="https://finance.yahoo.com/quote/AAPL/options/?straddle=false&amp;strike=65&amp;type=all" TargetMode="External"/><Relationship Id="rId2393" Type="http://schemas.openxmlformats.org/officeDocument/2006/relationships/hyperlink" Target="https://finance.yahoo.com/quote/AAPL260918P00280000/" TargetMode="External"/><Relationship Id="rId2698" Type="http://schemas.openxmlformats.org/officeDocument/2006/relationships/hyperlink" Target="https://finance.yahoo.com/quote/AAPL/options/?straddle=false&amp;strike=125&amp;type=all" TargetMode="External"/><Relationship Id="rId3237" Type="http://schemas.openxmlformats.org/officeDocument/2006/relationships/hyperlink" Target="https://finance.yahoo.com/quote/AAPL271217C00340000/" TargetMode="External"/><Relationship Id="rId3444" Type="http://schemas.openxmlformats.org/officeDocument/2006/relationships/hyperlink" Target="https://finance.yahoo.com/quote/AAPL/options/?straddle=false&amp;strike=250&amp;type=all" TargetMode="External"/><Relationship Id="rId3651" Type="http://schemas.openxmlformats.org/officeDocument/2006/relationships/hyperlink" Target="https://finance.yahoo.com/quote/AAPL251010P00140000/" TargetMode="External"/><Relationship Id="rId365" Type="http://schemas.openxmlformats.org/officeDocument/2006/relationships/hyperlink" Target="https://finance.yahoo.com/quote/AAPL251024P00220000/" TargetMode="External"/><Relationship Id="rId572" Type="http://schemas.openxmlformats.org/officeDocument/2006/relationships/hyperlink" Target="https://finance.yahoo.com/quote/AAPL/options/?straddle=false&amp;strike=275&amp;type=all" TargetMode="External"/><Relationship Id="rId2046" Type="http://schemas.openxmlformats.org/officeDocument/2006/relationships/hyperlink" Target="https://finance.yahoo.com/quote/AAPL/options/?straddle=false&amp;strike=390&amp;type=all" TargetMode="External"/><Relationship Id="rId2253" Type="http://schemas.openxmlformats.org/officeDocument/2006/relationships/hyperlink" Target="https://finance.yahoo.com/quote/AAPL260918C00235000/" TargetMode="External"/><Relationship Id="rId2460" Type="http://schemas.openxmlformats.org/officeDocument/2006/relationships/hyperlink" Target="https://finance.yahoo.com/quote/AAPL/options/?straddle=false&amp;strike=135&amp;type=all" TargetMode="External"/><Relationship Id="rId3304" Type="http://schemas.openxmlformats.org/officeDocument/2006/relationships/hyperlink" Target="https://finance.yahoo.com/quote/AAPL/options/?straddle=false&amp;strike=110&amp;type=all" TargetMode="External"/><Relationship Id="rId3511" Type="http://schemas.openxmlformats.org/officeDocument/2006/relationships/hyperlink" Target="https://finance.yahoo.com/quote/AAPL280121P00190000/" TargetMode="External"/><Relationship Id="rId225" Type="http://schemas.openxmlformats.org/officeDocument/2006/relationships/hyperlink" Target="https://finance.yahoo.com/quote/AAPL251017P00270000/" TargetMode="External"/><Relationship Id="rId432" Type="http://schemas.openxmlformats.org/officeDocument/2006/relationships/hyperlink" Target="https://finance.yahoo.com/quote/AAPL/options/?straddle=false&amp;strike=245&amp;type=all" TargetMode="External"/><Relationship Id="rId877" Type="http://schemas.openxmlformats.org/officeDocument/2006/relationships/hyperlink" Target="https://finance.yahoo.com/quote/AAPL260116C00155000/" TargetMode="External"/><Relationship Id="rId1062" Type="http://schemas.openxmlformats.org/officeDocument/2006/relationships/hyperlink" Target="https://finance.yahoo.com/quote/AAPL/options/?straddle=false&amp;strike=260&amp;type=all" TargetMode="External"/><Relationship Id="rId2113" Type="http://schemas.openxmlformats.org/officeDocument/2006/relationships/hyperlink" Target="https://finance.yahoo.com/quote/AAPL260821P00110000/" TargetMode="External"/><Relationship Id="rId2320" Type="http://schemas.openxmlformats.org/officeDocument/2006/relationships/hyperlink" Target="https://finance.yahoo.com/quote/AAPL/options/?straddle=false&amp;strike=95&amp;type=all" TargetMode="External"/><Relationship Id="rId2558" Type="http://schemas.openxmlformats.org/officeDocument/2006/relationships/hyperlink" Target="https://finance.yahoo.com/quote/AAPL/options/?straddle=false&amp;strike=60&amp;type=all" TargetMode="External"/><Relationship Id="rId2765" Type="http://schemas.openxmlformats.org/officeDocument/2006/relationships/hyperlink" Target="https://finance.yahoo.com/quote/AAPL270115C00390000/" TargetMode="External"/><Relationship Id="rId2972" Type="http://schemas.openxmlformats.org/officeDocument/2006/relationships/hyperlink" Target="https://finance.yahoo.com/quote/AAPL/options/?straddle=false&amp;strike=260&amp;type=all" TargetMode="External"/><Relationship Id="rId3609" Type="http://schemas.openxmlformats.org/officeDocument/2006/relationships/hyperlink" Target="https://finance.yahoo.com/quote/AAPL251010C00257500/" TargetMode="External"/><Relationship Id="rId737" Type="http://schemas.openxmlformats.org/officeDocument/2006/relationships/hyperlink" Target="https://finance.yahoo.com/quote/AAPL251121P00125000/" TargetMode="External"/><Relationship Id="rId944" Type="http://schemas.openxmlformats.org/officeDocument/2006/relationships/hyperlink" Target="https://finance.yahoo.com/quote/AAPL/options/?straddle=false&amp;strike=320&amp;type=all" TargetMode="External"/><Relationship Id="rId1367" Type="http://schemas.openxmlformats.org/officeDocument/2006/relationships/hyperlink" Target="https://finance.yahoo.com/quote/AAPL260320P00100000/" TargetMode="External"/><Relationship Id="rId1574" Type="http://schemas.openxmlformats.org/officeDocument/2006/relationships/hyperlink" Target="https://finance.yahoo.com/quote/AAPL/options/?straddle=false&amp;strike=240&amp;type=all" TargetMode="External"/><Relationship Id="rId1781" Type="http://schemas.openxmlformats.org/officeDocument/2006/relationships/hyperlink" Target="https://finance.yahoo.com/quote/AAPL260618C00020000/" TargetMode="External"/><Relationship Id="rId2418" Type="http://schemas.openxmlformats.org/officeDocument/2006/relationships/hyperlink" Target="https://finance.yahoo.com/quote/AAPL/options/?straddle=false&amp;strike=15&amp;type=all" TargetMode="External"/><Relationship Id="rId2625" Type="http://schemas.openxmlformats.org/officeDocument/2006/relationships/hyperlink" Target="https://finance.yahoo.com/quote/AAPL261218P00280000/" TargetMode="External"/><Relationship Id="rId2832" Type="http://schemas.openxmlformats.org/officeDocument/2006/relationships/hyperlink" Target="https://finance.yahoo.com/quote/AAPL/options/?straddle=false&amp;strike=150&amp;type=all" TargetMode="External"/><Relationship Id="rId73" Type="http://schemas.openxmlformats.org/officeDocument/2006/relationships/hyperlink" Target="https://finance.yahoo.com/quote/AAPL251017C00250000/" TargetMode="External"/><Relationship Id="rId804" Type="http://schemas.openxmlformats.org/officeDocument/2006/relationships/hyperlink" Target="https://finance.yahoo.com/quote/AAPL/options/?straddle=false&amp;strike=290&amp;type=all" TargetMode="External"/><Relationship Id="rId1227" Type="http://schemas.openxmlformats.org/officeDocument/2006/relationships/hyperlink" Target="https://finance.yahoo.com/quote/AAPL260220P00170000/" TargetMode="External"/><Relationship Id="rId1434" Type="http://schemas.openxmlformats.org/officeDocument/2006/relationships/hyperlink" Target="https://finance.yahoo.com/quote/AAPL/options/?straddle=false&amp;strike=350&amp;type=all" TargetMode="External"/><Relationship Id="rId1641" Type="http://schemas.openxmlformats.org/officeDocument/2006/relationships/hyperlink" Target="https://finance.yahoo.com/quote/AAPL260515C00195000/" TargetMode="External"/><Relationship Id="rId1879" Type="http://schemas.openxmlformats.org/officeDocument/2006/relationships/hyperlink" Target="https://finance.yahoo.com/quote/AAPL260618C00265000/" TargetMode="External"/><Relationship Id="rId3094" Type="http://schemas.openxmlformats.org/officeDocument/2006/relationships/hyperlink" Target="https://finance.yahoo.com/quote/AAPL/options/?straddle=false&amp;strike=310&amp;type=all" TargetMode="External"/><Relationship Id="rId1501" Type="http://schemas.openxmlformats.org/officeDocument/2006/relationships/hyperlink" Target="https://finance.yahoo.com/quote/AAPL260417C00290000/" TargetMode="External"/><Relationship Id="rId1739" Type="http://schemas.openxmlformats.org/officeDocument/2006/relationships/hyperlink" Target="https://finance.yahoo.com/quote/AAPL260515P00175000/" TargetMode="External"/><Relationship Id="rId1946" Type="http://schemas.openxmlformats.org/officeDocument/2006/relationships/hyperlink" Target="https://finance.yahoo.com/quote/AAPL/options/?straddle=false&amp;strike=90&amp;type=all" TargetMode="External"/><Relationship Id="rId3399" Type="http://schemas.openxmlformats.org/officeDocument/2006/relationships/hyperlink" Target="https://finance.yahoo.com/quote/AAPL271217P00400000/" TargetMode="External"/><Relationship Id="rId1806" Type="http://schemas.openxmlformats.org/officeDocument/2006/relationships/hyperlink" Target="https://finance.yahoo.com/quote/AAPL/options/?straddle=false&amp;strike=80&amp;type=all" TargetMode="External"/><Relationship Id="rId3161" Type="http://schemas.openxmlformats.org/officeDocument/2006/relationships/hyperlink" Target="https://finance.yahoo.com/quote/AAPL271217C00150000/" TargetMode="External"/><Relationship Id="rId3259" Type="http://schemas.openxmlformats.org/officeDocument/2006/relationships/hyperlink" Target="https://finance.yahoo.com/quote/AAPL271217C00395000/" TargetMode="External"/><Relationship Id="rId3466" Type="http://schemas.openxmlformats.org/officeDocument/2006/relationships/hyperlink" Target="https://finance.yahoo.com/quote/AAPL/options/?straddle=false&amp;strike=360&amp;type=all" TargetMode="External"/><Relationship Id="rId387" Type="http://schemas.openxmlformats.org/officeDocument/2006/relationships/hyperlink" Target="https://finance.yahoo.com/quote/AAPL251024P00275000/" TargetMode="External"/><Relationship Id="rId594" Type="http://schemas.openxmlformats.org/officeDocument/2006/relationships/hyperlink" Target="https://finance.yahoo.com/quote/AAPL/options/?straddle=false&amp;strike=190&amp;type=all" TargetMode="External"/><Relationship Id="rId2068" Type="http://schemas.openxmlformats.org/officeDocument/2006/relationships/hyperlink" Target="https://finance.yahoo.com/quote/AAPL/options/?straddle=false&amp;strike=165&amp;type=all" TargetMode="External"/><Relationship Id="rId2275" Type="http://schemas.openxmlformats.org/officeDocument/2006/relationships/hyperlink" Target="https://finance.yahoo.com/quote/AAPL260918C00290000/" TargetMode="External"/><Relationship Id="rId3021" Type="http://schemas.openxmlformats.org/officeDocument/2006/relationships/hyperlink" Target="https://finance.yahoo.com/quote/AAPL270617P00075000/" TargetMode="External"/><Relationship Id="rId3119" Type="http://schemas.openxmlformats.org/officeDocument/2006/relationships/hyperlink" Target="https://finance.yahoo.com/quote/AAPL270617P00450000/" TargetMode="External"/><Relationship Id="rId3326" Type="http://schemas.openxmlformats.org/officeDocument/2006/relationships/hyperlink" Target="https://finance.yahoo.com/quote/AAPL/options/?straddle=false&amp;strike=165&amp;type=all" TargetMode="External"/><Relationship Id="rId3673" Type="http://schemas.openxmlformats.org/officeDocument/2006/relationships/hyperlink" Target="https://finance.yahoo.com/quote/AAPL251010P00195000/" TargetMode="External"/><Relationship Id="rId247" Type="http://schemas.openxmlformats.org/officeDocument/2006/relationships/hyperlink" Target="https://finance.yahoo.com/quote/AAPL251017P00335000/" TargetMode="External"/><Relationship Id="rId899" Type="http://schemas.openxmlformats.org/officeDocument/2006/relationships/hyperlink" Target="https://finance.yahoo.com/quote/AAPL260116C00210000/" TargetMode="External"/><Relationship Id="rId1084" Type="http://schemas.openxmlformats.org/officeDocument/2006/relationships/hyperlink" Target="https://finance.yahoo.com/quote/AAPL/options/?straddle=false&amp;strike=315&amp;type=all" TargetMode="External"/><Relationship Id="rId2482" Type="http://schemas.openxmlformats.org/officeDocument/2006/relationships/hyperlink" Target="https://finance.yahoo.com/quote/AAPL/options/?straddle=false&amp;strike=190&amp;type=all" TargetMode="External"/><Relationship Id="rId2787" Type="http://schemas.openxmlformats.org/officeDocument/2006/relationships/hyperlink" Target="https://finance.yahoo.com/quote/AAPL270115P00025000/" TargetMode="External"/><Relationship Id="rId3533" Type="http://schemas.openxmlformats.org/officeDocument/2006/relationships/hyperlink" Target="https://finance.yahoo.com/quote/AAPL280121P00290000/" TargetMode="External"/><Relationship Id="rId3740" Type="http://schemas.openxmlformats.org/officeDocument/2006/relationships/hyperlink" Target="https://finance.yahoo.com/quote/AAPL/options/?straddle=false&amp;strike=310&amp;type=all" TargetMode="External"/><Relationship Id="rId107" Type="http://schemas.openxmlformats.org/officeDocument/2006/relationships/hyperlink" Target="https://finance.yahoo.com/quote/AAPL251017C00310000/" TargetMode="External"/><Relationship Id="rId454" Type="http://schemas.openxmlformats.org/officeDocument/2006/relationships/hyperlink" Target="https://finance.yahoo.com/quote/AAPL/options/?straddle=false&amp;strike=300&amp;type=all" TargetMode="External"/><Relationship Id="rId661" Type="http://schemas.openxmlformats.org/officeDocument/2006/relationships/hyperlink" Target="https://finance.yahoo.com/quote/AAPL251121C00190000/" TargetMode="External"/><Relationship Id="rId759" Type="http://schemas.openxmlformats.org/officeDocument/2006/relationships/hyperlink" Target="https://finance.yahoo.com/quote/AAPL251121P00180000/" TargetMode="External"/><Relationship Id="rId966" Type="http://schemas.openxmlformats.org/officeDocument/2006/relationships/hyperlink" Target="https://finance.yahoo.com/quote/AAPL/options/?straddle=false&amp;strike=20&amp;type=all" TargetMode="External"/><Relationship Id="rId1291" Type="http://schemas.openxmlformats.org/officeDocument/2006/relationships/hyperlink" Target="https://finance.yahoo.com/quote/AAPL260320C00110000/" TargetMode="External"/><Relationship Id="rId1389" Type="http://schemas.openxmlformats.org/officeDocument/2006/relationships/hyperlink" Target="https://finance.yahoo.com/quote/AAPL260320P00155000/" TargetMode="External"/><Relationship Id="rId1596" Type="http://schemas.openxmlformats.org/officeDocument/2006/relationships/hyperlink" Target="https://finance.yahoo.com/quote/AAPL/options/?straddle=false&amp;strike=300&amp;type=all" TargetMode="External"/><Relationship Id="rId2135" Type="http://schemas.openxmlformats.org/officeDocument/2006/relationships/hyperlink" Target="https://finance.yahoo.com/quote/AAPL260821P00165000/" TargetMode="External"/><Relationship Id="rId2342" Type="http://schemas.openxmlformats.org/officeDocument/2006/relationships/hyperlink" Target="https://finance.yahoo.com/quote/AAPL/options/?straddle=false&amp;strike=150&amp;type=all" TargetMode="External"/><Relationship Id="rId2647" Type="http://schemas.openxmlformats.org/officeDocument/2006/relationships/hyperlink" Target="https://finance.yahoo.com/quote/AAPL261218P00400000/" TargetMode="External"/><Relationship Id="rId2994" Type="http://schemas.openxmlformats.org/officeDocument/2006/relationships/hyperlink" Target="https://finance.yahoo.com/quote/AAPL/options/?straddle=false&amp;strike=370&amp;type=all" TargetMode="External"/><Relationship Id="rId3600" Type="http://schemas.openxmlformats.org/officeDocument/2006/relationships/hyperlink" Target="https://finance.yahoo.com/quote/AAPL/options/?straddle=false&amp;strike=245&amp;type=all" TargetMode="External"/><Relationship Id="rId314" Type="http://schemas.openxmlformats.org/officeDocument/2006/relationships/hyperlink" Target="https://finance.yahoo.com/quote/AAPL/options/?straddle=false&amp;strike=295&amp;type=all" TargetMode="External"/><Relationship Id="rId521" Type="http://schemas.openxmlformats.org/officeDocument/2006/relationships/hyperlink" Target="https://finance.yahoo.com/quote/AAPL251031P00260000/" TargetMode="External"/><Relationship Id="rId619" Type="http://schemas.openxmlformats.org/officeDocument/2006/relationships/hyperlink" Target="https://finance.yahoo.com/quote/AAPL251107P00255000/" TargetMode="External"/><Relationship Id="rId1151" Type="http://schemas.openxmlformats.org/officeDocument/2006/relationships/hyperlink" Target="https://finance.yahoo.com/quote/AAPL260220C00235000/" TargetMode="External"/><Relationship Id="rId1249" Type="http://schemas.openxmlformats.org/officeDocument/2006/relationships/hyperlink" Target="https://finance.yahoo.com/quote/AAPL260220P00225000/" TargetMode="External"/><Relationship Id="rId2202" Type="http://schemas.openxmlformats.org/officeDocument/2006/relationships/hyperlink" Target="https://finance.yahoo.com/quote/AAPL/options/?straddle=false&amp;strike=105&amp;type=all" TargetMode="External"/><Relationship Id="rId2854" Type="http://schemas.openxmlformats.org/officeDocument/2006/relationships/hyperlink" Target="https://finance.yahoo.com/quote/AAPL/options/?straddle=false&amp;strike=210&amp;type=all" TargetMode="External"/><Relationship Id="rId95" Type="http://schemas.openxmlformats.org/officeDocument/2006/relationships/hyperlink" Target="https://finance.yahoo.com/quote/AAPL251017C00280000/" TargetMode="External"/><Relationship Id="rId826" Type="http://schemas.openxmlformats.org/officeDocument/2006/relationships/hyperlink" Target="https://finance.yahoo.com/quote/AAPL/options/?straddle=false&amp;strike=25&amp;type=all" TargetMode="External"/><Relationship Id="rId1011" Type="http://schemas.openxmlformats.org/officeDocument/2006/relationships/hyperlink" Target="https://finance.yahoo.com/quote/AAPL260116P00135000/" TargetMode="External"/><Relationship Id="rId1109" Type="http://schemas.openxmlformats.org/officeDocument/2006/relationships/hyperlink" Target="https://finance.yahoo.com/quote/AAPL260220C00130000/" TargetMode="External"/><Relationship Id="rId1456" Type="http://schemas.openxmlformats.org/officeDocument/2006/relationships/hyperlink" Target="https://finance.yahoo.com/quote/AAPL/options/?straddle=false&amp;strike=175&amp;type=all" TargetMode="External"/><Relationship Id="rId1663" Type="http://schemas.openxmlformats.org/officeDocument/2006/relationships/hyperlink" Target="https://finance.yahoo.com/quote/AAPL260515C00300000/" TargetMode="External"/><Relationship Id="rId1870" Type="http://schemas.openxmlformats.org/officeDocument/2006/relationships/hyperlink" Target="https://finance.yahoo.com/quote/AAPL/options/?straddle=false&amp;strike=240&amp;type=all" TargetMode="External"/><Relationship Id="rId1968" Type="http://schemas.openxmlformats.org/officeDocument/2006/relationships/hyperlink" Target="https://finance.yahoo.com/quote/AAPL/options/?straddle=false&amp;strike=145&amp;type=all" TargetMode="External"/><Relationship Id="rId2507" Type="http://schemas.openxmlformats.org/officeDocument/2006/relationships/hyperlink" Target="https://finance.yahoo.com/quote/AAPL261218C00310000/" TargetMode="External"/><Relationship Id="rId2714" Type="http://schemas.openxmlformats.org/officeDocument/2006/relationships/hyperlink" Target="https://finance.yahoo.com/quote/AAPL/options/?straddle=false&amp;strike=165&amp;type=all" TargetMode="External"/><Relationship Id="rId2921" Type="http://schemas.openxmlformats.org/officeDocument/2006/relationships/hyperlink" Target="https://finance.yahoo.com/quote/AAPL270617C00105000/" TargetMode="External"/><Relationship Id="rId1316" Type="http://schemas.openxmlformats.org/officeDocument/2006/relationships/hyperlink" Target="https://finance.yahoo.com/quote/AAPL/options/?straddle=false&amp;strike=170&amp;type=all" TargetMode="External"/><Relationship Id="rId1523" Type="http://schemas.openxmlformats.org/officeDocument/2006/relationships/hyperlink" Target="https://finance.yahoo.com/quote/AAPL260417C00370000/" TargetMode="External"/><Relationship Id="rId1730" Type="http://schemas.openxmlformats.org/officeDocument/2006/relationships/hyperlink" Target="https://finance.yahoo.com/quote/AAPL/options/?straddle=false&amp;strike=150&amp;type=all" TargetMode="External"/><Relationship Id="rId3183" Type="http://schemas.openxmlformats.org/officeDocument/2006/relationships/hyperlink" Target="https://finance.yahoo.com/quote/AAPL271217C00205000/" TargetMode="External"/><Relationship Id="rId3390" Type="http://schemas.openxmlformats.org/officeDocument/2006/relationships/hyperlink" Target="https://finance.yahoo.com/quote/AAPL/options/?straddle=false&amp;strike=325&amp;type=all" TargetMode="External"/><Relationship Id="rId22" Type="http://schemas.openxmlformats.org/officeDocument/2006/relationships/hyperlink" Target="https://finance.yahoo.com/quote/AAPL/options/?straddle=false&amp;strike=155&amp;type=all" TargetMode="External"/><Relationship Id="rId1828" Type="http://schemas.openxmlformats.org/officeDocument/2006/relationships/hyperlink" Target="https://finance.yahoo.com/quote/AAPL/options/?straddle=false&amp;strike=135&amp;type=all" TargetMode="External"/><Relationship Id="rId3043" Type="http://schemas.openxmlformats.org/officeDocument/2006/relationships/hyperlink" Target="https://finance.yahoo.com/quote/AAPL270617P00130000/" TargetMode="External"/><Relationship Id="rId3250" Type="http://schemas.openxmlformats.org/officeDocument/2006/relationships/hyperlink" Target="https://finance.yahoo.com/quote/AAPL/options/?straddle=false&amp;strike=370&amp;type=all" TargetMode="External"/><Relationship Id="rId3488" Type="http://schemas.openxmlformats.org/officeDocument/2006/relationships/hyperlink" Target="https://finance.yahoo.com/quote/AAPL/options/?straddle=false&amp;strike=110&amp;type=all" TargetMode="External"/><Relationship Id="rId3695" Type="http://schemas.openxmlformats.org/officeDocument/2006/relationships/hyperlink" Target="https://finance.yahoo.com/quote/AAPL251010P00232500/" TargetMode="External"/><Relationship Id="rId171" Type="http://schemas.openxmlformats.org/officeDocument/2006/relationships/hyperlink" Target="https://finance.yahoo.com/quote/AAPL251017P00190000/" TargetMode="External"/><Relationship Id="rId2297" Type="http://schemas.openxmlformats.org/officeDocument/2006/relationships/hyperlink" Target="https://finance.yahoo.com/quote/AAPL260918C00390000/" TargetMode="External"/><Relationship Id="rId3348" Type="http://schemas.openxmlformats.org/officeDocument/2006/relationships/hyperlink" Target="https://finance.yahoo.com/quote/AAPL/options/?straddle=false&amp;strike=220&amp;type=all" TargetMode="External"/><Relationship Id="rId3555" Type="http://schemas.openxmlformats.org/officeDocument/2006/relationships/hyperlink" Target="https://finance.yahoo.com/quote/AAPL251010C00165000/" TargetMode="External"/><Relationship Id="rId269" Type="http://schemas.openxmlformats.org/officeDocument/2006/relationships/hyperlink" Target="https://finance.yahoo.com/quote/AAPL251024C00185000/" TargetMode="External"/><Relationship Id="rId476" Type="http://schemas.openxmlformats.org/officeDocument/2006/relationships/hyperlink" Target="https://finance.yahoo.com/quote/AAPL/options/?straddle=false&amp;strike=145&amp;type=all" TargetMode="External"/><Relationship Id="rId683" Type="http://schemas.openxmlformats.org/officeDocument/2006/relationships/hyperlink" Target="https://finance.yahoo.com/quote/AAPL251121C00245000/" TargetMode="External"/><Relationship Id="rId890" Type="http://schemas.openxmlformats.org/officeDocument/2006/relationships/hyperlink" Target="https://finance.yahoo.com/quote/AAPL/options/?straddle=false&amp;strike=185&amp;type=all" TargetMode="External"/><Relationship Id="rId2157" Type="http://schemas.openxmlformats.org/officeDocument/2006/relationships/hyperlink" Target="https://finance.yahoo.com/quote/AAPL260821P00240000/" TargetMode="External"/><Relationship Id="rId2364" Type="http://schemas.openxmlformats.org/officeDocument/2006/relationships/hyperlink" Target="https://finance.yahoo.com/quote/AAPL/options/?straddle=false&amp;strike=205&amp;type=all" TargetMode="External"/><Relationship Id="rId2571" Type="http://schemas.openxmlformats.org/officeDocument/2006/relationships/hyperlink" Target="https://finance.yahoo.com/quote/AAPL261218P00105000/" TargetMode="External"/><Relationship Id="rId3110" Type="http://schemas.openxmlformats.org/officeDocument/2006/relationships/hyperlink" Target="https://finance.yahoo.com/quote/AAPL/options/?straddle=false&amp;strike=400&amp;type=all" TargetMode="External"/><Relationship Id="rId3208" Type="http://schemas.openxmlformats.org/officeDocument/2006/relationships/hyperlink" Target="https://finance.yahoo.com/quote/AAPL/options/?straddle=false&amp;strike=265&amp;type=all" TargetMode="External"/><Relationship Id="rId3415" Type="http://schemas.openxmlformats.org/officeDocument/2006/relationships/hyperlink" Target="https://finance.yahoo.com/quote/AAPL280121C00150000/" TargetMode="External"/><Relationship Id="rId129" Type="http://schemas.openxmlformats.org/officeDocument/2006/relationships/hyperlink" Target="https://finance.yahoo.com/quote/AAPL251017C00370000/" TargetMode="External"/><Relationship Id="rId336" Type="http://schemas.openxmlformats.org/officeDocument/2006/relationships/hyperlink" Target="https://finance.yahoo.com/quote/AAPL/options/?straddle=false&amp;strike=145&amp;type=all" TargetMode="External"/><Relationship Id="rId543" Type="http://schemas.openxmlformats.org/officeDocument/2006/relationships/hyperlink" Target="https://finance.yahoo.com/quote/AAPL251107C00120000/" TargetMode="External"/><Relationship Id="rId988" Type="http://schemas.openxmlformats.org/officeDocument/2006/relationships/hyperlink" Target="https://finance.yahoo.com/quote/AAPL/options/?straddle=false&amp;strike=75&amp;type=all" TargetMode="External"/><Relationship Id="rId1173" Type="http://schemas.openxmlformats.org/officeDocument/2006/relationships/hyperlink" Target="https://finance.yahoo.com/quote/AAPL260220C00290000/" TargetMode="External"/><Relationship Id="rId1380" Type="http://schemas.openxmlformats.org/officeDocument/2006/relationships/hyperlink" Target="https://finance.yahoo.com/quote/AAPL/options/?straddle=false&amp;strike=130&amp;type=all" TargetMode="External"/><Relationship Id="rId2017" Type="http://schemas.openxmlformats.org/officeDocument/2006/relationships/hyperlink" Target="https://finance.yahoo.com/quote/AAPL260618P00270000/" TargetMode="External"/><Relationship Id="rId2224" Type="http://schemas.openxmlformats.org/officeDocument/2006/relationships/hyperlink" Target="https://finance.yahoo.com/quote/AAPL/options/?straddle=false&amp;strike=160&amp;type=all" TargetMode="External"/><Relationship Id="rId2669" Type="http://schemas.openxmlformats.org/officeDocument/2006/relationships/hyperlink" Target="https://finance.yahoo.com/quote/AAPL270115C00040000/" TargetMode="External"/><Relationship Id="rId2876" Type="http://schemas.openxmlformats.org/officeDocument/2006/relationships/hyperlink" Target="https://finance.yahoo.com/quote/AAPL/options/?straddle=false&amp;strike=320&amp;type=all" TargetMode="External"/><Relationship Id="rId3622" Type="http://schemas.openxmlformats.org/officeDocument/2006/relationships/hyperlink" Target="https://finance.yahoo.com/quote/AAPL/options/?straddle=false&amp;strike=272.5&amp;type=all" TargetMode="External"/><Relationship Id="rId403" Type="http://schemas.openxmlformats.org/officeDocument/2006/relationships/hyperlink" Target="https://finance.yahoo.com/quote/AAPL251031C00170000/" TargetMode="External"/><Relationship Id="rId750" Type="http://schemas.openxmlformats.org/officeDocument/2006/relationships/hyperlink" Target="https://finance.yahoo.com/quote/AAPL/options/?straddle=false&amp;strike=155&amp;type=all" TargetMode="External"/><Relationship Id="rId848" Type="http://schemas.openxmlformats.org/officeDocument/2006/relationships/hyperlink" Target="https://finance.yahoo.com/quote/AAPL/options/?straddle=false&amp;strike=80&amp;type=all" TargetMode="External"/><Relationship Id="rId1033" Type="http://schemas.openxmlformats.org/officeDocument/2006/relationships/hyperlink" Target="https://finance.yahoo.com/quote/AAPL260116P00190000/" TargetMode="External"/><Relationship Id="rId1478" Type="http://schemas.openxmlformats.org/officeDocument/2006/relationships/hyperlink" Target="https://finance.yahoo.com/quote/AAPL/options/?straddle=false&amp;strike=230&amp;type=all" TargetMode="External"/><Relationship Id="rId1685" Type="http://schemas.openxmlformats.org/officeDocument/2006/relationships/hyperlink" Target="https://finance.yahoo.com/quote/AAPL260515P00005000/" TargetMode="External"/><Relationship Id="rId1892" Type="http://schemas.openxmlformats.org/officeDocument/2006/relationships/hyperlink" Target="https://finance.yahoo.com/quote/AAPL/options/?straddle=false&amp;strike=300&amp;type=all" TargetMode="External"/><Relationship Id="rId2431" Type="http://schemas.openxmlformats.org/officeDocument/2006/relationships/hyperlink" Target="https://finance.yahoo.com/quote/AAPL261218C00050000/" TargetMode="External"/><Relationship Id="rId2529" Type="http://schemas.openxmlformats.org/officeDocument/2006/relationships/hyperlink" Target="https://finance.yahoo.com/quote/AAPL261218C00420000/" TargetMode="External"/><Relationship Id="rId2736" Type="http://schemas.openxmlformats.org/officeDocument/2006/relationships/hyperlink" Target="https://finance.yahoo.com/quote/AAPL/options/?straddle=false&amp;strike=240&amp;type=all" TargetMode="External"/><Relationship Id="rId610" Type="http://schemas.openxmlformats.org/officeDocument/2006/relationships/hyperlink" Target="https://finance.yahoo.com/quote/AAPL/options/?straddle=false&amp;strike=230&amp;type=all" TargetMode="External"/><Relationship Id="rId708" Type="http://schemas.openxmlformats.org/officeDocument/2006/relationships/hyperlink" Target="https://finance.yahoo.com/quote/AAPL/options/?straddle=false&amp;strike=305&amp;type=all" TargetMode="External"/><Relationship Id="rId915" Type="http://schemas.openxmlformats.org/officeDocument/2006/relationships/hyperlink" Target="https://finance.yahoo.com/quote/AAPL260116C00250000/" TargetMode="External"/><Relationship Id="rId1240" Type="http://schemas.openxmlformats.org/officeDocument/2006/relationships/hyperlink" Target="https://finance.yahoo.com/quote/AAPL/options/?straddle=false&amp;strike=200&amp;type=all" TargetMode="External"/><Relationship Id="rId1338" Type="http://schemas.openxmlformats.org/officeDocument/2006/relationships/hyperlink" Target="https://finance.yahoo.com/quote/AAPL/options/?straddle=false&amp;strike=250&amp;type=all" TargetMode="External"/><Relationship Id="rId1545" Type="http://schemas.openxmlformats.org/officeDocument/2006/relationships/hyperlink" Target="https://finance.yahoo.com/quote/AAPL260417P00170000/" TargetMode="External"/><Relationship Id="rId2943" Type="http://schemas.openxmlformats.org/officeDocument/2006/relationships/hyperlink" Target="https://finance.yahoo.com/quote/AAPL270617C00160000/" TargetMode="External"/><Relationship Id="rId1100" Type="http://schemas.openxmlformats.org/officeDocument/2006/relationships/hyperlink" Target="https://finance.yahoo.com/quote/AAPL/options/?straddle=false&amp;strike=100&amp;type=all" TargetMode="External"/><Relationship Id="rId1405" Type="http://schemas.openxmlformats.org/officeDocument/2006/relationships/hyperlink" Target="https://finance.yahoo.com/quote/AAPL260320P00195000/" TargetMode="External"/><Relationship Id="rId1752" Type="http://schemas.openxmlformats.org/officeDocument/2006/relationships/hyperlink" Target="https://finance.yahoo.com/quote/AAPL/options/?straddle=false&amp;strike=210&amp;type=all" TargetMode="External"/><Relationship Id="rId2803" Type="http://schemas.openxmlformats.org/officeDocument/2006/relationships/hyperlink" Target="https://finance.yahoo.com/quote/AAPL270115P00080000/" TargetMode="External"/><Relationship Id="rId44" Type="http://schemas.openxmlformats.org/officeDocument/2006/relationships/hyperlink" Target="https://finance.yahoo.com/quote/AAPL/options/?straddle=false&amp;strike=210&amp;type=all" TargetMode="External"/><Relationship Id="rId1612" Type="http://schemas.openxmlformats.org/officeDocument/2006/relationships/hyperlink" Target="https://finance.yahoo.com/quote/AAPL/options/?straddle=false&amp;strike=120&amp;type=all" TargetMode="External"/><Relationship Id="rId1917" Type="http://schemas.openxmlformats.org/officeDocument/2006/relationships/hyperlink" Target="https://finance.yahoo.com/quote/AAPL260618P00020000/" TargetMode="External"/><Relationship Id="rId3065" Type="http://schemas.openxmlformats.org/officeDocument/2006/relationships/hyperlink" Target="https://finance.yahoo.com/quote/AAPL270617P00185000/" TargetMode="External"/><Relationship Id="rId3272" Type="http://schemas.openxmlformats.org/officeDocument/2006/relationships/hyperlink" Target="https://finance.yahoo.com/quote/AAPL/options/?straddle=false&amp;strike=425&amp;type=all" TargetMode="External"/><Relationship Id="rId193" Type="http://schemas.openxmlformats.org/officeDocument/2006/relationships/hyperlink" Target="https://finance.yahoo.com/quote/AAPL251017P00230000/" TargetMode="External"/><Relationship Id="rId498" Type="http://schemas.openxmlformats.org/officeDocument/2006/relationships/hyperlink" Target="https://finance.yahoo.com/quote/AAPL/options/?straddle=false&amp;strike=200&amp;type=all" TargetMode="External"/><Relationship Id="rId2081" Type="http://schemas.openxmlformats.org/officeDocument/2006/relationships/hyperlink" Target="https://finance.yahoo.com/quote/AAPL260821C00200000/" TargetMode="External"/><Relationship Id="rId2179" Type="http://schemas.openxmlformats.org/officeDocument/2006/relationships/hyperlink" Target="https://finance.yahoo.com/quote/AAPL260918C00050000/" TargetMode="External"/><Relationship Id="rId3132" Type="http://schemas.openxmlformats.org/officeDocument/2006/relationships/hyperlink" Target="https://finance.yahoo.com/quote/AAPL/options/?straddle=false&amp;strike=75&amp;type=all" TargetMode="External"/><Relationship Id="rId3577" Type="http://schemas.openxmlformats.org/officeDocument/2006/relationships/hyperlink" Target="https://finance.yahoo.com/quote/AAPL251010C00217500/" TargetMode="External"/><Relationship Id="rId260" Type="http://schemas.openxmlformats.org/officeDocument/2006/relationships/hyperlink" Target="https://finance.yahoo.com/quote/AAPL/options/?straddle=false&amp;strike=140&amp;type=all" TargetMode="External"/><Relationship Id="rId2386" Type="http://schemas.openxmlformats.org/officeDocument/2006/relationships/hyperlink" Target="https://finance.yahoo.com/quote/AAPL/options/?straddle=false&amp;strike=260&amp;type=all" TargetMode="External"/><Relationship Id="rId2593" Type="http://schemas.openxmlformats.org/officeDocument/2006/relationships/hyperlink" Target="https://finance.yahoo.com/quote/AAPL261218P00160000/" TargetMode="External"/><Relationship Id="rId3437" Type="http://schemas.openxmlformats.org/officeDocument/2006/relationships/hyperlink" Target="https://finance.yahoo.com/quote/AAPL280121C00220000/" TargetMode="External"/><Relationship Id="rId3644" Type="http://schemas.openxmlformats.org/officeDocument/2006/relationships/hyperlink" Target="https://finance.yahoo.com/quote/AAPL/options/?straddle=false&amp;strike=325&amp;type=all" TargetMode="External"/><Relationship Id="rId120" Type="http://schemas.openxmlformats.org/officeDocument/2006/relationships/hyperlink" Target="https://finance.yahoo.com/quote/AAPL/options/?straddle=false&amp;strike=340&amp;type=all" TargetMode="External"/><Relationship Id="rId358" Type="http://schemas.openxmlformats.org/officeDocument/2006/relationships/hyperlink" Target="https://finance.yahoo.com/quote/AAPL/options/?straddle=false&amp;strike=200&amp;type=all" TargetMode="External"/><Relationship Id="rId565" Type="http://schemas.openxmlformats.org/officeDocument/2006/relationships/hyperlink" Target="https://finance.yahoo.com/quote/AAPL251107C00260000/" TargetMode="External"/><Relationship Id="rId772" Type="http://schemas.openxmlformats.org/officeDocument/2006/relationships/hyperlink" Target="https://finance.yahoo.com/quote/AAPL/options/?straddle=false&amp;strike=210&amp;type=all" TargetMode="External"/><Relationship Id="rId1195" Type="http://schemas.openxmlformats.org/officeDocument/2006/relationships/hyperlink" Target="https://finance.yahoo.com/quote/AAPL260220C00390000/" TargetMode="External"/><Relationship Id="rId2039" Type="http://schemas.openxmlformats.org/officeDocument/2006/relationships/hyperlink" Target="https://finance.yahoo.com/quote/AAPL260618P00360000/" TargetMode="External"/><Relationship Id="rId2246" Type="http://schemas.openxmlformats.org/officeDocument/2006/relationships/hyperlink" Target="https://finance.yahoo.com/quote/AAPL/options/?straddle=false&amp;strike=215&amp;type=all" TargetMode="External"/><Relationship Id="rId2453" Type="http://schemas.openxmlformats.org/officeDocument/2006/relationships/hyperlink" Target="https://finance.yahoo.com/quote/AAPL261218C00120000/" TargetMode="External"/><Relationship Id="rId2660" Type="http://schemas.openxmlformats.org/officeDocument/2006/relationships/hyperlink" Target="https://finance.yahoo.com/quote/AAPL/options/?straddle=false&amp;strike=15&amp;type=all" TargetMode="External"/><Relationship Id="rId2898" Type="http://schemas.openxmlformats.org/officeDocument/2006/relationships/hyperlink" Target="https://finance.yahoo.com/quote/AAPL/options/?straddle=false&amp;strike=450&amp;type=all" TargetMode="External"/><Relationship Id="rId3504" Type="http://schemas.openxmlformats.org/officeDocument/2006/relationships/hyperlink" Target="https://finance.yahoo.com/quote/AAPL/options/?straddle=false&amp;strike=170&amp;type=all" TargetMode="External"/><Relationship Id="rId3711" Type="http://schemas.openxmlformats.org/officeDocument/2006/relationships/hyperlink" Target="https://finance.yahoo.com/quote/AAPL251010P00252500/" TargetMode="External"/><Relationship Id="rId218" Type="http://schemas.openxmlformats.org/officeDocument/2006/relationships/hyperlink" Target="https://finance.yahoo.com/quote/AAPL/options/?straddle=false&amp;strike=260&amp;type=all" TargetMode="External"/><Relationship Id="rId425" Type="http://schemas.openxmlformats.org/officeDocument/2006/relationships/hyperlink" Target="https://finance.yahoo.com/quote/AAPL251031C00230000/" TargetMode="External"/><Relationship Id="rId632" Type="http://schemas.openxmlformats.org/officeDocument/2006/relationships/hyperlink" Target="https://finance.yahoo.com/quote/AAPL/options/?straddle=false&amp;strike=115&amp;type=all" TargetMode="External"/><Relationship Id="rId1055" Type="http://schemas.openxmlformats.org/officeDocument/2006/relationships/hyperlink" Target="https://finance.yahoo.com/quote/AAPL260116P00245000/" TargetMode="External"/><Relationship Id="rId1262" Type="http://schemas.openxmlformats.org/officeDocument/2006/relationships/hyperlink" Target="https://finance.yahoo.com/quote/AAPL/options/?straddle=false&amp;strike=255&amp;type=all" TargetMode="External"/><Relationship Id="rId2106" Type="http://schemas.openxmlformats.org/officeDocument/2006/relationships/hyperlink" Target="https://finance.yahoo.com/quote/AAPL/options/?straddle=false&amp;strike=320&amp;type=all" TargetMode="External"/><Relationship Id="rId2313" Type="http://schemas.openxmlformats.org/officeDocument/2006/relationships/hyperlink" Target="https://finance.yahoo.com/quote/AAPL260918P00080000/" TargetMode="External"/><Relationship Id="rId2520" Type="http://schemas.openxmlformats.org/officeDocument/2006/relationships/hyperlink" Target="https://finance.yahoo.com/quote/AAPL/options/?straddle=false&amp;strike=370&amp;type=all" TargetMode="External"/><Relationship Id="rId2758" Type="http://schemas.openxmlformats.org/officeDocument/2006/relationships/hyperlink" Target="https://finance.yahoo.com/quote/AAPL/options/?straddle=false&amp;strike=350&amp;type=all" TargetMode="External"/><Relationship Id="rId2965" Type="http://schemas.openxmlformats.org/officeDocument/2006/relationships/hyperlink" Target="https://finance.yahoo.com/quote/AAPL270617C00230000/" TargetMode="External"/><Relationship Id="rId937" Type="http://schemas.openxmlformats.org/officeDocument/2006/relationships/hyperlink" Target="https://finance.yahoo.com/quote/AAPL260116C00305000/" TargetMode="External"/><Relationship Id="rId1122" Type="http://schemas.openxmlformats.org/officeDocument/2006/relationships/hyperlink" Target="https://finance.yahoo.com/quote/AAPL/options/?straddle=false&amp;strike=160&amp;type=all" TargetMode="External"/><Relationship Id="rId1567" Type="http://schemas.openxmlformats.org/officeDocument/2006/relationships/hyperlink" Target="https://finance.yahoo.com/quote/AAPL260417P00225000/" TargetMode="External"/><Relationship Id="rId1774" Type="http://schemas.openxmlformats.org/officeDocument/2006/relationships/hyperlink" Target="https://finance.yahoo.com/quote/AAPL/options/?straddle=false&amp;strike=400&amp;type=all" TargetMode="External"/><Relationship Id="rId1981" Type="http://schemas.openxmlformats.org/officeDocument/2006/relationships/hyperlink" Target="https://finance.yahoo.com/quote/AAPL260618P00180000/" TargetMode="External"/><Relationship Id="rId2618" Type="http://schemas.openxmlformats.org/officeDocument/2006/relationships/hyperlink" Target="https://finance.yahoo.com/quote/AAPL/options/?straddle=false&amp;strike=240&amp;type=all" TargetMode="External"/><Relationship Id="rId2825" Type="http://schemas.openxmlformats.org/officeDocument/2006/relationships/hyperlink" Target="https://finance.yahoo.com/quote/AAPL270115P00135000/" TargetMode="External"/><Relationship Id="rId66" Type="http://schemas.openxmlformats.org/officeDocument/2006/relationships/hyperlink" Target="https://finance.yahoo.com/quote/AAPL/options/?straddle=false&amp;strike=240&amp;type=all" TargetMode="External"/><Relationship Id="rId1427" Type="http://schemas.openxmlformats.org/officeDocument/2006/relationships/hyperlink" Target="https://finance.yahoo.com/quote/AAPL260320P00300000/" TargetMode="External"/><Relationship Id="rId1634" Type="http://schemas.openxmlformats.org/officeDocument/2006/relationships/hyperlink" Target="https://finance.yahoo.com/quote/AAPL/options/?straddle=false&amp;strike=175&amp;type=all" TargetMode="External"/><Relationship Id="rId1841" Type="http://schemas.openxmlformats.org/officeDocument/2006/relationships/hyperlink" Target="https://finance.yahoo.com/quote/AAPL260618C00170000/" TargetMode="External"/><Relationship Id="rId3087" Type="http://schemas.openxmlformats.org/officeDocument/2006/relationships/hyperlink" Target="https://finance.yahoo.com/quote/AAPL270617P00280000/" TargetMode="External"/><Relationship Id="rId3294" Type="http://schemas.openxmlformats.org/officeDocument/2006/relationships/hyperlink" Target="https://finance.yahoo.com/quote/AAPL/options/?straddle=false&amp;strike=85&amp;type=all" TargetMode="External"/><Relationship Id="rId1939" Type="http://schemas.openxmlformats.org/officeDocument/2006/relationships/hyperlink" Target="https://finance.yahoo.com/quote/AAPL260618P00075000/" TargetMode="External"/><Relationship Id="rId3599" Type="http://schemas.openxmlformats.org/officeDocument/2006/relationships/hyperlink" Target="https://finance.yahoo.com/quote/AAPL251010C00245000/" TargetMode="External"/><Relationship Id="rId1701" Type="http://schemas.openxmlformats.org/officeDocument/2006/relationships/hyperlink" Target="https://finance.yahoo.com/quote/AAPL260515P00080000/" TargetMode="External"/><Relationship Id="rId3154" Type="http://schemas.openxmlformats.org/officeDocument/2006/relationships/hyperlink" Target="https://finance.yahoo.com/quote/AAPL/options/?straddle=false&amp;strike=130&amp;type=all" TargetMode="External"/><Relationship Id="rId3361" Type="http://schemas.openxmlformats.org/officeDocument/2006/relationships/hyperlink" Target="https://finance.yahoo.com/quote/AAPL271217P00255000/" TargetMode="External"/><Relationship Id="rId3459" Type="http://schemas.openxmlformats.org/officeDocument/2006/relationships/hyperlink" Target="https://finance.yahoo.com/quote/AAPL280121C00330000/" TargetMode="External"/><Relationship Id="rId3666" Type="http://schemas.openxmlformats.org/officeDocument/2006/relationships/hyperlink" Target="https://finance.yahoo.com/quote/AAPL/options/?straddle=false&amp;strike=175&amp;type=all" TargetMode="External"/><Relationship Id="rId282" Type="http://schemas.openxmlformats.org/officeDocument/2006/relationships/hyperlink" Target="https://finance.yahoo.com/quote/AAPL/options/?straddle=false&amp;strike=215&amp;type=all" TargetMode="External"/><Relationship Id="rId587" Type="http://schemas.openxmlformats.org/officeDocument/2006/relationships/hyperlink" Target="https://finance.yahoo.com/quote/AAPL251107C00325000/" TargetMode="External"/><Relationship Id="rId2170" Type="http://schemas.openxmlformats.org/officeDocument/2006/relationships/hyperlink" Target="https://finance.yahoo.com/quote/AAPL/options/?straddle=false&amp;strike=300&amp;type=all" TargetMode="External"/><Relationship Id="rId2268" Type="http://schemas.openxmlformats.org/officeDocument/2006/relationships/hyperlink" Target="https://finance.yahoo.com/quote/AAPL/options/?straddle=false&amp;strike=270&amp;type=all" TargetMode="External"/><Relationship Id="rId3014" Type="http://schemas.openxmlformats.org/officeDocument/2006/relationships/hyperlink" Target="https://finance.yahoo.com/quote/AAPL/options/?straddle=false&amp;strike=55&amp;type=all" TargetMode="External"/><Relationship Id="rId3221" Type="http://schemas.openxmlformats.org/officeDocument/2006/relationships/hyperlink" Target="https://finance.yahoo.com/quote/AAPL271217C00300000/" TargetMode="External"/><Relationship Id="rId3319" Type="http://schemas.openxmlformats.org/officeDocument/2006/relationships/hyperlink" Target="https://finance.yahoo.com/quote/AAPL271217P00150000/" TargetMode="External"/><Relationship Id="rId8" Type="http://schemas.openxmlformats.org/officeDocument/2006/relationships/hyperlink" Target="https://finance.yahoo.com/quote/AAPL/options/?straddle=false&amp;strike=120&amp;type=all" TargetMode="External"/><Relationship Id="rId142" Type="http://schemas.openxmlformats.org/officeDocument/2006/relationships/hyperlink" Target="https://finance.yahoo.com/quote/AAPL/options/?straddle=false&amp;strike=115&amp;type=all" TargetMode="External"/><Relationship Id="rId447" Type="http://schemas.openxmlformats.org/officeDocument/2006/relationships/hyperlink" Target="https://finance.yahoo.com/quote/AAPL251031C00285000/" TargetMode="External"/><Relationship Id="rId794" Type="http://schemas.openxmlformats.org/officeDocument/2006/relationships/hyperlink" Target="https://finance.yahoo.com/quote/AAPL/options/?straddle=false&amp;strike=265&amp;type=all" TargetMode="External"/><Relationship Id="rId1077" Type="http://schemas.openxmlformats.org/officeDocument/2006/relationships/hyperlink" Target="https://finance.yahoo.com/quote/AAPL260116P00300000/" TargetMode="External"/><Relationship Id="rId2030" Type="http://schemas.openxmlformats.org/officeDocument/2006/relationships/hyperlink" Target="https://finance.yahoo.com/quote/AAPL/options/?straddle=false&amp;strike=310&amp;type=all" TargetMode="External"/><Relationship Id="rId2128" Type="http://schemas.openxmlformats.org/officeDocument/2006/relationships/hyperlink" Target="https://finance.yahoo.com/quote/AAPL/options/?straddle=false&amp;strike=145&amp;type=all" TargetMode="External"/><Relationship Id="rId2475" Type="http://schemas.openxmlformats.org/officeDocument/2006/relationships/hyperlink" Target="https://finance.yahoo.com/quote/AAPL261218C00175000/" TargetMode="External"/><Relationship Id="rId2682" Type="http://schemas.openxmlformats.org/officeDocument/2006/relationships/hyperlink" Target="https://finance.yahoo.com/quote/AAPL/options/?straddle=false&amp;strike=85&amp;type=all" TargetMode="External"/><Relationship Id="rId2987" Type="http://schemas.openxmlformats.org/officeDocument/2006/relationships/hyperlink" Target="https://finance.yahoo.com/quote/AAPL270617C00340000/" TargetMode="External"/><Relationship Id="rId3526" Type="http://schemas.openxmlformats.org/officeDocument/2006/relationships/hyperlink" Target="https://finance.yahoo.com/quote/AAPL/options/?straddle=false&amp;strike=250&amp;type=all" TargetMode="External"/><Relationship Id="rId3733" Type="http://schemas.openxmlformats.org/officeDocument/2006/relationships/hyperlink" Target="https://finance.yahoo.com/quote/AAPL251010P00290000/" TargetMode="External"/><Relationship Id="rId654" Type="http://schemas.openxmlformats.org/officeDocument/2006/relationships/hyperlink" Target="https://finance.yahoo.com/quote/AAPL/options/?straddle=false&amp;strike=170&amp;type=all" TargetMode="External"/><Relationship Id="rId861" Type="http://schemas.openxmlformats.org/officeDocument/2006/relationships/hyperlink" Target="https://finance.yahoo.com/quote/AAPL260116C00115000/" TargetMode="External"/><Relationship Id="rId959" Type="http://schemas.openxmlformats.org/officeDocument/2006/relationships/hyperlink" Target="https://finance.yahoo.com/quote/AAPL260116P00005000/" TargetMode="External"/><Relationship Id="rId1284" Type="http://schemas.openxmlformats.org/officeDocument/2006/relationships/hyperlink" Target="https://finance.yahoo.com/quote/AAPL/options/?straddle=false&amp;strike=90&amp;type=all" TargetMode="External"/><Relationship Id="rId1491" Type="http://schemas.openxmlformats.org/officeDocument/2006/relationships/hyperlink" Target="https://finance.yahoo.com/quote/AAPL260417C00265000/" TargetMode="External"/><Relationship Id="rId1589" Type="http://schemas.openxmlformats.org/officeDocument/2006/relationships/hyperlink" Target="https://finance.yahoo.com/quote/AAPL260417P00280000/" TargetMode="External"/><Relationship Id="rId2335" Type="http://schemas.openxmlformats.org/officeDocument/2006/relationships/hyperlink" Target="https://finance.yahoo.com/quote/AAPL260918P00135000/" TargetMode="External"/><Relationship Id="rId2542" Type="http://schemas.openxmlformats.org/officeDocument/2006/relationships/hyperlink" Target="https://finance.yahoo.com/quote/AAPL/options/?straddle=false&amp;strike=15&amp;type=all" TargetMode="External"/><Relationship Id="rId307" Type="http://schemas.openxmlformats.org/officeDocument/2006/relationships/hyperlink" Target="https://finance.yahoo.com/quote/AAPL251024C00280000/" TargetMode="External"/><Relationship Id="rId514" Type="http://schemas.openxmlformats.org/officeDocument/2006/relationships/hyperlink" Target="https://finance.yahoo.com/quote/AAPL/options/?straddle=false&amp;strike=240&amp;type=all" TargetMode="External"/><Relationship Id="rId721" Type="http://schemas.openxmlformats.org/officeDocument/2006/relationships/hyperlink" Target="https://finance.yahoo.com/quote/AAPL251121C00340000/" TargetMode="External"/><Relationship Id="rId1144" Type="http://schemas.openxmlformats.org/officeDocument/2006/relationships/hyperlink" Target="https://finance.yahoo.com/quote/AAPL/options/?straddle=false&amp;strike=215&amp;type=all" TargetMode="External"/><Relationship Id="rId1351" Type="http://schemas.openxmlformats.org/officeDocument/2006/relationships/hyperlink" Target="https://finance.yahoo.com/quote/AAPL260320C00320000/" TargetMode="External"/><Relationship Id="rId1449" Type="http://schemas.openxmlformats.org/officeDocument/2006/relationships/hyperlink" Target="https://finance.yahoo.com/quote/AAPL260417C00160000/" TargetMode="External"/><Relationship Id="rId1796" Type="http://schemas.openxmlformats.org/officeDocument/2006/relationships/hyperlink" Target="https://finance.yahoo.com/quote/AAPL/options/?straddle=false&amp;strike=55&amp;type=all" TargetMode="External"/><Relationship Id="rId2402" Type="http://schemas.openxmlformats.org/officeDocument/2006/relationships/hyperlink" Target="https://finance.yahoo.com/quote/AAPL/options/?straddle=false&amp;strike=300&amp;type=all" TargetMode="External"/><Relationship Id="rId2847" Type="http://schemas.openxmlformats.org/officeDocument/2006/relationships/hyperlink" Target="https://finance.yahoo.com/quote/AAPL270115P00190000/" TargetMode="External"/><Relationship Id="rId88" Type="http://schemas.openxmlformats.org/officeDocument/2006/relationships/hyperlink" Target="https://finance.yahoo.com/quote/AAPL/options/?straddle=false&amp;strike=267.5&amp;type=all" TargetMode="External"/><Relationship Id="rId819" Type="http://schemas.openxmlformats.org/officeDocument/2006/relationships/hyperlink" Target="https://finance.yahoo.com/quote/AAPL260116C00010000/" TargetMode="External"/><Relationship Id="rId1004" Type="http://schemas.openxmlformats.org/officeDocument/2006/relationships/hyperlink" Target="https://finance.yahoo.com/quote/AAPL/options/?straddle=false&amp;strike=115&amp;type=all" TargetMode="External"/><Relationship Id="rId1211" Type="http://schemas.openxmlformats.org/officeDocument/2006/relationships/hyperlink" Target="https://finance.yahoo.com/quote/AAPL260220P00130000/" TargetMode="External"/><Relationship Id="rId1656" Type="http://schemas.openxmlformats.org/officeDocument/2006/relationships/hyperlink" Target="https://finance.yahoo.com/quote/AAPL/options/?straddle=false&amp;strike=260&amp;type=all" TargetMode="External"/><Relationship Id="rId1863" Type="http://schemas.openxmlformats.org/officeDocument/2006/relationships/hyperlink" Target="https://finance.yahoo.com/quote/AAPL260618C00225000/" TargetMode="External"/><Relationship Id="rId2707" Type="http://schemas.openxmlformats.org/officeDocument/2006/relationships/hyperlink" Target="https://finance.yahoo.com/quote/AAPL270115C00150000/" TargetMode="External"/><Relationship Id="rId2914" Type="http://schemas.openxmlformats.org/officeDocument/2006/relationships/hyperlink" Target="https://finance.yahoo.com/quote/AAPL/options/?straddle=false&amp;strike=85&amp;type=all" TargetMode="External"/><Relationship Id="rId1309" Type="http://schemas.openxmlformats.org/officeDocument/2006/relationships/hyperlink" Target="https://finance.yahoo.com/quote/AAPL260320C00155000/" TargetMode="External"/><Relationship Id="rId1516" Type="http://schemas.openxmlformats.org/officeDocument/2006/relationships/hyperlink" Target="https://finance.yahoo.com/quote/AAPL/options/?straddle=false&amp;strike=325&amp;type=all" TargetMode="External"/><Relationship Id="rId1723" Type="http://schemas.openxmlformats.org/officeDocument/2006/relationships/hyperlink" Target="https://finance.yahoo.com/quote/AAPL260515P00135000/" TargetMode="External"/><Relationship Id="rId1930" Type="http://schemas.openxmlformats.org/officeDocument/2006/relationships/hyperlink" Target="https://finance.yahoo.com/quote/AAPL/options/?straddle=false&amp;strike=50&amp;type=all" TargetMode="External"/><Relationship Id="rId3176" Type="http://schemas.openxmlformats.org/officeDocument/2006/relationships/hyperlink" Target="https://finance.yahoo.com/quote/AAPL/options/?straddle=false&amp;strike=185&amp;type=all" TargetMode="External"/><Relationship Id="rId3383" Type="http://schemas.openxmlformats.org/officeDocument/2006/relationships/hyperlink" Target="https://finance.yahoo.com/quote/AAPL271217P00310000/" TargetMode="External"/><Relationship Id="rId3590" Type="http://schemas.openxmlformats.org/officeDocument/2006/relationships/hyperlink" Target="https://finance.yahoo.com/quote/AAPL/options/?straddle=false&amp;strike=232.5&amp;type=all" TargetMode="External"/><Relationship Id="rId15" Type="http://schemas.openxmlformats.org/officeDocument/2006/relationships/hyperlink" Target="https://finance.yahoo.com/quote/AAPL251017C00140000/" TargetMode="External"/><Relationship Id="rId2192" Type="http://schemas.openxmlformats.org/officeDocument/2006/relationships/hyperlink" Target="https://finance.yahoo.com/quote/AAPL/options/?straddle=false&amp;strike=80&amp;type=all" TargetMode="External"/><Relationship Id="rId3036" Type="http://schemas.openxmlformats.org/officeDocument/2006/relationships/hyperlink" Target="https://finance.yahoo.com/quote/AAPL/options/?straddle=false&amp;strike=110&amp;type=all" TargetMode="External"/><Relationship Id="rId3243" Type="http://schemas.openxmlformats.org/officeDocument/2006/relationships/hyperlink" Target="https://finance.yahoo.com/quote/AAPL271217C00355000/" TargetMode="External"/><Relationship Id="rId3688" Type="http://schemas.openxmlformats.org/officeDocument/2006/relationships/hyperlink" Target="https://finance.yahoo.com/quote/AAPL/options/?straddle=false&amp;strike=222.5&amp;type=all" TargetMode="External"/><Relationship Id="rId164" Type="http://schemas.openxmlformats.org/officeDocument/2006/relationships/hyperlink" Target="https://finance.yahoo.com/quote/AAPL/options/?straddle=false&amp;strike=170&amp;type=all" TargetMode="External"/><Relationship Id="rId371" Type="http://schemas.openxmlformats.org/officeDocument/2006/relationships/hyperlink" Target="https://finance.yahoo.com/quote/AAPL251024P00235000/" TargetMode="External"/><Relationship Id="rId2052" Type="http://schemas.openxmlformats.org/officeDocument/2006/relationships/hyperlink" Target="https://finance.yahoo.com/quote/AAPL/options/?straddle=false&amp;strike=125&amp;type=all" TargetMode="External"/><Relationship Id="rId2497" Type="http://schemas.openxmlformats.org/officeDocument/2006/relationships/hyperlink" Target="https://finance.yahoo.com/quote/AAPL261218C00260000/" TargetMode="External"/><Relationship Id="rId3450" Type="http://schemas.openxmlformats.org/officeDocument/2006/relationships/hyperlink" Target="https://finance.yahoo.com/quote/AAPL/options/?straddle=false&amp;strike=280&amp;type=all" TargetMode="External"/><Relationship Id="rId3548" Type="http://schemas.openxmlformats.org/officeDocument/2006/relationships/hyperlink" Target="https://finance.yahoo.com/quote/AAPL/options/?straddle=false&amp;strike=135&amp;type=all" TargetMode="External"/><Relationship Id="rId469" Type="http://schemas.openxmlformats.org/officeDocument/2006/relationships/hyperlink" Target="https://finance.yahoo.com/quote/AAPL251031P00130000/" TargetMode="External"/><Relationship Id="rId676" Type="http://schemas.openxmlformats.org/officeDocument/2006/relationships/hyperlink" Target="https://finance.yahoo.com/quote/AAPL/options/?straddle=false&amp;strike=225&amp;type=all" TargetMode="External"/><Relationship Id="rId883" Type="http://schemas.openxmlformats.org/officeDocument/2006/relationships/hyperlink" Target="https://finance.yahoo.com/quote/AAPL260116C00170000/" TargetMode="External"/><Relationship Id="rId1099" Type="http://schemas.openxmlformats.org/officeDocument/2006/relationships/hyperlink" Target="https://finance.yahoo.com/quote/AAPL260220C00100000/" TargetMode="External"/><Relationship Id="rId2357" Type="http://schemas.openxmlformats.org/officeDocument/2006/relationships/hyperlink" Target="https://finance.yahoo.com/quote/AAPL260918P00190000/" TargetMode="External"/><Relationship Id="rId2564" Type="http://schemas.openxmlformats.org/officeDocument/2006/relationships/hyperlink" Target="https://finance.yahoo.com/quote/AAPL/options/?straddle=false&amp;strike=85&amp;type=all" TargetMode="External"/><Relationship Id="rId3103" Type="http://schemas.openxmlformats.org/officeDocument/2006/relationships/hyperlink" Target="https://finance.yahoo.com/quote/AAPL270617P00360000/" TargetMode="External"/><Relationship Id="rId3310" Type="http://schemas.openxmlformats.org/officeDocument/2006/relationships/hyperlink" Target="https://finance.yahoo.com/quote/AAPL/options/?straddle=false&amp;strike=125&amp;type=all" TargetMode="External"/><Relationship Id="rId3408" Type="http://schemas.openxmlformats.org/officeDocument/2006/relationships/hyperlink" Target="https://finance.yahoo.com/quote/AAPL/options/?straddle=false&amp;strike=80&amp;type=all" TargetMode="External"/><Relationship Id="rId3615" Type="http://schemas.openxmlformats.org/officeDocument/2006/relationships/hyperlink" Target="https://finance.yahoo.com/quote/AAPL251010C00265000/" TargetMode="External"/><Relationship Id="rId231" Type="http://schemas.openxmlformats.org/officeDocument/2006/relationships/hyperlink" Target="https://finance.yahoo.com/quote/AAPL251017P00285000/" TargetMode="External"/><Relationship Id="rId329" Type="http://schemas.openxmlformats.org/officeDocument/2006/relationships/hyperlink" Target="https://finance.yahoo.com/quote/AAPL251024P00130000/" TargetMode="External"/><Relationship Id="rId536" Type="http://schemas.openxmlformats.org/officeDocument/2006/relationships/hyperlink" Target="https://finance.yahoo.com/quote/AAPL/options/?straddle=false&amp;strike=295&amp;type=all" TargetMode="External"/><Relationship Id="rId1166" Type="http://schemas.openxmlformats.org/officeDocument/2006/relationships/hyperlink" Target="https://finance.yahoo.com/quote/AAPL/options/?straddle=false&amp;strike=270&amp;type=all" TargetMode="External"/><Relationship Id="rId1373" Type="http://schemas.openxmlformats.org/officeDocument/2006/relationships/hyperlink" Target="https://finance.yahoo.com/quote/AAPL260320P00115000/" TargetMode="External"/><Relationship Id="rId2217" Type="http://schemas.openxmlformats.org/officeDocument/2006/relationships/hyperlink" Target="https://finance.yahoo.com/quote/AAPL260918C00145000/" TargetMode="External"/><Relationship Id="rId2771" Type="http://schemas.openxmlformats.org/officeDocument/2006/relationships/hyperlink" Target="https://finance.yahoo.com/quote/AAPL270115C00420000/" TargetMode="External"/><Relationship Id="rId2869" Type="http://schemas.openxmlformats.org/officeDocument/2006/relationships/hyperlink" Target="https://finance.yahoo.com/quote/AAPL270115P00290000/" TargetMode="External"/><Relationship Id="rId743" Type="http://schemas.openxmlformats.org/officeDocument/2006/relationships/hyperlink" Target="https://finance.yahoo.com/quote/AAPL251121P00140000/" TargetMode="External"/><Relationship Id="rId950" Type="http://schemas.openxmlformats.org/officeDocument/2006/relationships/hyperlink" Target="https://finance.yahoo.com/quote/AAPL/options/?straddle=false&amp;strike=350&amp;type=all" TargetMode="External"/><Relationship Id="rId1026" Type="http://schemas.openxmlformats.org/officeDocument/2006/relationships/hyperlink" Target="https://finance.yahoo.com/quote/AAPL/options/?straddle=false&amp;strike=170&amp;type=all" TargetMode="External"/><Relationship Id="rId1580" Type="http://schemas.openxmlformats.org/officeDocument/2006/relationships/hyperlink" Target="https://finance.yahoo.com/quote/AAPL/options/?straddle=false&amp;strike=255&amp;type=all" TargetMode="External"/><Relationship Id="rId1678" Type="http://schemas.openxmlformats.org/officeDocument/2006/relationships/hyperlink" Target="https://finance.yahoo.com/quote/AAPL/options/?straddle=false&amp;strike=370&amp;type=all" TargetMode="External"/><Relationship Id="rId1885" Type="http://schemas.openxmlformats.org/officeDocument/2006/relationships/hyperlink" Target="https://finance.yahoo.com/quote/AAPL260618C00280000/" TargetMode="External"/><Relationship Id="rId2424" Type="http://schemas.openxmlformats.org/officeDocument/2006/relationships/hyperlink" Target="https://finance.yahoo.com/quote/AAPL/options/?straddle=false&amp;strike=30&amp;type=all" TargetMode="External"/><Relationship Id="rId2631" Type="http://schemas.openxmlformats.org/officeDocument/2006/relationships/hyperlink" Target="https://finance.yahoo.com/quote/AAPL261218P00310000/" TargetMode="External"/><Relationship Id="rId2729" Type="http://schemas.openxmlformats.org/officeDocument/2006/relationships/hyperlink" Target="https://finance.yahoo.com/quote/AAPL270115C00210000/" TargetMode="External"/><Relationship Id="rId2936" Type="http://schemas.openxmlformats.org/officeDocument/2006/relationships/hyperlink" Target="https://finance.yahoo.com/quote/AAPL/options/?straddle=false&amp;strike=140&amp;type=all" TargetMode="External"/><Relationship Id="rId603" Type="http://schemas.openxmlformats.org/officeDocument/2006/relationships/hyperlink" Target="https://finance.yahoo.com/quote/AAPL251107P00215000/" TargetMode="External"/><Relationship Id="rId810" Type="http://schemas.openxmlformats.org/officeDocument/2006/relationships/hyperlink" Target="https://finance.yahoo.com/quote/AAPL/options/?straddle=false&amp;strike=315&amp;type=all" TargetMode="External"/><Relationship Id="rId908" Type="http://schemas.openxmlformats.org/officeDocument/2006/relationships/hyperlink" Target="https://finance.yahoo.com/quote/AAPL/options/?straddle=false&amp;strike=230&amp;type=all" TargetMode="External"/><Relationship Id="rId1233" Type="http://schemas.openxmlformats.org/officeDocument/2006/relationships/hyperlink" Target="https://finance.yahoo.com/quote/AAPL260220P00185000/" TargetMode="External"/><Relationship Id="rId1440" Type="http://schemas.openxmlformats.org/officeDocument/2006/relationships/hyperlink" Target="https://finance.yahoo.com/quote/AAPL/options/?straddle=false&amp;strike=120&amp;type=all" TargetMode="External"/><Relationship Id="rId1538" Type="http://schemas.openxmlformats.org/officeDocument/2006/relationships/hyperlink" Target="https://finance.yahoo.com/quote/AAPL/options/?straddle=false&amp;strike=150&amp;type=all" TargetMode="External"/><Relationship Id="rId1300" Type="http://schemas.openxmlformats.org/officeDocument/2006/relationships/hyperlink" Target="https://finance.yahoo.com/quote/AAPL/options/?straddle=false&amp;strike=130&amp;type=all" TargetMode="External"/><Relationship Id="rId1745" Type="http://schemas.openxmlformats.org/officeDocument/2006/relationships/hyperlink" Target="https://finance.yahoo.com/quote/AAPL260515P00190000/" TargetMode="External"/><Relationship Id="rId1952" Type="http://schemas.openxmlformats.org/officeDocument/2006/relationships/hyperlink" Target="https://finance.yahoo.com/quote/AAPL/options/?straddle=false&amp;strike=105&amp;type=all" TargetMode="External"/><Relationship Id="rId3198" Type="http://schemas.openxmlformats.org/officeDocument/2006/relationships/hyperlink" Target="https://finance.yahoo.com/quote/AAPL/options/?straddle=false&amp;strike=240&amp;type=all" TargetMode="External"/><Relationship Id="rId37" Type="http://schemas.openxmlformats.org/officeDocument/2006/relationships/hyperlink" Target="https://finance.yahoo.com/quote/AAPL251017C00195000/" TargetMode="External"/><Relationship Id="rId1605" Type="http://schemas.openxmlformats.org/officeDocument/2006/relationships/hyperlink" Target="https://finance.yahoo.com/quote/AAPL260515C00090000/" TargetMode="External"/><Relationship Id="rId1812" Type="http://schemas.openxmlformats.org/officeDocument/2006/relationships/hyperlink" Target="https://finance.yahoo.com/quote/AAPL/options/?straddle=false&amp;strike=95&amp;type=all" TargetMode="External"/><Relationship Id="rId3058" Type="http://schemas.openxmlformats.org/officeDocument/2006/relationships/hyperlink" Target="https://finance.yahoo.com/quote/AAPL/options/?straddle=false&amp;strike=165&amp;type=all" TargetMode="External"/><Relationship Id="rId3265" Type="http://schemas.openxmlformats.org/officeDocument/2006/relationships/hyperlink" Target="https://finance.yahoo.com/quote/AAPL271217C00410000/" TargetMode="External"/><Relationship Id="rId3472" Type="http://schemas.openxmlformats.org/officeDocument/2006/relationships/hyperlink" Target="https://finance.yahoo.com/quote/AAPL/options/?straddle=false&amp;strike=390&amp;type=all" TargetMode="External"/><Relationship Id="rId186" Type="http://schemas.openxmlformats.org/officeDocument/2006/relationships/hyperlink" Target="https://finance.yahoo.com/quote/AAPL/options/?straddle=false&amp;strike=220&amp;type=all" TargetMode="External"/><Relationship Id="rId393" Type="http://schemas.openxmlformats.org/officeDocument/2006/relationships/hyperlink" Target="https://finance.yahoo.com/quote/AAPL251024P00295000/" TargetMode="External"/><Relationship Id="rId2074" Type="http://schemas.openxmlformats.org/officeDocument/2006/relationships/hyperlink" Target="https://finance.yahoo.com/quote/AAPL/options/?straddle=false&amp;strike=180&amp;type=all" TargetMode="External"/><Relationship Id="rId2281" Type="http://schemas.openxmlformats.org/officeDocument/2006/relationships/hyperlink" Target="https://finance.yahoo.com/quote/AAPL260918C00310000/" TargetMode="External"/><Relationship Id="rId3125" Type="http://schemas.openxmlformats.org/officeDocument/2006/relationships/hyperlink" Target="https://finance.yahoo.com/quote/AAPL271217C00060000/" TargetMode="External"/><Relationship Id="rId3332" Type="http://schemas.openxmlformats.org/officeDocument/2006/relationships/hyperlink" Target="https://finance.yahoo.com/quote/AAPL/options/?straddle=false&amp;strike=180&amp;type=all" TargetMode="External"/><Relationship Id="rId253" Type="http://schemas.openxmlformats.org/officeDocument/2006/relationships/hyperlink" Target="https://finance.yahoo.com/quote/AAPL251017P00370000/" TargetMode="External"/><Relationship Id="rId460" Type="http://schemas.openxmlformats.org/officeDocument/2006/relationships/hyperlink" Target="https://finance.yahoo.com/quote/AAPL/options/?straddle=false&amp;strike=315&amp;type=all" TargetMode="External"/><Relationship Id="rId698" Type="http://schemas.openxmlformats.org/officeDocument/2006/relationships/hyperlink" Target="https://finance.yahoo.com/quote/AAPL/options/?straddle=false&amp;strike=280&amp;type=all" TargetMode="External"/><Relationship Id="rId1090" Type="http://schemas.openxmlformats.org/officeDocument/2006/relationships/hyperlink" Target="https://finance.yahoo.com/quote/AAPL/options/?straddle=false&amp;strike=340&amp;type=all" TargetMode="External"/><Relationship Id="rId2141" Type="http://schemas.openxmlformats.org/officeDocument/2006/relationships/hyperlink" Target="https://finance.yahoo.com/quote/AAPL260821P00180000/" TargetMode="External"/><Relationship Id="rId2379" Type="http://schemas.openxmlformats.org/officeDocument/2006/relationships/hyperlink" Target="https://finance.yahoo.com/quote/AAPL260918P00245000/" TargetMode="External"/><Relationship Id="rId2586" Type="http://schemas.openxmlformats.org/officeDocument/2006/relationships/hyperlink" Target="https://finance.yahoo.com/quote/AAPL/options/?straddle=false&amp;strike=140&amp;type=all" TargetMode="External"/><Relationship Id="rId2793" Type="http://schemas.openxmlformats.org/officeDocument/2006/relationships/hyperlink" Target="https://finance.yahoo.com/quote/AAPL270115P00040000/" TargetMode="External"/><Relationship Id="rId3637" Type="http://schemas.openxmlformats.org/officeDocument/2006/relationships/hyperlink" Target="https://finance.yahoo.com/quote/AAPL251010C00310000/" TargetMode="External"/><Relationship Id="rId113" Type="http://schemas.openxmlformats.org/officeDocument/2006/relationships/hyperlink" Target="https://finance.yahoo.com/quote/AAPL251017C00325000/" TargetMode="External"/><Relationship Id="rId320" Type="http://schemas.openxmlformats.org/officeDocument/2006/relationships/hyperlink" Target="https://finance.yahoo.com/quote/AAPL/options/?straddle=false&amp;strike=310&amp;type=all" TargetMode="External"/><Relationship Id="rId558" Type="http://schemas.openxmlformats.org/officeDocument/2006/relationships/hyperlink" Target="https://finance.yahoo.com/quote/AAPL/options/?straddle=false&amp;strike=240&amp;type=all" TargetMode="External"/><Relationship Id="rId765" Type="http://schemas.openxmlformats.org/officeDocument/2006/relationships/hyperlink" Target="https://finance.yahoo.com/quote/AAPL251121P00195000/" TargetMode="External"/><Relationship Id="rId972" Type="http://schemas.openxmlformats.org/officeDocument/2006/relationships/hyperlink" Target="https://finance.yahoo.com/quote/AAPL/options/?straddle=false&amp;strike=35&amp;type=all" TargetMode="External"/><Relationship Id="rId1188" Type="http://schemas.openxmlformats.org/officeDocument/2006/relationships/hyperlink" Target="https://finance.yahoo.com/quote/AAPL/options/?straddle=false&amp;strike=350&amp;type=all" TargetMode="External"/><Relationship Id="rId1395" Type="http://schemas.openxmlformats.org/officeDocument/2006/relationships/hyperlink" Target="https://finance.yahoo.com/quote/AAPL260320P00170000/" TargetMode="External"/><Relationship Id="rId2001" Type="http://schemas.openxmlformats.org/officeDocument/2006/relationships/hyperlink" Target="https://finance.yahoo.com/quote/AAPL260618P00230000/" TargetMode="External"/><Relationship Id="rId2239" Type="http://schemas.openxmlformats.org/officeDocument/2006/relationships/hyperlink" Target="https://finance.yahoo.com/quote/AAPL260918C00200000/" TargetMode="External"/><Relationship Id="rId2446" Type="http://schemas.openxmlformats.org/officeDocument/2006/relationships/hyperlink" Target="https://finance.yahoo.com/quote/AAPL/options/?straddle=false&amp;strike=100&amp;type=all" TargetMode="External"/><Relationship Id="rId2653" Type="http://schemas.openxmlformats.org/officeDocument/2006/relationships/hyperlink" Target="https://finance.yahoo.com/quote/AAPL261218P00450000/" TargetMode="External"/><Relationship Id="rId2860" Type="http://schemas.openxmlformats.org/officeDocument/2006/relationships/hyperlink" Target="https://finance.yahoo.com/quote/AAPL/options/?straddle=false&amp;strike=240&amp;type=all" TargetMode="External"/><Relationship Id="rId3704" Type="http://schemas.openxmlformats.org/officeDocument/2006/relationships/hyperlink" Target="https://finance.yahoo.com/quote/AAPL/options/?straddle=false&amp;strike=242.5&amp;type=all" TargetMode="External"/><Relationship Id="rId418" Type="http://schemas.openxmlformats.org/officeDocument/2006/relationships/hyperlink" Target="https://finance.yahoo.com/quote/AAPL/options/?straddle=false&amp;strike=210&amp;type=all" TargetMode="External"/><Relationship Id="rId625" Type="http://schemas.openxmlformats.org/officeDocument/2006/relationships/hyperlink" Target="https://finance.yahoo.com/quote/AAPL251121C00100000/" TargetMode="External"/><Relationship Id="rId832" Type="http://schemas.openxmlformats.org/officeDocument/2006/relationships/hyperlink" Target="https://finance.yahoo.com/quote/AAPL/options/?straddle=false&amp;strike=40&amp;type=all" TargetMode="External"/><Relationship Id="rId1048" Type="http://schemas.openxmlformats.org/officeDocument/2006/relationships/hyperlink" Target="https://finance.yahoo.com/quote/AAPL/options/?straddle=false&amp;strike=225&amp;type=all" TargetMode="External"/><Relationship Id="rId1255" Type="http://schemas.openxmlformats.org/officeDocument/2006/relationships/hyperlink" Target="https://finance.yahoo.com/quote/AAPL260220P00240000/" TargetMode="External"/><Relationship Id="rId1462" Type="http://schemas.openxmlformats.org/officeDocument/2006/relationships/hyperlink" Target="https://finance.yahoo.com/quote/AAPL/options/?straddle=false&amp;strike=190&amp;type=all" TargetMode="External"/><Relationship Id="rId2306" Type="http://schemas.openxmlformats.org/officeDocument/2006/relationships/hyperlink" Target="https://finance.yahoo.com/quote/AAPL/options/?straddle=false&amp;strike=60&amp;type=all" TargetMode="External"/><Relationship Id="rId2513" Type="http://schemas.openxmlformats.org/officeDocument/2006/relationships/hyperlink" Target="https://finance.yahoo.com/quote/AAPL261218C00340000/" TargetMode="External"/><Relationship Id="rId2958" Type="http://schemas.openxmlformats.org/officeDocument/2006/relationships/hyperlink" Target="https://finance.yahoo.com/quote/AAPL/options/?straddle=false&amp;strike=195&amp;type=all" TargetMode="External"/><Relationship Id="rId1115" Type="http://schemas.openxmlformats.org/officeDocument/2006/relationships/hyperlink" Target="https://finance.yahoo.com/quote/AAPL260220C00145000/" TargetMode="External"/><Relationship Id="rId1322" Type="http://schemas.openxmlformats.org/officeDocument/2006/relationships/hyperlink" Target="https://finance.yahoo.com/quote/AAPL/options/?straddle=false&amp;strike=185&amp;type=all" TargetMode="External"/><Relationship Id="rId1767" Type="http://schemas.openxmlformats.org/officeDocument/2006/relationships/hyperlink" Target="https://finance.yahoo.com/quote/AAPL260515P00290000/" TargetMode="External"/><Relationship Id="rId1974" Type="http://schemas.openxmlformats.org/officeDocument/2006/relationships/hyperlink" Target="https://finance.yahoo.com/quote/AAPL/options/?straddle=false&amp;strike=160&amp;type=all" TargetMode="External"/><Relationship Id="rId2720" Type="http://schemas.openxmlformats.org/officeDocument/2006/relationships/hyperlink" Target="https://finance.yahoo.com/quote/AAPL/options/?straddle=false&amp;strike=180&amp;type=all" TargetMode="External"/><Relationship Id="rId2818" Type="http://schemas.openxmlformats.org/officeDocument/2006/relationships/hyperlink" Target="https://finance.yahoo.com/quote/AAPL/options/?straddle=false&amp;strike=115&amp;type=all" TargetMode="External"/><Relationship Id="rId59" Type="http://schemas.openxmlformats.org/officeDocument/2006/relationships/hyperlink" Target="https://finance.yahoo.com/quote/AAPL251017C00232500/" TargetMode="External"/><Relationship Id="rId1627" Type="http://schemas.openxmlformats.org/officeDocument/2006/relationships/hyperlink" Target="https://finance.yahoo.com/quote/AAPL260515C00160000/" TargetMode="External"/><Relationship Id="rId1834" Type="http://schemas.openxmlformats.org/officeDocument/2006/relationships/hyperlink" Target="https://finance.yahoo.com/quote/AAPL/options/?straddle=false&amp;strike=150&amp;type=all" TargetMode="External"/><Relationship Id="rId3287" Type="http://schemas.openxmlformats.org/officeDocument/2006/relationships/hyperlink" Target="https://finance.yahoo.com/quote/AAPL271217P00070000/" TargetMode="External"/><Relationship Id="rId2096" Type="http://schemas.openxmlformats.org/officeDocument/2006/relationships/hyperlink" Target="https://finance.yahoo.com/quote/AAPL/options/?straddle=false&amp;strike=270&amp;type=all" TargetMode="External"/><Relationship Id="rId3494" Type="http://schemas.openxmlformats.org/officeDocument/2006/relationships/hyperlink" Target="https://finance.yahoo.com/quote/AAPL/options/?straddle=false&amp;strike=135&amp;type=all" TargetMode="External"/><Relationship Id="rId1901" Type="http://schemas.openxmlformats.org/officeDocument/2006/relationships/hyperlink" Target="https://finance.yahoo.com/quote/AAPL260618C00350000/" TargetMode="External"/><Relationship Id="rId3147" Type="http://schemas.openxmlformats.org/officeDocument/2006/relationships/hyperlink" Target="https://finance.yahoo.com/quote/AAPL271217C00115000/" TargetMode="External"/><Relationship Id="rId3354" Type="http://schemas.openxmlformats.org/officeDocument/2006/relationships/hyperlink" Target="https://finance.yahoo.com/quote/AAPL/options/?straddle=false&amp;strike=235&amp;type=all" TargetMode="External"/><Relationship Id="rId3561" Type="http://schemas.openxmlformats.org/officeDocument/2006/relationships/hyperlink" Target="https://finance.yahoo.com/quote/AAPL251010C00180000/" TargetMode="External"/><Relationship Id="rId3659" Type="http://schemas.openxmlformats.org/officeDocument/2006/relationships/hyperlink" Target="https://finance.yahoo.com/quote/AAPL251010P00160000/" TargetMode="External"/><Relationship Id="rId275" Type="http://schemas.openxmlformats.org/officeDocument/2006/relationships/hyperlink" Target="https://finance.yahoo.com/quote/AAPL251024C00200000/" TargetMode="External"/><Relationship Id="rId482" Type="http://schemas.openxmlformats.org/officeDocument/2006/relationships/hyperlink" Target="https://finance.yahoo.com/quote/AAPL/options/?straddle=false&amp;strike=160&amp;type=all" TargetMode="External"/><Relationship Id="rId2163" Type="http://schemas.openxmlformats.org/officeDocument/2006/relationships/hyperlink" Target="https://finance.yahoo.com/quote/AAPL260821P00270000/" TargetMode="External"/><Relationship Id="rId2370" Type="http://schemas.openxmlformats.org/officeDocument/2006/relationships/hyperlink" Target="https://finance.yahoo.com/quote/AAPL/options/?straddle=false&amp;strike=220&amp;type=all" TargetMode="External"/><Relationship Id="rId3007" Type="http://schemas.openxmlformats.org/officeDocument/2006/relationships/hyperlink" Target="https://finance.yahoo.com/quote/AAPL270617C00440000/" TargetMode="External"/><Relationship Id="rId3214" Type="http://schemas.openxmlformats.org/officeDocument/2006/relationships/hyperlink" Target="https://finance.yahoo.com/quote/AAPL/options/?straddle=false&amp;strike=280&amp;type=all" TargetMode="External"/><Relationship Id="rId3421" Type="http://schemas.openxmlformats.org/officeDocument/2006/relationships/hyperlink" Target="https://finance.yahoo.com/quote/AAPL280121C00170000/" TargetMode="External"/><Relationship Id="rId135" Type="http://schemas.openxmlformats.org/officeDocument/2006/relationships/hyperlink" Target="https://finance.yahoo.com/quote/AAPL251017P00100000/" TargetMode="External"/><Relationship Id="rId342" Type="http://schemas.openxmlformats.org/officeDocument/2006/relationships/hyperlink" Target="https://finance.yahoo.com/quote/AAPL/options/?straddle=false&amp;strike=160&amp;type=all" TargetMode="External"/><Relationship Id="rId787" Type="http://schemas.openxmlformats.org/officeDocument/2006/relationships/hyperlink" Target="https://finance.yahoo.com/quote/AAPL251121P00250000/" TargetMode="External"/><Relationship Id="rId994" Type="http://schemas.openxmlformats.org/officeDocument/2006/relationships/hyperlink" Target="https://finance.yahoo.com/quote/AAPL/options/?straddle=false&amp;strike=90&amp;type=all" TargetMode="External"/><Relationship Id="rId2023" Type="http://schemas.openxmlformats.org/officeDocument/2006/relationships/hyperlink" Target="https://finance.yahoo.com/quote/AAPL260618P00285000/" TargetMode="External"/><Relationship Id="rId2230" Type="http://schemas.openxmlformats.org/officeDocument/2006/relationships/hyperlink" Target="https://finance.yahoo.com/quote/AAPL/options/?straddle=false&amp;strike=175&amp;type=all" TargetMode="External"/><Relationship Id="rId2468" Type="http://schemas.openxmlformats.org/officeDocument/2006/relationships/hyperlink" Target="https://finance.yahoo.com/quote/AAPL/options/?straddle=false&amp;strike=155&amp;type=all" TargetMode="External"/><Relationship Id="rId2675" Type="http://schemas.openxmlformats.org/officeDocument/2006/relationships/hyperlink" Target="https://finance.yahoo.com/quote/AAPL270115C00060000/" TargetMode="External"/><Relationship Id="rId2882" Type="http://schemas.openxmlformats.org/officeDocument/2006/relationships/hyperlink" Target="https://finance.yahoo.com/quote/AAPL/options/?straddle=false&amp;strike=350&amp;type=all" TargetMode="External"/><Relationship Id="rId3519" Type="http://schemas.openxmlformats.org/officeDocument/2006/relationships/hyperlink" Target="https://finance.yahoo.com/quote/AAPL280121P00220000/" TargetMode="External"/><Relationship Id="rId3726" Type="http://schemas.openxmlformats.org/officeDocument/2006/relationships/hyperlink" Target="https://finance.yahoo.com/quote/AAPL/options/?straddle=false&amp;strike=270&amp;type=all" TargetMode="External"/><Relationship Id="rId202" Type="http://schemas.openxmlformats.org/officeDocument/2006/relationships/hyperlink" Target="https://finance.yahoo.com/quote/AAPL/options/?straddle=false&amp;strike=240&amp;type=all" TargetMode="External"/><Relationship Id="rId647" Type="http://schemas.openxmlformats.org/officeDocument/2006/relationships/hyperlink" Target="https://finance.yahoo.com/quote/AAPL251121C00155000/" TargetMode="External"/><Relationship Id="rId854" Type="http://schemas.openxmlformats.org/officeDocument/2006/relationships/hyperlink" Target="https://finance.yahoo.com/quote/AAPL/options/?straddle=false&amp;strike=95&amp;type=all" TargetMode="External"/><Relationship Id="rId1277" Type="http://schemas.openxmlformats.org/officeDocument/2006/relationships/hyperlink" Target="https://finance.yahoo.com/quote/AAPL260220P00295000/" TargetMode="External"/><Relationship Id="rId1484" Type="http://schemas.openxmlformats.org/officeDocument/2006/relationships/hyperlink" Target="https://finance.yahoo.com/quote/AAPL/options/?straddle=false&amp;strike=245&amp;type=all" TargetMode="External"/><Relationship Id="rId1691" Type="http://schemas.openxmlformats.org/officeDocument/2006/relationships/hyperlink" Target="https://finance.yahoo.com/quote/AAPL260515P00035000/" TargetMode="External"/><Relationship Id="rId2328" Type="http://schemas.openxmlformats.org/officeDocument/2006/relationships/hyperlink" Target="https://finance.yahoo.com/quote/AAPL/options/?straddle=false&amp;strike=115&amp;type=all" TargetMode="External"/><Relationship Id="rId2535" Type="http://schemas.openxmlformats.org/officeDocument/2006/relationships/hyperlink" Target="https://finance.yahoo.com/quote/AAPL261218C00450000/" TargetMode="External"/><Relationship Id="rId2742" Type="http://schemas.openxmlformats.org/officeDocument/2006/relationships/hyperlink" Target="https://finance.yahoo.com/quote/AAPL/options/?straddle=false&amp;strike=270&amp;type=all" TargetMode="External"/><Relationship Id="rId507" Type="http://schemas.openxmlformats.org/officeDocument/2006/relationships/hyperlink" Target="https://finance.yahoo.com/quote/AAPL251031P00225000/" TargetMode="External"/><Relationship Id="rId714" Type="http://schemas.openxmlformats.org/officeDocument/2006/relationships/hyperlink" Target="https://finance.yahoo.com/quote/AAPL/options/?straddle=false&amp;strike=320&amp;type=all" TargetMode="External"/><Relationship Id="rId921" Type="http://schemas.openxmlformats.org/officeDocument/2006/relationships/hyperlink" Target="https://finance.yahoo.com/quote/AAPL260116C00265000/" TargetMode="External"/><Relationship Id="rId1137" Type="http://schemas.openxmlformats.org/officeDocument/2006/relationships/hyperlink" Target="https://finance.yahoo.com/quote/AAPL260220C00200000/" TargetMode="External"/><Relationship Id="rId1344" Type="http://schemas.openxmlformats.org/officeDocument/2006/relationships/hyperlink" Target="https://finance.yahoo.com/quote/AAPL/options/?straddle=false&amp;strike=280&amp;type=all" TargetMode="External"/><Relationship Id="rId1551" Type="http://schemas.openxmlformats.org/officeDocument/2006/relationships/hyperlink" Target="https://finance.yahoo.com/quote/AAPL260417P00185000/" TargetMode="External"/><Relationship Id="rId1789" Type="http://schemas.openxmlformats.org/officeDocument/2006/relationships/hyperlink" Target="https://finance.yahoo.com/quote/AAPL260618C00040000/" TargetMode="External"/><Relationship Id="rId1996" Type="http://schemas.openxmlformats.org/officeDocument/2006/relationships/hyperlink" Target="https://finance.yahoo.com/quote/AAPL/options/?straddle=false&amp;strike=215&amp;type=all" TargetMode="External"/><Relationship Id="rId2602" Type="http://schemas.openxmlformats.org/officeDocument/2006/relationships/hyperlink" Target="https://finance.yahoo.com/quote/AAPL/options/?straddle=false&amp;strike=180&amp;type=all" TargetMode="External"/><Relationship Id="rId50" Type="http://schemas.openxmlformats.org/officeDocument/2006/relationships/hyperlink" Target="https://finance.yahoo.com/quote/AAPL/options/?straddle=false&amp;strike=220&amp;type=all" TargetMode="External"/><Relationship Id="rId1204" Type="http://schemas.openxmlformats.org/officeDocument/2006/relationships/hyperlink" Target="https://finance.yahoo.com/quote/AAPL/options/?straddle=false&amp;strike=110&amp;type=all" TargetMode="External"/><Relationship Id="rId1411" Type="http://schemas.openxmlformats.org/officeDocument/2006/relationships/hyperlink" Target="https://finance.yahoo.com/quote/AAPL260320P00220000/" TargetMode="External"/><Relationship Id="rId1649" Type="http://schemas.openxmlformats.org/officeDocument/2006/relationships/hyperlink" Target="https://finance.yahoo.com/quote/AAPL260515C00230000/" TargetMode="External"/><Relationship Id="rId1856" Type="http://schemas.openxmlformats.org/officeDocument/2006/relationships/hyperlink" Target="https://finance.yahoo.com/quote/AAPL/options/?straddle=false&amp;strike=205&amp;type=all" TargetMode="External"/><Relationship Id="rId2907" Type="http://schemas.openxmlformats.org/officeDocument/2006/relationships/hyperlink" Target="https://finance.yahoo.com/quote/AAPL270617C00070000/" TargetMode="External"/><Relationship Id="rId3071" Type="http://schemas.openxmlformats.org/officeDocument/2006/relationships/hyperlink" Target="https://finance.yahoo.com/quote/AAPL270617P00200000/" TargetMode="External"/><Relationship Id="rId1509" Type="http://schemas.openxmlformats.org/officeDocument/2006/relationships/hyperlink" Target="https://finance.yahoo.com/quote/AAPL260417C00310000/" TargetMode="External"/><Relationship Id="rId1716" Type="http://schemas.openxmlformats.org/officeDocument/2006/relationships/hyperlink" Target="https://finance.yahoo.com/quote/AAPL/options/?straddle=false&amp;strike=115&amp;type=all" TargetMode="External"/><Relationship Id="rId1923" Type="http://schemas.openxmlformats.org/officeDocument/2006/relationships/hyperlink" Target="https://finance.yahoo.com/quote/AAPL260618P00035000/" TargetMode="External"/><Relationship Id="rId3169" Type="http://schemas.openxmlformats.org/officeDocument/2006/relationships/hyperlink" Target="https://finance.yahoo.com/quote/AAPL271217C00170000/" TargetMode="External"/><Relationship Id="rId3376" Type="http://schemas.openxmlformats.org/officeDocument/2006/relationships/hyperlink" Target="https://finance.yahoo.com/quote/AAPL/options/?straddle=false&amp;strike=290&amp;type=all" TargetMode="External"/><Relationship Id="rId3583" Type="http://schemas.openxmlformats.org/officeDocument/2006/relationships/hyperlink" Target="https://finance.yahoo.com/quote/AAPL251010C00225000/" TargetMode="External"/><Relationship Id="rId297" Type="http://schemas.openxmlformats.org/officeDocument/2006/relationships/hyperlink" Target="https://finance.yahoo.com/quote/AAPL251024C00255000/" TargetMode="External"/><Relationship Id="rId2185" Type="http://schemas.openxmlformats.org/officeDocument/2006/relationships/hyperlink" Target="https://finance.yahoo.com/quote/AAPL260918C00065000/" TargetMode="External"/><Relationship Id="rId2392" Type="http://schemas.openxmlformats.org/officeDocument/2006/relationships/hyperlink" Target="https://finance.yahoo.com/quote/AAPL/options/?straddle=false&amp;strike=275&amp;type=all" TargetMode="External"/><Relationship Id="rId3029" Type="http://schemas.openxmlformats.org/officeDocument/2006/relationships/hyperlink" Target="https://finance.yahoo.com/quote/AAPL270617P00095000/" TargetMode="External"/><Relationship Id="rId3236" Type="http://schemas.openxmlformats.org/officeDocument/2006/relationships/hyperlink" Target="https://finance.yahoo.com/quote/AAPL/options/?straddle=false&amp;strike=335&amp;type=all" TargetMode="External"/><Relationship Id="rId157" Type="http://schemas.openxmlformats.org/officeDocument/2006/relationships/hyperlink" Target="https://finance.yahoo.com/quote/AAPL251017P00155000/" TargetMode="External"/><Relationship Id="rId364" Type="http://schemas.openxmlformats.org/officeDocument/2006/relationships/hyperlink" Target="https://finance.yahoo.com/quote/AAPL/options/?straddle=false&amp;strike=215&amp;type=all" TargetMode="External"/><Relationship Id="rId2045" Type="http://schemas.openxmlformats.org/officeDocument/2006/relationships/hyperlink" Target="https://finance.yahoo.com/quote/AAPL260618P00390000/" TargetMode="External"/><Relationship Id="rId2697" Type="http://schemas.openxmlformats.org/officeDocument/2006/relationships/hyperlink" Target="https://finance.yahoo.com/quote/AAPL270115C00125000/" TargetMode="External"/><Relationship Id="rId3443" Type="http://schemas.openxmlformats.org/officeDocument/2006/relationships/hyperlink" Target="https://finance.yahoo.com/quote/AAPL280121C00250000/" TargetMode="External"/><Relationship Id="rId3650" Type="http://schemas.openxmlformats.org/officeDocument/2006/relationships/hyperlink" Target="https://finance.yahoo.com/quote/AAPL/options/?straddle=false&amp;strike=135&amp;type=all" TargetMode="External"/><Relationship Id="rId571" Type="http://schemas.openxmlformats.org/officeDocument/2006/relationships/hyperlink" Target="https://finance.yahoo.com/quote/AAPL251107C00275000/" TargetMode="External"/><Relationship Id="rId669" Type="http://schemas.openxmlformats.org/officeDocument/2006/relationships/hyperlink" Target="https://finance.yahoo.com/quote/AAPL251121C00210000/" TargetMode="External"/><Relationship Id="rId876" Type="http://schemas.openxmlformats.org/officeDocument/2006/relationships/hyperlink" Target="https://finance.yahoo.com/quote/AAPL/options/?straddle=false&amp;strike=150&amp;type=all" TargetMode="External"/><Relationship Id="rId1299" Type="http://schemas.openxmlformats.org/officeDocument/2006/relationships/hyperlink" Target="https://finance.yahoo.com/quote/AAPL260320C00130000/" TargetMode="External"/><Relationship Id="rId2252" Type="http://schemas.openxmlformats.org/officeDocument/2006/relationships/hyperlink" Target="https://finance.yahoo.com/quote/AAPL/options/?straddle=false&amp;strike=230&amp;type=all" TargetMode="External"/><Relationship Id="rId2557" Type="http://schemas.openxmlformats.org/officeDocument/2006/relationships/hyperlink" Target="https://finance.yahoo.com/quote/AAPL261218P00060000/" TargetMode="External"/><Relationship Id="rId3303" Type="http://schemas.openxmlformats.org/officeDocument/2006/relationships/hyperlink" Target="https://finance.yahoo.com/quote/AAPL271217P00110000/" TargetMode="External"/><Relationship Id="rId3510" Type="http://schemas.openxmlformats.org/officeDocument/2006/relationships/hyperlink" Target="https://finance.yahoo.com/quote/AAPL/options/?straddle=false&amp;strike=185&amp;type=all" TargetMode="External"/><Relationship Id="rId3608" Type="http://schemas.openxmlformats.org/officeDocument/2006/relationships/hyperlink" Target="https://finance.yahoo.com/quote/AAPL/options/?straddle=false&amp;strike=255&amp;type=all" TargetMode="External"/><Relationship Id="rId224" Type="http://schemas.openxmlformats.org/officeDocument/2006/relationships/hyperlink" Target="https://finance.yahoo.com/quote/AAPL/options/?straddle=false&amp;strike=267.5&amp;type=all" TargetMode="External"/><Relationship Id="rId431" Type="http://schemas.openxmlformats.org/officeDocument/2006/relationships/hyperlink" Target="https://finance.yahoo.com/quote/AAPL251031C00245000/" TargetMode="External"/><Relationship Id="rId529" Type="http://schemas.openxmlformats.org/officeDocument/2006/relationships/hyperlink" Target="https://finance.yahoo.com/quote/AAPL251031P00280000/" TargetMode="External"/><Relationship Id="rId736" Type="http://schemas.openxmlformats.org/officeDocument/2006/relationships/hyperlink" Target="https://finance.yahoo.com/quote/AAPL/options/?straddle=false&amp;strike=120&amp;type=all" TargetMode="External"/><Relationship Id="rId1061" Type="http://schemas.openxmlformats.org/officeDocument/2006/relationships/hyperlink" Target="https://finance.yahoo.com/quote/AAPL260116P00260000/" TargetMode="External"/><Relationship Id="rId1159" Type="http://schemas.openxmlformats.org/officeDocument/2006/relationships/hyperlink" Target="https://finance.yahoo.com/quote/AAPL260220C00255000/" TargetMode="External"/><Relationship Id="rId1366" Type="http://schemas.openxmlformats.org/officeDocument/2006/relationships/hyperlink" Target="https://finance.yahoo.com/quote/AAPL/options/?straddle=false&amp;strike=95&amp;type=all" TargetMode="External"/><Relationship Id="rId2112" Type="http://schemas.openxmlformats.org/officeDocument/2006/relationships/hyperlink" Target="https://finance.yahoo.com/quote/AAPL/options/?straddle=false&amp;strike=350&amp;type=all" TargetMode="External"/><Relationship Id="rId2417" Type="http://schemas.openxmlformats.org/officeDocument/2006/relationships/hyperlink" Target="https://finance.yahoo.com/quote/AAPL261218C00015000/" TargetMode="External"/><Relationship Id="rId2764" Type="http://schemas.openxmlformats.org/officeDocument/2006/relationships/hyperlink" Target="https://finance.yahoo.com/quote/AAPL/options/?straddle=false&amp;strike=380&amp;type=all" TargetMode="External"/><Relationship Id="rId2971" Type="http://schemas.openxmlformats.org/officeDocument/2006/relationships/hyperlink" Target="https://finance.yahoo.com/quote/AAPL270617C00260000/" TargetMode="External"/><Relationship Id="rId943" Type="http://schemas.openxmlformats.org/officeDocument/2006/relationships/hyperlink" Target="https://finance.yahoo.com/quote/AAPL260116C00320000/" TargetMode="External"/><Relationship Id="rId1019" Type="http://schemas.openxmlformats.org/officeDocument/2006/relationships/hyperlink" Target="https://finance.yahoo.com/quote/AAPL260116P00155000/" TargetMode="External"/><Relationship Id="rId1573" Type="http://schemas.openxmlformats.org/officeDocument/2006/relationships/hyperlink" Target="https://finance.yahoo.com/quote/AAPL260417P00240000/" TargetMode="External"/><Relationship Id="rId1780" Type="http://schemas.openxmlformats.org/officeDocument/2006/relationships/hyperlink" Target="https://finance.yahoo.com/quote/AAPL/options/?straddle=false&amp;strike=15&amp;type=all" TargetMode="External"/><Relationship Id="rId1878" Type="http://schemas.openxmlformats.org/officeDocument/2006/relationships/hyperlink" Target="https://finance.yahoo.com/quote/AAPL/options/?straddle=false&amp;strike=260&amp;type=all" TargetMode="External"/><Relationship Id="rId2624" Type="http://schemas.openxmlformats.org/officeDocument/2006/relationships/hyperlink" Target="https://finance.yahoo.com/quote/AAPL/options/?straddle=false&amp;strike=270&amp;type=all" TargetMode="External"/><Relationship Id="rId2831" Type="http://schemas.openxmlformats.org/officeDocument/2006/relationships/hyperlink" Target="https://finance.yahoo.com/quote/AAPL270115P00150000/" TargetMode="External"/><Relationship Id="rId2929" Type="http://schemas.openxmlformats.org/officeDocument/2006/relationships/hyperlink" Target="https://finance.yahoo.com/quote/AAPL270617C00125000/" TargetMode="External"/><Relationship Id="rId72" Type="http://schemas.openxmlformats.org/officeDocument/2006/relationships/hyperlink" Target="https://finance.yahoo.com/quote/AAPL/options/?straddle=false&amp;strike=247.5&amp;type=all" TargetMode="External"/><Relationship Id="rId803" Type="http://schemas.openxmlformats.org/officeDocument/2006/relationships/hyperlink" Target="https://finance.yahoo.com/quote/AAPL251121P00290000/" TargetMode="External"/><Relationship Id="rId1226" Type="http://schemas.openxmlformats.org/officeDocument/2006/relationships/hyperlink" Target="https://finance.yahoo.com/quote/AAPL/options/?straddle=false&amp;strike=165&amp;type=all" TargetMode="External"/><Relationship Id="rId1433" Type="http://schemas.openxmlformats.org/officeDocument/2006/relationships/hyperlink" Target="https://finance.yahoo.com/quote/AAPL260320P00350000/" TargetMode="External"/><Relationship Id="rId1640" Type="http://schemas.openxmlformats.org/officeDocument/2006/relationships/hyperlink" Target="https://finance.yahoo.com/quote/AAPL/options/?straddle=false&amp;strike=190&amp;type=all" TargetMode="External"/><Relationship Id="rId1738" Type="http://schemas.openxmlformats.org/officeDocument/2006/relationships/hyperlink" Target="https://finance.yahoo.com/quote/AAPL/options/?straddle=false&amp;strike=170&amp;type=all" TargetMode="External"/><Relationship Id="rId3093" Type="http://schemas.openxmlformats.org/officeDocument/2006/relationships/hyperlink" Target="https://finance.yahoo.com/quote/AAPL270617P00310000/" TargetMode="External"/><Relationship Id="rId1500" Type="http://schemas.openxmlformats.org/officeDocument/2006/relationships/hyperlink" Target="https://finance.yahoo.com/quote/AAPL/options/?straddle=false&amp;strike=285&amp;type=all" TargetMode="External"/><Relationship Id="rId1945" Type="http://schemas.openxmlformats.org/officeDocument/2006/relationships/hyperlink" Target="https://finance.yahoo.com/quote/AAPL260618P00090000/" TargetMode="External"/><Relationship Id="rId3160" Type="http://schemas.openxmlformats.org/officeDocument/2006/relationships/hyperlink" Target="https://finance.yahoo.com/quote/AAPL/options/?straddle=false&amp;strike=145&amp;type=all" TargetMode="External"/><Relationship Id="rId3398" Type="http://schemas.openxmlformats.org/officeDocument/2006/relationships/hyperlink" Target="https://finance.yahoo.com/quote/AAPL/options/?straddle=false&amp;strike=380&amp;type=all" TargetMode="External"/><Relationship Id="rId1805" Type="http://schemas.openxmlformats.org/officeDocument/2006/relationships/hyperlink" Target="https://finance.yahoo.com/quote/AAPL260618C00080000/" TargetMode="External"/><Relationship Id="rId3020" Type="http://schemas.openxmlformats.org/officeDocument/2006/relationships/hyperlink" Target="https://finance.yahoo.com/quote/AAPL/options/?straddle=false&amp;strike=70&amp;type=all" TargetMode="External"/><Relationship Id="rId3258" Type="http://schemas.openxmlformats.org/officeDocument/2006/relationships/hyperlink" Target="https://finance.yahoo.com/quote/AAPL/options/?straddle=false&amp;strike=390&amp;type=all" TargetMode="External"/><Relationship Id="rId3465" Type="http://schemas.openxmlformats.org/officeDocument/2006/relationships/hyperlink" Target="https://finance.yahoo.com/quote/AAPL280121C00360000/" TargetMode="External"/><Relationship Id="rId3672" Type="http://schemas.openxmlformats.org/officeDocument/2006/relationships/hyperlink" Target="https://finance.yahoo.com/quote/AAPL/options/?straddle=false&amp;strike=190&amp;type=all" TargetMode="External"/><Relationship Id="rId179" Type="http://schemas.openxmlformats.org/officeDocument/2006/relationships/hyperlink" Target="https://finance.yahoo.com/quote/AAPL251017P00210000/" TargetMode="External"/><Relationship Id="rId386" Type="http://schemas.openxmlformats.org/officeDocument/2006/relationships/hyperlink" Target="https://finance.yahoo.com/quote/AAPL/options/?straddle=false&amp;strike=270&amp;type=all" TargetMode="External"/><Relationship Id="rId593" Type="http://schemas.openxmlformats.org/officeDocument/2006/relationships/hyperlink" Target="https://finance.yahoo.com/quote/AAPL251107P00190000/" TargetMode="External"/><Relationship Id="rId2067" Type="http://schemas.openxmlformats.org/officeDocument/2006/relationships/hyperlink" Target="https://finance.yahoo.com/quote/AAPL260821C00165000/" TargetMode="External"/><Relationship Id="rId2274" Type="http://schemas.openxmlformats.org/officeDocument/2006/relationships/hyperlink" Target="https://finance.yahoo.com/quote/AAPL/options/?straddle=false&amp;strike=285&amp;type=all" TargetMode="External"/><Relationship Id="rId2481" Type="http://schemas.openxmlformats.org/officeDocument/2006/relationships/hyperlink" Target="https://finance.yahoo.com/quote/AAPL261218C00190000/" TargetMode="External"/><Relationship Id="rId3118" Type="http://schemas.openxmlformats.org/officeDocument/2006/relationships/hyperlink" Target="https://finance.yahoo.com/quote/AAPL/options/?straddle=false&amp;strike=440&amp;type=all" TargetMode="External"/><Relationship Id="rId3325" Type="http://schemas.openxmlformats.org/officeDocument/2006/relationships/hyperlink" Target="https://finance.yahoo.com/quote/AAPL271217P00165000/" TargetMode="External"/><Relationship Id="rId3532" Type="http://schemas.openxmlformats.org/officeDocument/2006/relationships/hyperlink" Target="https://finance.yahoo.com/quote/AAPL/options/?straddle=false&amp;strike=280&amp;type=all" TargetMode="External"/><Relationship Id="rId246" Type="http://schemas.openxmlformats.org/officeDocument/2006/relationships/hyperlink" Target="https://finance.yahoo.com/quote/AAPL/options/?straddle=false&amp;strike=330&amp;type=all" TargetMode="External"/><Relationship Id="rId453" Type="http://schemas.openxmlformats.org/officeDocument/2006/relationships/hyperlink" Target="https://finance.yahoo.com/quote/AAPL251031C00300000/" TargetMode="External"/><Relationship Id="rId660" Type="http://schemas.openxmlformats.org/officeDocument/2006/relationships/hyperlink" Target="https://finance.yahoo.com/quote/AAPL/options/?straddle=false&amp;strike=185&amp;type=all" TargetMode="External"/><Relationship Id="rId898" Type="http://schemas.openxmlformats.org/officeDocument/2006/relationships/hyperlink" Target="https://finance.yahoo.com/quote/AAPL/options/?straddle=false&amp;strike=205&amp;type=all" TargetMode="External"/><Relationship Id="rId1083" Type="http://schemas.openxmlformats.org/officeDocument/2006/relationships/hyperlink" Target="https://finance.yahoo.com/quote/AAPL260116P00315000/" TargetMode="External"/><Relationship Id="rId1290" Type="http://schemas.openxmlformats.org/officeDocument/2006/relationships/hyperlink" Target="https://finance.yahoo.com/quote/AAPL/options/?straddle=false&amp;strike=105&amp;type=all" TargetMode="External"/><Relationship Id="rId2134" Type="http://schemas.openxmlformats.org/officeDocument/2006/relationships/hyperlink" Target="https://finance.yahoo.com/quote/AAPL/options/?straddle=false&amp;strike=160&amp;type=all" TargetMode="External"/><Relationship Id="rId2341" Type="http://schemas.openxmlformats.org/officeDocument/2006/relationships/hyperlink" Target="https://finance.yahoo.com/quote/AAPL260918P00150000/" TargetMode="External"/><Relationship Id="rId2579" Type="http://schemas.openxmlformats.org/officeDocument/2006/relationships/hyperlink" Target="https://finance.yahoo.com/quote/AAPL261218P00125000/" TargetMode="External"/><Relationship Id="rId2786" Type="http://schemas.openxmlformats.org/officeDocument/2006/relationships/hyperlink" Target="https://finance.yahoo.com/quote/AAPL/options/?straddle=false&amp;strike=20&amp;type=all" TargetMode="External"/><Relationship Id="rId2993" Type="http://schemas.openxmlformats.org/officeDocument/2006/relationships/hyperlink" Target="https://finance.yahoo.com/quote/AAPL270617C00370000/" TargetMode="External"/><Relationship Id="rId106" Type="http://schemas.openxmlformats.org/officeDocument/2006/relationships/hyperlink" Target="https://finance.yahoo.com/quote/AAPL/options/?straddle=false&amp;strike=305&amp;type=all" TargetMode="External"/><Relationship Id="rId313" Type="http://schemas.openxmlformats.org/officeDocument/2006/relationships/hyperlink" Target="https://finance.yahoo.com/quote/AAPL251024C00295000/" TargetMode="External"/><Relationship Id="rId758" Type="http://schemas.openxmlformats.org/officeDocument/2006/relationships/hyperlink" Target="https://finance.yahoo.com/quote/AAPL/options/?straddle=false&amp;strike=175&amp;type=all" TargetMode="External"/><Relationship Id="rId965" Type="http://schemas.openxmlformats.org/officeDocument/2006/relationships/hyperlink" Target="https://finance.yahoo.com/quote/AAPL260116P00020000/" TargetMode="External"/><Relationship Id="rId1150" Type="http://schemas.openxmlformats.org/officeDocument/2006/relationships/hyperlink" Target="https://finance.yahoo.com/quote/AAPL/options/?straddle=false&amp;strike=230&amp;type=all" TargetMode="External"/><Relationship Id="rId1388" Type="http://schemas.openxmlformats.org/officeDocument/2006/relationships/hyperlink" Target="https://finance.yahoo.com/quote/AAPL/options/?straddle=false&amp;strike=150&amp;type=all" TargetMode="External"/><Relationship Id="rId1595" Type="http://schemas.openxmlformats.org/officeDocument/2006/relationships/hyperlink" Target="https://finance.yahoo.com/quote/AAPL260417P00300000/" TargetMode="External"/><Relationship Id="rId2439" Type="http://schemas.openxmlformats.org/officeDocument/2006/relationships/hyperlink" Target="https://finance.yahoo.com/quote/AAPL261218C00085000/" TargetMode="External"/><Relationship Id="rId2646" Type="http://schemas.openxmlformats.org/officeDocument/2006/relationships/hyperlink" Target="https://finance.yahoo.com/quote/AAPL/options/?straddle=false&amp;strike=390&amp;type=all" TargetMode="External"/><Relationship Id="rId2853" Type="http://schemas.openxmlformats.org/officeDocument/2006/relationships/hyperlink" Target="https://finance.yahoo.com/quote/AAPL270115P00210000/" TargetMode="External"/><Relationship Id="rId94" Type="http://schemas.openxmlformats.org/officeDocument/2006/relationships/hyperlink" Target="https://finance.yahoo.com/quote/AAPL/options/?straddle=false&amp;strike=275&amp;type=all" TargetMode="External"/><Relationship Id="rId520" Type="http://schemas.openxmlformats.org/officeDocument/2006/relationships/hyperlink" Target="https://finance.yahoo.com/quote/AAPL/options/?straddle=false&amp;strike=255&amp;type=all" TargetMode="External"/><Relationship Id="rId618" Type="http://schemas.openxmlformats.org/officeDocument/2006/relationships/hyperlink" Target="https://finance.yahoo.com/quote/AAPL/options/?straddle=false&amp;strike=250&amp;type=all" TargetMode="External"/><Relationship Id="rId825" Type="http://schemas.openxmlformats.org/officeDocument/2006/relationships/hyperlink" Target="https://finance.yahoo.com/quote/AAPL260116C00025000/" TargetMode="External"/><Relationship Id="rId1248" Type="http://schemas.openxmlformats.org/officeDocument/2006/relationships/hyperlink" Target="https://finance.yahoo.com/quote/AAPL/options/?straddle=false&amp;strike=220&amp;type=all" TargetMode="External"/><Relationship Id="rId1455" Type="http://schemas.openxmlformats.org/officeDocument/2006/relationships/hyperlink" Target="https://finance.yahoo.com/quote/AAPL260417C00175000/" TargetMode="External"/><Relationship Id="rId1662" Type="http://schemas.openxmlformats.org/officeDocument/2006/relationships/hyperlink" Target="https://finance.yahoo.com/quote/AAPL/options/?straddle=false&amp;strike=290&amp;type=all" TargetMode="External"/><Relationship Id="rId2201" Type="http://schemas.openxmlformats.org/officeDocument/2006/relationships/hyperlink" Target="https://finance.yahoo.com/quote/AAPL260918C00105000/" TargetMode="External"/><Relationship Id="rId2506" Type="http://schemas.openxmlformats.org/officeDocument/2006/relationships/hyperlink" Target="https://finance.yahoo.com/quote/AAPL/options/?straddle=false&amp;strike=300&amp;type=all" TargetMode="External"/><Relationship Id="rId1010" Type="http://schemas.openxmlformats.org/officeDocument/2006/relationships/hyperlink" Target="https://finance.yahoo.com/quote/AAPL/options/?straddle=false&amp;strike=130&amp;type=all" TargetMode="External"/><Relationship Id="rId1108" Type="http://schemas.openxmlformats.org/officeDocument/2006/relationships/hyperlink" Target="https://finance.yahoo.com/quote/AAPL/options/?straddle=false&amp;strike=125&amp;type=all" TargetMode="External"/><Relationship Id="rId1315" Type="http://schemas.openxmlformats.org/officeDocument/2006/relationships/hyperlink" Target="https://finance.yahoo.com/quote/AAPL260320C00170000/" TargetMode="External"/><Relationship Id="rId1967" Type="http://schemas.openxmlformats.org/officeDocument/2006/relationships/hyperlink" Target="https://finance.yahoo.com/quote/AAPL260618P00145000/" TargetMode="External"/><Relationship Id="rId2713" Type="http://schemas.openxmlformats.org/officeDocument/2006/relationships/hyperlink" Target="https://finance.yahoo.com/quote/AAPL270115C00165000/" TargetMode="External"/><Relationship Id="rId2920" Type="http://schemas.openxmlformats.org/officeDocument/2006/relationships/hyperlink" Target="https://finance.yahoo.com/quote/AAPL/options/?straddle=false&amp;strike=100&amp;type=all" TargetMode="External"/><Relationship Id="rId1522" Type="http://schemas.openxmlformats.org/officeDocument/2006/relationships/hyperlink" Target="https://finance.yahoo.com/quote/AAPL/options/?straddle=false&amp;strike=350&amp;type=all" TargetMode="External"/><Relationship Id="rId21" Type="http://schemas.openxmlformats.org/officeDocument/2006/relationships/hyperlink" Target="https://finance.yahoo.com/quote/AAPL251017C00155000/" TargetMode="External"/><Relationship Id="rId2089" Type="http://schemas.openxmlformats.org/officeDocument/2006/relationships/hyperlink" Target="https://finance.yahoo.com/quote/AAPL260821C00240000/" TargetMode="External"/><Relationship Id="rId3487" Type="http://schemas.openxmlformats.org/officeDocument/2006/relationships/hyperlink" Target="https://finance.yahoo.com/quote/AAPL280121P00110000/" TargetMode="External"/><Relationship Id="rId3694" Type="http://schemas.openxmlformats.org/officeDocument/2006/relationships/hyperlink" Target="https://finance.yahoo.com/quote/AAPL/options/?straddle=false&amp;strike=230&amp;type=all" TargetMode="External"/><Relationship Id="rId2296" Type="http://schemas.openxmlformats.org/officeDocument/2006/relationships/hyperlink" Target="https://finance.yahoo.com/quote/AAPL/options/?straddle=false&amp;strike=380&amp;type=all" TargetMode="External"/><Relationship Id="rId3347" Type="http://schemas.openxmlformats.org/officeDocument/2006/relationships/hyperlink" Target="https://finance.yahoo.com/quote/AAPL271217P00220000/" TargetMode="External"/><Relationship Id="rId3554" Type="http://schemas.openxmlformats.org/officeDocument/2006/relationships/hyperlink" Target="https://finance.yahoo.com/quote/AAPL/options/?straddle=false&amp;strike=160&amp;type=all" TargetMode="External"/><Relationship Id="rId268" Type="http://schemas.openxmlformats.org/officeDocument/2006/relationships/hyperlink" Target="https://finance.yahoo.com/quote/AAPL/options/?straddle=false&amp;strike=180&amp;type=all" TargetMode="External"/><Relationship Id="rId475" Type="http://schemas.openxmlformats.org/officeDocument/2006/relationships/hyperlink" Target="https://finance.yahoo.com/quote/AAPL251031P00145000/" TargetMode="External"/><Relationship Id="rId682" Type="http://schemas.openxmlformats.org/officeDocument/2006/relationships/hyperlink" Target="https://finance.yahoo.com/quote/AAPL/options/?straddle=false&amp;strike=240&amp;type=all" TargetMode="External"/><Relationship Id="rId2156" Type="http://schemas.openxmlformats.org/officeDocument/2006/relationships/hyperlink" Target="https://finance.yahoo.com/quote/AAPL/options/?straddle=false&amp;strike=230&amp;type=all" TargetMode="External"/><Relationship Id="rId2363" Type="http://schemas.openxmlformats.org/officeDocument/2006/relationships/hyperlink" Target="https://finance.yahoo.com/quote/AAPL260918P00205000/" TargetMode="External"/><Relationship Id="rId2570" Type="http://schemas.openxmlformats.org/officeDocument/2006/relationships/hyperlink" Target="https://finance.yahoo.com/quote/AAPL/options/?straddle=false&amp;strike=100&amp;type=all" TargetMode="External"/><Relationship Id="rId3207" Type="http://schemas.openxmlformats.org/officeDocument/2006/relationships/hyperlink" Target="https://finance.yahoo.com/quote/AAPL271217C00265000/" TargetMode="External"/><Relationship Id="rId3414" Type="http://schemas.openxmlformats.org/officeDocument/2006/relationships/hyperlink" Target="https://finance.yahoo.com/quote/AAPL/options/?straddle=false&amp;strike=135&amp;type=all" TargetMode="External"/><Relationship Id="rId3621" Type="http://schemas.openxmlformats.org/officeDocument/2006/relationships/hyperlink" Target="https://finance.yahoo.com/quote/AAPL251010C00272500/" TargetMode="External"/><Relationship Id="rId128" Type="http://schemas.openxmlformats.org/officeDocument/2006/relationships/hyperlink" Target="https://finance.yahoo.com/quote/AAPL/options/?straddle=false&amp;strike=360&amp;type=all" TargetMode="External"/><Relationship Id="rId335" Type="http://schemas.openxmlformats.org/officeDocument/2006/relationships/hyperlink" Target="https://finance.yahoo.com/quote/AAPL251024P00145000/" TargetMode="External"/><Relationship Id="rId542" Type="http://schemas.openxmlformats.org/officeDocument/2006/relationships/hyperlink" Target="https://finance.yahoo.com/quote/AAPL/options/?straddle=false&amp;strike=315&amp;type=all" TargetMode="External"/><Relationship Id="rId1172" Type="http://schemas.openxmlformats.org/officeDocument/2006/relationships/hyperlink" Target="https://finance.yahoo.com/quote/AAPL/options/?straddle=false&amp;strike=285&amp;type=all" TargetMode="External"/><Relationship Id="rId2016" Type="http://schemas.openxmlformats.org/officeDocument/2006/relationships/hyperlink" Target="https://finance.yahoo.com/quote/AAPL/options/?straddle=false&amp;strike=265&amp;type=all" TargetMode="External"/><Relationship Id="rId2223" Type="http://schemas.openxmlformats.org/officeDocument/2006/relationships/hyperlink" Target="https://finance.yahoo.com/quote/AAPL260918C00160000/" TargetMode="External"/><Relationship Id="rId2430" Type="http://schemas.openxmlformats.org/officeDocument/2006/relationships/hyperlink" Target="https://finance.yahoo.com/quote/AAPL/options/?straddle=false&amp;strike=45&amp;type=all" TargetMode="External"/><Relationship Id="rId402" Type="http://schemas.openxmlformats.org/officeDocument/2006/relationships/hyperlink" Target="https://finance.yahoo.com/quote/AAPL/options/?straddle=false&amp;strike=155&amp;type=all" TargetMode="External"/><Relationship Id="rId1032" Type="http://schemas.openxmlformats.org/officeDocument/2006/relationships/hyperlink" Target="https://finance.yahoo.com/quote/AAPL/options/?straddle=false&amp;strike=185&amp;type=all" TargetMode="External"/><Relationship Id="rId1989" Type="http://schemas.openxmlformats.org/officeDocument/2006/relationships/hyperlink" Target="https://finance.yahoo.com/quote/AAPL260618P00200000/" TargetMode="External"/><Relationship Id="rId1849" Type="http://schemas.openxmlformats.org/officeDocument/2006/relationships/hyperlink" Target="https://finance.yahoo.com/quote/AAPL260618C00190000/" TargetMode="External"/><Relationship Id="rId3064" Type="http://schemas.openxmlformats.org/officeDocument/2006/relationships/hyperlink" Target="https://finance.yahoo.com/quote/AAPL/options/?straddle=false&amp;strike=180&amp;type=all" TargetMode="External"/><Relationship Id="rId192" Type="http://schemas.openxmlformats.org/officeDocument/2006/relationships/hyperlink" Target="https://finance.yahoo.com/quote/AAPL/options/?straddle=false&amp;strike=227.5&amp;type=all" TargetMode="External"/><Relationship Id="rId1709" Type="http://schemas.openxmlformats.org/officeDocument/2006/relationships/hyperlink" Target="https://finance.yahoo.com/quote/AAPL260515P00100000/" TargetMode="External"/><Relationship Id="rId1916" Type="http://schemas.openxmlformats.org/officeDocument/2006/relationships/hyperlink" Target="https://finance.yahoo.com/quote/AAPL/options/?straddle=false&amp;strike=15&amp;type=all" TargetMode="External"/><Relationship Id="rId3271" Type="http://schemas.openxmlformats.org/officeDocument/2006/relationships/hyperlink" Target="https://finance.yahoo.com/quote/AAPL271217C00425000/" TargetMode="External"/><Relationship Id="rId2080" Type="http://schemas.openxmlformats.org/officeDocument/2006/relationships/hyperlink" Target="https://finance.yahoo.com/quote/AAPL/options/?straddle=false&amp;strike=195&amp;type=all" TargetMode="External"/><Relationship Id="rId3131" Type="http://schemas.openxmlformats.org/officeDocument/2006/relationships/hyperlink" Target="https://finance.yahoo.com/quote/AAPL271217C00075000/" TargetMode="External"/><Relationship Id="rId2897" Type="http://schemas.openxmlformats.org/officeDocument/2006/relationships/hyperlink" Target="https://finance.yahoo.com/quote/AAPL270115P00450000/" TargetMode="External"/><Relationship Id="rId869" Type="http://schemas.openxmlformats.org/officeDocument/2006/relationships/hyperlink" Target="https://finance.yahoo.com/quote/AAPL260116C00135000/" TargetMode="External"/><Relationship Id="rId1499" Type="http://schemas.openxmlformats.org/officeDocument/2006/relationships/hyperlink" Target="https://finance.yahoo.com/quote/AAPL260417C00285000/" TargetMode="External"/><Relationship Id="rId729" Type="http://schemas.openxmlformats.org/officeDocument/2006/relationships/hyperlink" Target="https://finance.yahoo.com/quote/AAPL251121P00105000/" TargetMode="External"/><Relationship Id="rId1359" Type="http://schemas.openxmlformats.org/officeDocument/2006/relationships/hyperlink" Target="https://finance.yahoo.com/quote/AAPL260320C00360000/" TargetMode="External"/><Relationship Id="rId2757" Type="http://schemas.openxmlformats.org/officeDocument/2006/relationships/hyperlink" Target="https://finance.yahoo.com/quote/AAPL270115C00350000/" TargetMode="External"/><Relationship Id="rId2964" Type="http://schemas.openxmlformats.org/officeDocument/2006/relationships/hyperlink" Target="https://finance.yahoo.com/quote/AAPL/options/?straddle=false&amp;strike=220&amp;type=all" TargetMode="External"/><Relationship Id="rId936" Type="http://schemas.openxmlformats.org/officeDocument/2006/relationships/hyperlink" Target="https://finance.yahoo.com/quote/AAPL/options/?straddle=false&amp;strike=300&amp;type=all" TargetMode="External"/><Relationship Id="rId1219" Type="http://schemas.openxmlformats.org/officeDocument/2006/relationships/hyperlink" Target="https://finance.yahoo.com/quote/AAPL260220P00150000/" TargetMode="External"/><Relationship Id="rId1566" Type="http://schemas.openxmlformats.org/officeDocument/2006/relationships/hyperlink" Target="https://finance.yahoo.com/quote/AAPL/options/?straddle=false&amp;strike=220&amp;type=all" TargetMode="External"/><Relationship Id="rId1773" Type="http://schemas.openxmlformats.org/officeDocument/2006/relationships/hyperlink" Target="https://finance.yahoo.com/quote/AAPL260515P00400000/" TargetMode="External"/><Relationship Id="rId1980" Type="http://schemas.openxmlformats.org/officeDocument/2006/relationships/hyperlink" Target="https://finance.yahoo.com/quote/AAPL/options/?straddle=false&amp;strike=175&amp;type=all" TargetMode="External"/><Relationship Id="rId2617" Type="http://schemas.openxmlformats.org/officeDocument/2006/relationships/hyperlink" Target="https://finance.yahoo.com/quote/AAPL261218P00240000/" TargetMode="External"/><Relationship Id="rId2824" Type="http://schemas.openxmlformats.org/officeDocument/2006/relationships/hyperlink" Target="https://finance.yahoo.com/quote/AAPL/options/?straddle=false&amp;strike=130&amp;type=all" TargetMode="External"/><Relationship Id="rId65" Type="http://schemas.openxmlformats.org/officeDocument/2006/relationships/hyperlink" Target="https://finance.yahoo.com/quote/AAPL251017C00240000/" TargetMode="External"/><Relationship Id="rId1426" Type="http://schemas.openxmlformats.org/officeDocument/2006/relationships/hyperlink" Target="https://finance.yahoo.com/quote/AAPL/options/?straddle=false&amp;strike=290&amp;type=all" TargetMode="External"/><Relationship Id="rId1633" Type="http://schemas.openxmlformats.org/officeDocument/2006/relationships/hyperlink" Target="https://finance.yahoo.com/quote/AAPL260515C00175000/" TargetMode="External"/><Relationship Id="rId1840" Type="http://schemas.openxmlformats.org/officeDocument/2006/relationships/hyperlink" Target="https://finance.yahoo.com/quote/AAPL/options/?straddle=false&amp;strike=165&amp;type=all" TargetMode="External"/><Relationship Id="rId1700" Type="http://schemas.openxmlformats.org/officeDocument/2006/relationships/hyperlink" Target="https://finance.yahoo.com/quote/AAPL/options/?straddle=false&amp;strike=70&amp;type=all" TargetMode="External"/><Relationship Id="rId3598" Type="http://schemas.openxmlformats.org/officeDocument/2006/relationships/hyperlink" Target="https://finance.yahoo.com/quote/AAPL/options/?straddle=false&amp;strike=242.5&amp;type=all" TargetMode="External"/><Relationship Id="rId3458" Type="http://schemas.openxmlformats.org/officeDocument/2006/relationships/hyperlink" Target="https://finance.yahoo.com/quote/AAPL/options/?straddle=false&amp;strike=320&amp;type=all" TargetMode="External"/><Relationship Id="rId3665" Type="http://schemas.openxmlformats.org/officeDocument/2006/relationships/hyperlink" Target="https://finance.yahoo.com/quote/AAPL251010P00175000/" TargetMode="External"/><Relationship Id="rId379" Type="http://schemas.openxmlformats.org/officeDocument/2006/relationships/hyperlink" Target="https://finance.yahoo.com/quote/AAPL251024P00255000/" TargetMode="External"/><Relationship Id="rId586" Type="http://schemas.openxmlformats.org/officeDocument/2006/relationships/hyperlink" Target="https://finance.yahoo.com/quote/AAPL/options/?straddle=false&amp;strike=320&amp;type=all" TargetMode="External"/><Relationship Id="rId793" Type="http://schemas.openxmlformats.org/officeDocument/2006/relationships/hyperlink" Target="https://finance.yahoo.com/quote/AAPL251121P00265000/" TargetMode="External"/><Relationship Id="rId2267" Type="http://schemas.openxmlformats.org/officeDocument/2006/relationships/hyperlink" Target="https://finance.yahoo.com/quote/AAPL260918C00270000/" TargetMode="External"/><Relationship Id="rId2474" Type="http://schemas.openxmlformats.org/officeDocument/2006/relationships/hyperlink" Target="https://finance.yahoo.com/quote/AAPL/options/?straddle=false&amp;strike=170&amp;type=all" TargetMode="External"/><Relationship Id="rId2681" Type="http://schemas.openxmlformats.org/officeDocument/2006/relationships/hyperlink" Target="https://finance.yahoo.com/quote/AAPL270115C00085000/" TargetMode="External"/><Relationship Id="rId3318" Type="http://schemas.openxmlformats.org/officeDocument/2006/relationships/hyperlink" Target="https://finance.yahoo.com/quote/AAPL/options/?straddle=false&amp;strike=145&amp;type=all" TargetMode="External"/><Relationship Id="rId3525" Type="http://schemas.openxmlformats.org/officeDocument/2006/relationships/hyperlink" Target="https://finance.yahoo.com/quote/AAPL280121P00250000/" TargetMode="External"/><Relationship Id="rId239" Type="http://schemas.openxmlformats.org/officeDocument/2006/relationships/hyperlink" Target="https://finance.yahoo.com/quote/AAPL251017P00305000/" TargetMode="External"/><Relationship Id="rId446" Type="http://schemas.openxmlformats.org/officeDocument/2006/relationships/hyperlink" Target="https://finance.yahoo.com/quote/AAPL/options/?straddle=false&amp;strike=280&amp;type=all" TargetMode="External"/><Relationship Id="rId653" Type="http://schemas.openxmlformats.org/officeDocument/2006/relationships/hyperlink" Target="https://finance.yahoo.com/quote/AAPL251121C00170000/" TargetMode="External"/><Relationship Id="rId1076" Type="http://schemas.openxmlformats.org/officeDocument/2006/relationships/hyperlink" Target="https://finance.yahoo.com/quote/AAPL/options/?straddle=false&amp;strike=295&amp;type=all" TargetMode="External"/><Relationship Id="rId1283" Type="http://schemas.openxmlformats.org/officeDocument/2006/relationships/hyperlink" Target="https://finance.yahoo.com/quote/AAPL260320C00090000/" TargetMode="External"/><Relationship Id="rId1490" Type="http://schemas.openxmlformats.org/officeDocument/2006/relationships/hyperlink" Target="https://finance.yahoo.com/quote/AAPL/options/?straddle=false&amp;strike=260&amp;type=all" TargetMode="External"/><Relationship Id="rId2127" Type="http://schemas.openxmlformats.org/officeDocument/2006/relationships/hyperlink" Target="https://finance.yahoo.com/quote/AAPL260821P00145000/" TargetMode="External"/><Relationship Id="rId2334" Type="http://schemas.openxmlformats.org/officeDocument/2006/relationships/hyperlink" Target="https://finance.yahoo.com/quote/AAPL/options/?straddle=false&amp;strike=130&amp;type=all" TargetMode="External"/><Relationship Id="rId3732" Type="http://schemas.openxmlformats.org/officeDocument/2006/relationships/hyperlink" Target="https://finance.yahoo.com/quote/AAPL/options/?straddle=false&amp;strike=280&amp;type=all" TargetMode="External"/><Relationship Id="rId306" Type="http://schemas.openxmlformats.org/officeDocument/2006/relationships/hyperlink" Target="https://finance.yahoo.com/quote/AAPL/options/?straddle=false&amp;strike=275&amp;type=all" TargetMode="External"/><Relationship Id="rId860" Type="http://schemas.openxmlformats.org/officeDocument/2006/relationships/hyperlink" Target="https://finance.yahoo.com/quote/AAPL/options/?straddle=false&amp;strike=110&amp;type=all" TargetMode="External"/><Relationship Id="rId1143" Type="http://schemas.openxmlformats.org/officeDocument/2006/relationships/hyperlink" Target="https://finance.yahoo.com/quote/AAPL260220C00215000/" TargetMode="External"/><Relationship Id="rId2541" Type="http://schemas.openxmlformats.org/officeDocument/2006/relationships/hyperlink" Target="https://finance.yahoo.com/quote/AAPL261218P00015000/" TargetMode="External"/><Relationship Id="rId513" Type="http://schemas.openxmlformats.org/officeDocument/2006/relationships/hyperlink" Target="https://finance.yahoo.com/quote/AAPL251031P00240000/" TargetMode="External"/><Relationship Id="rId720" Type="http://schemas.openxmlformats.org/officeDocument/2006/relationships/hyperlink" Target="https://finance.yahoo.com/quote/AAPL/options/?straddle=false&amp;strike=335&amp;type=all" TargetMode="External"/><Relationship Id="rId1350" Type="http://schemas.openxmlformats.org/officeDocument/2006/relationships/hyperlink" Target="https://finance.yahoo.com/quote/AAPL/options/?straddle=false&amp;strike=310&amp;type=all" TargetMode="External"/><Relationship Id="rId2401" Type="http://schemas.openxmlformats.org/officeDocument/2006/relationships/hyperlink" Target="https://finance.yahoo.com/quote/AAPL260918P00300000/" TargetMode="External"/><Relationship Id="rId1003" Type="http://schemas.openxmlformats.org/officeDocument/2006/relationships/hyperlink" Target="https://finance.yahoo.com/quote/AAPL260116P00115000/" TargetMode="External"/><Relationship Id="rId1210" Type="http://schemas.openxmlformats.org/officeDocument/2006/relationships/hyperlink" Target="https://finance.yahoo.com/quote/AAPL/options/?straddle=false&amp;strike=125&amp;type=all" TargetMode="External"/><Relationship Id="rId3175" Type="http://schemas.openxmlformats.org/officeDocument/2006/relationships/hyperlink" Target="https://finance.yahoo.com/quote/AAPL271217C00185000/" TargetMode="External"/><Relationship Id="rId3382" Type="http://schemas.openxmlformats.org/officeDocument/2006/relationships/hyperlink" Target="https://finance.yahoo.com/quote/AAPL/options/?straddle=false&amp;strike=305&amp;type=all" TargetMode="External"/><Relationship Id="rId2191" Type="http://schemas.openxmlformats.org/officeDocument/2006/relationships/hyperlink" Target="https://finance.yahoo.com/quote/AAPL260918C00080000/" TargetMode="External"/><Relationship Id="rId3035" Type="http://schemas.openxmlformats.org/officeDocument/2006/relationships/hyperlink" Target="https://finance.yahoo.com/quote/AAPL270617P00110000/" TargetMode="External"/><Relationship Id="rId3242" Type="http://schemas.openxmlformats.org/officeDocument/2006/relationships/hyperlink" Target="https://finance.yahoo.com/quote/AAPL/options/?straddle=false&amp;strike=350&amp;type=all" TargetMode="External"/><Relationship Id="rId163" Type="http://schemas.openxmlformats.org/officeDocument/2006/relationships/hyperlink" Target="https://finance.yahoo.com/quote/AAPL251017P00170000/" TargetMode="External"/><Relationship Id="rId370" Type="http://schemas.openxmlformats.org/officeDocument/2006/relationships/hyperlink" Target="https://finance.yahoo.com/quote/AAPL/options/?straddle=false&amp;strike=230&amp;type=all" TargetMode="External"/><Relationship Id="rId2051" Type="http://schemas.openxmlformats.org/officeDocument/2006/relationships/hyperlink" Target="https://finance.yahoo.com/quote/AAPL260821C00125000/" TargetMode="External"/><Relationship Id="rId3102" Type="http://schemas.openxmlformats.org/officeDocument/2006/relationships/hyperlink" Target="https://finance.yahoo.com/quote/AAPL/options/?straddle=false&amp;strike=350&amp;type=all" TargetMode="External"/><Relationship Id="rId230" Type="http://schemas.openxmlformats.org/officeDocument/2006/relationships/hyperlink" Target="https://finance.yahoo.com/quote/AAPL/options/?straddle=false&amp;strike=280&amp;type=all" TargetMode="External"/><Relationship Id="rId2868" Type="http://schemas.openxmlformats.org/officeDocument/2006/relationships/hyperlink" Target="https://finance.yahoo.com/quote/AAPL/options/?straddle=false&amp;strike=280&amp;type=all" TargetMode="External"/><Relationship Id="rId1677" Type="http://schemas.openxmlformats.org/officeDocument/2006/relationships/hyperlink" Target="https://finance.yahoo.com/quote/AAPL260515C00370000/" TargetMode="External"/><Relationship Id="rId1884" Type="http://schemas.openxmlformats.org/officeDocument/2006/relationships/hyperlink" Target="https://finance.yahoo.com/quote/AAPL/options/?straddle=false&amp;strike=275&amp;type=all" TargetMode="External"/><Relationship Id="rId2728" Type="http://schemas.openxmlformats.org/officeDocument/2006/relationships/hyperlink" Target="https://finance.yahoo.com/quote/AAPL/options/?straddle=false&amp;strike=200&amp;type=all" TargetMode="External"/><Relationship Id="rId2935" Type="http://schemas.openxmlformats.org/officeDocument/2006/relationships/hyperlink" Target="https://finance.yahoo.com/quote/AAPL270617C00140000/" TargetMode="External"/><Relationship Id="rId907" Type="http://schemas.openxmlformats.org/officeDocument/2006/relationships/hyperlink" Target="https://finance.yahoo.com/quote/AAPL260116C00230000/" TargetMode="External"/><Relationship Id="rId1537" Type="http://schemas.openxmlformats.org/officeDocument/2006/relationships/hyperlink" Target="https://finance.yahoo.com/quote/AAPL260417P00150000/" TargetMode="External"/><Relationship Id="rId1744" Type="http://schemas.openxmlformats.org/officeDocument/2006/relationships/hyperlink" Target="https://finance.yahoo.com/quote/AAPL/options/?straddle=false&amp;strike=185&amp;type=all" TargetMode="External"/><Relationship Id="rId1951" Type="http://schemas.openxmlformats.org/officeDocument/2006/relationships/hyperlink" Target="https://finance.yahoo.com/quote/AAPL260618P00105000/" TargetMode="External"/><Relationship Id="rId36" Type="http://schemas.openxmlformats.org/officeDocument/2006/relationships/hyperlink" Target="https://finance.yahoo.com/quote/AAPL/options/?straddle=false&amp;strike=190&amp;type=all" TargetMode="External"/><Relationship Id="rId1604" Type="http://schemas.openxmlformats.org/officeDocument/2006/relationships/hyperlink" Target="https://finance.yahoo.com/quote/AAPL/options/?straddle=false&amp;strike=60&amp;type=all" TargetMode="External"/><Relationship Id="rId1811" Type="http://schemas.openxmlformats.org/officeDocument/2006/relationships/hyperlink" Target="https://finance.yahoo.com/quote/AAPL260618C00095000/" TargetMode="External"/><Relationship Id="rId3569" Type="http://schemas.openxmlformats.org/officeDocument/2006/relationships/hyperlink" Target="https://finance.yahoo.com/quote/AAPL251010C00200000/" TargetMode="External"/><Relationship Id="rId697" Type="http://schemas.openxmlformats.org/officeDocument/2006/relationships/hyperlink" Target="https://finance.yahoo.com/quote/AAPL251121C00280000/" TargetMode="External"/><Relationship Id="rId2378" Type="http://schemas.openxmlformats.org/officeDocument/2006/relationships/hyperlink" Target="https://finance.yahoo.com/quote/AAPL/options/?straddle=false&amp;strike=240&amp;type=all" TargetMode="External"/><Relationship Id="rId3429" Type="http://schemas.openxmlformats.org/officeDocument/2006/relationships/hyperlink" Target="https://finance.yahoo.com/quote/AAPL280121C00190000/" TargetMode="External"/><Relationship Id="rId1187" Type="http://schemas.openxmlformats.org/officeDocument/2006/relationships/hyperlink" Target="https://finance.yahoo.com/quote/AAPL260220C00350000/" TargetMode="External"/><Relationship Id="rId2585" Type="http://schemas.openxmlformats.org/officeDocument/2006/relationships/hyperlink" Target="https://finance.yahoo.com/quote/AAPL261218P00140000/" TargetMode="External"/><Relationship Id="rId2792" Type="http://schemas.openxmlformats.org/officeDocument/2006/relationships/hyperlink" Target="https://finance.yahoo.com/quote/AAPL/options/?straddle=false&amp;strike=35&amp;type=all" TargetMode="External"/><Relationship Id="rId3636" Type="http://schemas.openxmlformats.org/officeDocument/2006/relationships/hyperlink" Target="https://finance.yahoo.com/quote/AAPL/options/?straddle=false&amp;strike=305&amp;type=all" TargetMode="External"/><Relationship Id="rId557" Type="http://schemas.openxmlformats.org/officeDocument/2006/relationships/hyperlink" Target="https://finance.yahoo.com/quote/AAPL251107C00240000/" TargetMode="External"/><Relationship Id="rId764" Type="http://schemas.openxmlformats.org/officeDocument/2006/relationships/hyperlink" Target="https://finance.yahoo.com/quote/AAPL/options/?straddle=false&amp;strike=190&amp;type=all" TargetMode="External"/><Relationship Id="rId971" Type="http://schemas.openxmlformats.org/officeDocument/2006/relationships/hyperlink" Target="https://finance.yahoo.com/quote/AAPL260116P00035000/" TargetMode="External"/><Relationship Id="rId1394" Type="http://schemas.openxmlformats.org/officeDocument/2006/relationships/hyperlink" Target="https://finance.yahoo.com/quote/AAPL/options/?straddle=false&amp;strike=165&amp;type=all" TargetMode="External"/><Relationship Id="rId2238" Type="http://schemas.openxmlformats.org/officeDocument/2006/relationships/hyperlink" Target="https://finance.yahoo.com/quote/AAPL/options/?straddle=false&amp;strike=195&amp;type=all" TargetMode="External"/><Relationship Id="rId2445" Type="http://schemas.openxmlformats.org/officeDocument/2006/relationships/hyperlink" Target="https://finance.yahoo.com/quote/AAPL261218C00100000/" TargetMode="External"/><Relationship Id="rId2652" Type="http://schemas.openxmlformats.org/officeDocument/2006/relationships/hyperlink" Target="https://finance.yahoo.com/quote/AAPL/options/?straddle=false&amp;strike=440&amp;type=all" TargetMode="External"/><Relationship Id="rId3703" Type="http://schemas.openxmlformats.org/officeDocument/2006/relationships/hyperlink" Target="https://finance.yahoo.com/quote/AAPL251010P00242500/" TargetMode="External"/><Relationship Id="rId417" Type="http://schemas.openxmlformats.org/officeDocument/2006/relationships/hyperlink" Target="https://finance.yahoo.com/quote/AAPL251031C00210000/" TargetMode="External"/><Relationship Id="rId624" Type="http://schemas.openxmlformats.org/officeDocument/2006/relationships/hyperlink" Target="https://finance.yahoo.com/quote/AAPL/options/?straddle=false&amp;strike=265&amp;type=all" TargetMode="External"/><Relationship Id="rId831" Type="http://schemas.openxmlformats.org/officeDocument/2006/relationships/hyperlink" Target="https://finance.yahoo.com/quote/AAPL260116C00040000/" TargetMode="External"/><Relationship Id="rId1047" Type="http://schemas.openxmlformats.org/officeDocument/2006/relationships/hyperlink" Target="https://finance.yahoo.com/quote/AAPL260116P00225000/" TargetMode="External"/><Relationship Id="rId1254" Type="http://schemas.openxmlformats.org/officeDocument/2006/relationships/hyperlink" Target="https://finance.yahoo.com/quote/AAPL/options/?straddle=false&amp;strike=235&amp;type=all" TargetMode="External"/><Relationship Id="rId1461" Type="http://schemas.openxmlformats.org/officeDocument/2006/relationships/hyperlink" Target="https://finance.yahoo.com/quote/AAPL260417C00190000/" TargetMode="External"/><Relationship Id="rId2305" Type="http://schemas.openxmlformats.org/officeDocument/2006/relationships/hyperlink" Target="https://finance.yahoo.com/quote/AAPL260918P00060000/" TargetMode="External"/><Relationship Id="rId2512" Type="http://schemas.openxmlformats.org/officeDocument/2006/relationships/hyperlink" Target="https://finance.yahoo.com/quote/AAPL/options/?straddle=false&amp;strike=330&amp;type=all" TargetMode="External"/><Relationship Id="rId1114" Type="http://schemas.openxmlformats.org/officeDocument/2006/relationships/hyperlink" Target="https://finance.yahoo.com/quote/AAPL/options/?straddle=false&amp;strike=140&amp;type=all" TargetMode="External"/><Relationship Id="rId1321" Type="http://schemas.openxmlformats.org/officeDocument/2006/relationships/hyperlink" Target="https://finance.yahoo.com/quote/AAPL260320C00185000/" TargetMode="External"/><Relationship Id="rId3079" Type="http://schemas.openxmlformats.org/officeDocument/2006/relationships/hyperlink" Target="https://finance.yahoo.com/quote/AAPL270617P00240000/" TargetMode="External"/><Relationship Id="rId3286" Type="http://schemas.openxmlformats.org/officeDocument/2006/relationships/hyperlink" Target="https://finance.yahoo.com/quote/AAPL/options/?straddle=false&amp;strike=65&amp;type=all" TargetMode="External"/><Relationship Id="rId3493" Type="http://schemas.openxmlformats.org/officeDocument/2006/relationships/hyperlink" Target="https://finance.yahoo.com/quote/AAPL280121P00135000/" TargetMode="External"/><Relationship Id="rId2095" Type="http://schemas.openxmlformats.org/officeDocument/2006/relationships/hyperlink" Target="https://finance.yahoo.com/quote/AAPL260821C00270000/" TargetMode="External"/><Relationship Id="rId3146" Type="http://schemas.openxmlformats.org/officeDocument/2006/relationships/hyperlink" Target="https://finance.yahoo.com/quote/AAPL/options/?straddle=false&amp;strike=110&amp;type=all" TargetMode="External"/><Relationship Id="rId3353" Type="http://schemas.openxmlformats.org/officeDocument/2006/relationships/hyperlink" Target="https://finance.yahoo.com/quote/AAPL271217P00235000/" TargetMode="External"/><Relationship Id="rId274" Type="http://schemas.openxmlformats.org/officeDocument/2006/relationships/hyperlink" Target="https://finance.yahoo.com/quote/AAPL/options/?straddle=false&amp;strike=195&amp;type=all" TargetMode="External"/><Relationship Id="rId481" Type="http://schemas.openxmlformats.org/officeDocument/2006/relationships/hyperlink" Target="https://finance.yahoo.com/quote/AAPL251031P00160000/" TargetMode="External"/><Relationship Id="rId2162" Type="http://schemas.openxmlformats.org/officeDocument/2006/relationships/hyperlink" Target="https://finance.yahoo.com/quote/AAPL/options/?straddle=false&amp;strike=260&amp;type=all" TargetMode="External"/><Relationship Id="rId3006" Type="http://schemas.openxmlformats.org/officeDocument/2006/relationships/hyperlink" Target="https://finance.yahoo.com/quote/AAPL/options/?straddle=false&amp;strike=430&amp;type=all" TargetMode="External"/><Relationship Id="rId3560" Type="http://schemas.openxmlformats.org/officeDocument/2006/relationships/hyperlink" Target="https://finance.yahoo.com/quote/AAPL/options/?straddle=false&amp;strike=175&amp;type=all" TargetMode="External"/><Relationship Id="rId134" Type="http://schemas.openxmlformats.org/officeDocument/2006/relationships/hyperlink" Target="https://finance.yahoo.com/quote/AAPL/options/?straddle=false&amp;strike=95&amp;type=all" TargetMode="External"/><Relationship Id="rId3213" Type="http://schemas.openxmlformats.org/officeDocument/2006/relationships/hyperlink" Target="https://finance.yahoo.com/quote/AAPL271217C00280000/" TargetMode="External"/><Relationship Id="rId3420" Type="http://schemas.openxmlformats.org/officeDocument/2006/relationships/hyperlink" Target="https://finance.yahoo.com/quote/AAPL/options/?straddle=false&amp;strike=160&amp;type=all" TargetMode="External"/><Relationship Id="rId341" Type="http://schemas.openxmlformats.org/officeDocument/2006/relationships/hyperlink" Target="https://finance.yahoo.com/quote/AAPL251024P00160000/" TargetMode="External"/><Relationship Id="rId2022" Type="http://schemas.openxmlformats.org/officeDocument/2006/relationships/hyperlink" Target="https://finance.yahoo.com/quote/AAPL/options/?straddle=false&amp;strike=280&amp;type=all" TargetMode="External"/><Relationship Id="rId2979" Type="http://schemas.openxmlformats.org/officeDocument/2006/relationships/hyperlink" Target="https://finance.yahoo.com/quote/AAPL270617C00300000/" TargetMode="External"/><Relationship Id="rId201" Type="http://schemas.openxmlformats.org/officeDocument/2006/relationships/hyperlink" Target="https://finance.yahoo.com/quote/AAPL251017P00240000/" TargetMode="External"/><Relationship Id="rId1788" Type="http://schemas.openxmlformats.org/officeDocument/2006/relationships/hyperlink" Target="https://finance.yahoo.com/quote/AAPL/options/?straddle=false&amp;strike=35&amp;type=all" TargetMode="External"/><Relationship Id="rId1995" Type="http://schemas.openxmlformats.org/officeDocument/2006/relationships/hyperlink" Target="https://finance.yahoo.com/quote/AAPL260618P00215000/" TargetMode="External"/><Relationship Id="rId2839" Type="http://schemas.openxmlformats.org/officeDocument/2006/relationships/hyperlink" Target="https://finance.yahoo.com/quote/AAPL270115P00170000/" TargetMode="External"/><Relationship Id="rId1648" Type="http://schemas.openxmlformats.org/officeDocument/2006/relationships/hyperlink" Target="https://finance.yahoo.com/quote/AAPL/options/?straddle=false&amp;strike=220&amp;type=all" TargetMode="External"/><Relationship Id="rId1508" Type="http://schemas.openxmlformats.org/officeDocument/2006/relationships/hyperlink" Target="https://finance.yahoo.com/quote/AAPL/options/?straddle=false&amp;strike=305&amp;type=all" TargetMode="External"/><Relationship Id="rId1855" Type="http://schemas.openxmlformats.org/officeDocument/2006/relationships/hyperlink" Target="https://finance.yahoo.com/quote/AAPL260618C00205000/" TargetMode="External"/><Relationship Id="rId2906" Type="http://schemas.openxmlformats.org/officeDocument/2006/relationships/hyperlink" Target="https://finance.yahoo.com/quote/AAPL/options/?straddle=false&amp;strike=65&amp;type=all" TargetMode="External"/><Relationship Id="rId3070" Type="http://schemas.openxmlformats.org/officeDocument/2006/relationships/hyperlink" Target="https://finance.yahoo.com/quote/AAPL/options/?straddle=false&amp;strike=195&amp;type=all" TargetMode="External"/><Relationship Id="rId1715" Type="http://schemas.openxmlformats.org/officeDocument/2006/relationships/hyperlink" Target="https://finance.yahoo.com/quote/AAPL260515P00115000/" TargetMode="External"/><Relationship Id="rId1922" Type="http://schemas.openxmlformats.org/officeDocument/2006/relationships/hyperlink" Target="https://finance.yahoo.com/quote/AAPL/options/?straddle=false&amp;strike=30&amp;type=all" TargetMode="External"/><Relationship Id="rId2489" Type="http://schemas.openxmlformats.org/officeDocument/2006/relationships/hyperlink" Target="https://finance.yahoo.com/quote/AAPL261218C00220000/" TargetMode="External"/><Relationship Id="rId2696" Type="http://schemas.openxmlformats.org/officeDocument/2006/relationships/hyperlink" Target="https://finance.yahoo.com/quote/AAPL/options/?straddle=false&amp;strike=120&amp;type=all" TargetMode="External"/><Relationship Id="rId668" Type="http://schemas.openxmlformats.org/officeDocument/2006/relationships/hyperlink" Target="https://finance.yahoo.com/quote/AAPL/options/?straddle=false&amp;strike=205&amp;type=all" TargetMode="External"/><Relationship Id="rId875" Type="http://schemas.openxmlformats.org/officeDocument/2006/relationships/hyperlink" Target="https://finance.yahoo.com/quote/AAPL260116C00150000/" TargetMode="External"/><Relationship Id="rId1298" Type="http://schemas.openxmlformats.org/officeDocument/2006/relationships/hyperlink" Target="https://finance.yahoo.com/quote/AAPL/options/?straddle=false&amp;strike=125&amp;type=all" TargetMode="External"/><Relationship Id="rId2349" Type="http://schemas.openxmlformats.org/officeDocument/2006/relationships/hyperlink" Target="https://finance.yahoo.com/quote/AAPL260918P00170000/" TargetMode="External"/><Relationship Id="rId2556" Type="http://schemas.openxmlformats.org/officeDocument/2006/relationships/hyperlink" Target="https://finance.yahoo.com/quote/AAPL/options/?straddle=false&amp;strike=50&amp;type=all" TargetMode="External"/><Relationship Id="rId2763" Type="http://schemas.openxmlformats.org/officeDocument/2006/relationships/hyperlink" Target="https://finance.yahoo.com/quote/AAPL270115C00380000/" TargetMode="External"/><Relationship Id="rId2970" Type="http://schemas.openxmlformats.org/officeDocument/2006/relationships/hyperlink" Target="https://finance.yahoo.com/quote/AAPL/options/?straddle=false&amp;strike=250&amp;type=all" TargetMode="External"/><Relationship Id="rId3607" Type="http://schemas.openxmlformats.org/officeDocument/2006/relationships/hyperlink" Target="https://finance.yahoo.com/quote/AAPL251010C00255000/" TargetMode="External"/><Relationship Id="rId528" Type="http://schemas.openxmlformats.org/officeDocument/2006/relationships/hyperlink" Target="https://finance.yahoo.com/quote/AAPL/options/?straddle=false&amp;strike=275&amp;type=all" TargetMode="External"/><Relationship Id="rId735" Type="http://schemas.openxmlformats.org/officeDocument/2006/relationships/hyperlink" Target="https://finance.yahoo.com/quote/AAPL251121P00120000/" TargetMode="External"/><Relationship Id="rId942" Type="http://schemas.openxmlformats.org/officeDocument/2006/relationships/hyperlink" Target="https://finance.yahoo.com/quote/AAPL/options/?straddle=false&amp;strike=315&amp;type=all" TargetMode="External"/><Relationship Id="rId1158" Type="http://schemas.openxmlformats.org/officeDocument/2006/relationships/hyperlink" Target="https://finance.yahoo.com/quote/AAPL/options/?straddle=false&amp;strike=250&amp;type=all" TargetMode="External"/><Relationship Id="rId1365" Type="http://schemas.openxmlformats.org/officeDocument/2006/relationships/hyperlink" Target="https://finance.yahoo.com/quote/AAPL260320P00095000/" TargetMode="External"/><Relationship Id="rId1572" Type="http://schemas.openxmlformats.org/officeDocument/2006/relationships/hyperlink" Target="https://finance.yahoo.com/quote/AAPL/options/?straddle=false&amp;strike=235&amp;type=all" TargetMode="External"/><Relationship Id="rId2209" Type="http://schemas.openxmlformats.org/officeDocument/2006/relationships/hyperlink" Target="https://finance.yahoo.com/quote/AAPL260918C00125000/" TargetMode="External"/><Relationship Id="rId2416" Type="http://schemas.openxmlformats.org/officeDocument/2006/relationships/hyperlink" Target="https://finance.yahoo.com/quote/AAPL/options/?straddle=false&amp;strike=10&amp;type=all" TargetMode="External"/><Relationship Id="rId2623" Type="http://schemas.openxmlformats.org/officeDocument/2006/relationships/hyperlink" Target="https://finance.yahoo.com/quote/AAPL261218P00270000/" TargetMode="External"/><Relationship Id="rId1018" Type="http://schemas.openxmlformats.org/officeDocument/2006/relationships/hyperlink" Target="https://finance.yahoo.com/quote/AAPL/options/?straddle=false&amp;strike=150&amp;type=all" TargetMode="External"/><Relationship Id="rId1225" Type="http://schemas.openxmlformats.org/officeDocument/2006/relationships/hyperlink" Target="https://finance.yahoo.com/quote/AAPL260220P00165000/" TargetMode="External"/><Relationship Id="rId1432" Type="http://schemas.openxmlformats.org/officeDocument/2006/relationships/hyperlink" Target="https://finance.yahoo.com/quote/AAPL/options/?straddle=false&amp;strike=320&amp;type=all" TargetMode="External"/><Relationship Id="rId2830" Type="http://schemas.openxmlformats.org/officeDocument/2006/relationships/hyperlink" Target="https://finance.yahoo.com/quote/AAPL/options/?straddle=false&amp;strike=145&amp;type=all" TargetMode="External"/><Relationship Id="rId71" Type="http://schemas.openxmlformats.org/officeDocument/2006/relationships/hyperlink" Target="https://finance.yahoo.com/quote/AAPL251017C00247500/" TargetMode="External"/><Relationship Id="rId802" Type="http://schemas.openxmlformats.org/officeDocument/2006/relationships/hyperlink" Target="https://finance.yahoo.com/quote/AAPL/options/?straddle=false&amp;strike=285&amp;type=all" TargetMode="External"/><Relationship Id="rId3397" Type="http://schemas.openxmlformats.org/officeDocument/2006/relationships/hyperlink" Target="https://finance.yahoo.com/quote/AAPL271217P00380000/" TargetMode="External"/><Relationship Id="rId178" Type="http://schemas.openxmlformats.org/officeDocument/2006/relationships/hyperlink" Target="https://finance.yahoo.com/quote/AAPL/options/?straddle=false&amp;strike=205&amp;type=all" TargetMode="External"/><Relationship Id="rId3257" Type="http://schemas.openxmlformats.org/officeDocument/2006/relationships/hyperlink" Target="https://finance.yahoo.com/quote/AAPL271217C00390000/" TargetMode="External"/><Relationship Id="rId3464" Type="http://schemas.openxmlformats.org/officeDocument/2006/relationships/hyperlink" Target="https://finance.yahoo.com/quote/AAPL/options/?straddle=false&amp;strike=350&amp;type=all" TargetMode="External"/><Relationship Id="rId3671" Type="http://schemas.openxmlformats.org/officeDocument/2006/relationships/hyperlink" Target="https://finance.yahoo.com/quote/AAPL251010P00190000/" TargetMode="External"/><Relationship Id="rId385" Type="http://schemas.openxmlformats.org/officeDocument/2006/relationships/hyperlink" Target="https://finance.yahoo.com/quote/AAPL251024P00270000/" TargetMode="External"/><Relationship Id="rId592" Type="http://schemas.openxmlformats.org/officeDocument/2006/relationships/hyperlink" Target="https://finance.yahoo.com/quote/AAPL/options/?straddle=false&amp;strike=185&amp;type=all" TargetMode="External"/><Relationship Id="rId2066" Type="http://schemas.openxmlformats.org/officeDocument/2006/relationships/hyperlink" Target="https://finance.yahoo.com/quote/AAPL/options/?straddle=false&amp;strike=160&amp;type=all" TargetMode="External"/><Relationship Id="rId2273" Type="http://schemas.openxmlformats.org/officeDocument/2006/relationships/hyperlink" Target="https://finance.yahoo.com/quote/AAPL260918C00285000/" TargetMode="External"/><Relationship Id="rId2480" Type="http://schemas.openxmlformats.org/officeDocument/2006/relationships/hyperlink" Target="https://finance.yahoo.com/quote/AAPL/options/?straddle=false&amp;strike=185&amp;type=all" TargetMode="External"/><Relationship Id="rId3117" Type="http://schemas.openxmlformats.org/officeDocument/2006/relationships/hyperlink" Target="https://finance.yahoo.com/quote/AAPL270617P00440000/" TargetMode="External"/><Relationship Id="rId3324" Type="http://schemas.openxmlformats.org/officeDocument/2006/relationships/hyperlink" Target="https://finance.yahoo.com/quote/AAPL/options/?straddle=false&amp;strike=160&amp;type=all" TargetMode="External"/><Relationship Id="rId3531" Type="http://schemas.openxmlformats.org/officeDocument/2006/relationships/hyperlink" Target="https://finance.yahoo.com/quote/AAPL280121P00280000/" TargetMode="External"/><Relationship Id="rId245" Type="http://schemas.openxmlformats.org/officeDocument/2006/relationships/hyperlink" Target="https://finance.yahoo.com/quote/AAPL251017P00330000/" TargetMode="External"/><Relationship Id="rId452" Type="http://schemas.openxmlformats.org/officeDocument/2006/relationships/hyperlink" Target="https://finance.yahoo.com/quote/AAPL/options/?straddle=false&amp;strike=295&amp;type=all" TargetMode="External"/><Relationship Id="rId1082" Type="http://schemas.openxmlformats.org/officeDocument/2006/relationships/hyperlink" Target="https://finance.yahoo.com/quote/AAPL/options/?straddle=false&amp;strike=310&amp;type=all" TargetMode="External"/><Relationship Id="rId2133" Type="http://schemas.openxmlformats.org/officeDocument/2006/relationships/hyperlink" Target="https://finance.yahoo.com/quote/AAPL260821P00160000/" TargetMode="External"/><Relationship Id="rId2340" Type="http://schemas.openxmlformats.org/officeDocument/2006/relationships/hyperlink" Target="https://finance.yahoo.com/quote/AAPL/options/?straddle=false&amp;strike=145&amp;type=all" TargetMode="External"/><Relationship Id="rId105" Type="http://schemas.openxmlformats.org/officeDocument/2006/relationships/hyperlink" Target="https://finance.yahoo.com/quote/AAPL251017C00305000/" TargetMode="External"/><Relationship Id="rId312" Type="http://schemas.openxmlformats.org/officeDocument/2006/relationships/hyperlink" Target="https://finance.yahoo.com/quote/AAPL/options/?straddle=false&amp;strike=290&amp;type=all" TargetMode="External"/><Relationship Id="rId2200" Type="http://schemas.openxmlformats.org/officeDocument/2006/relationships/hyperlink" Target="https://finance.yahoo.com/quote/AAPL/options/?straddle=false&amp;strike=100&amp;type=all" TargetMode="External"/><Relationship Id="rId1899" Type="http://schemas.openxmlformats.org/officeDocument/2006/relationships/hyperlink" Target="https://finance.yahoo.com/quote/AAPL260618C00340000/" TargetMode="External"/><Relationship Id="rId1759" Type="http://schemas.openxmlformats.org/officeDocument/2006/relationships/hyperlink" Target="https://finance.yahoo.com/quote/AAPL260515P00250000/" TargetMode="External"/><Relationship Id="rId1966" Type="http://schemas.openxmlformats.org/officeDocument/2006/relationships/hyperlink" Target="https://finance.yahoo.com/quote/AAPL/options/?straddle=false&amp;strike=140&amp;type=all" TargetMode="External"/><Relationship Id="rId3181" Type="http://schemas.openxmlformats.org/officeDocument/2006/relationships/hyperlink" Target="https://finance.yahoo.com/quote/AAPL271217C00200000/" TargetMode="External"/><Relationship Id="rId1619" Type="http://schemas.openxmlformats.org/officeDocument/2006/relationships/hyperlink" Target="https://finance.yahoo.com/quote/AAPL260515C00140000/" TargetMode="External"/><Relationship Id="rId1826" Type="http://schemas.openxmlformats.org/officeDocument/2006/relationships/hyperlink" Target="https://finance.yahoo.com/quote/AAPL/options/?straddle=false&amp;strike=130&amp;type=all" TargetMode="External"/><Relationship Id="rId3041" Type="http://schemas.openxmlformats.org/officeDocument/2006/relationships/hyperlink" Target="https://finance.yahoo.com/quote/AAPL270617P00125000/" TargetMode="External"/><Relationship Id="rId779" Type="http://schemas.openxmlformats.org/officeDocument/2006/relationships/hyperlink" Target="https://finance.yahoo.com/quote/AAPL251121P00230000/" TargetMode="External"/><Relationship Id="rId986" Type="http://schemas.openxmlformats.org/officeDocument/2006/relationships/hyperlink" Target="https://finance.yahoo.com/quote/AAPL/options/?straddle=false&amp;strike=70&amp;type=all" TargetMode="External"/><Relationship Id="rId2667" Type="http://schemas.openxmlformats.org/officeDocument/2006/relationships/hyperlink" Target="https://finance.yahoo.com/quote/AAPL270115C00035000/" TargetMode="External"/><Relationship Id="rId3718" Type="http://schemas.openxmlformats.org/officeDocument/2006/relationships/hyperlink" Target="https://finance.yahoo.com/quote/AAPL/options/?straddle=false&amp;strike=260&amp;type=all" TargetMode="External"/><Relationship Id="rId639" Type="http://schemas.openxmlformats.org/officeDocument/2006/relationships/hyperlink" Target="https://finance.yahoo.com/quote/AAPL251121C00135000/" TargetMode="External"/><Relationship Id="rId1269" Type="http://schemas.openxmlformats.org/officeDocument/2006/relationships/hyperlink" Target="https://finance.yahoo.com/quote/AAPL260220P00275000/" TargetMode="External"/><Relationship Id="rId1476" Type="http://schemas.openxmlformats.org/officeDocument/2006/relationships/hyperlink" Target="https://finance.yahoo.com/quote/AAPL/options/?straddle=false&amp;strike=225&amp;type=all" TargetMode="External"/><Relationship Id="rId2874" Type="http://schemas.openxmlformats.org/officeDocument/2006/relationships/hyperlink" Target="https://finance.yahoo.com/quote/AAPL/options/?straddle=false&amp;strike=310&amp;type=all" TargetMode="External"/><Relationship Id="rId846" Type="http://schemas.openxmlformats.org/officeDocument/2006/relationships/hyperlink" Target="https://finance.yahoo.com/quote/AAPL/options/?straddle=false&amp;strike=75&amp;type=all" TargetMode="External"/><Relationship Id="rId1129" Type="http://schemas.openxmlformats.org/officeDocument/2006/relationships/hyperlink" Target="https://finance.yahoo.com/quote/AAPL260220C00180000/" TargetMode="External"/><Relationship Id="rId1683" Type="http://schemas.openxmlformats.org/officeDocument/2006/relationships/hyperlink" Target="https://finance.yahoo.com/quote/AAPL260515C00400000/" TargetMode="External"/><Relationship Id="rId1890" Type="http://schemas.openxmlformats.org/officeDocument/2006/relationships/hyperlink" Target="https://finance.yahoo.com/quote/AAPL/options/?straddle=false&amp;strike=290&amp;type=all" TargetMode="External"/><Relationship Id="rId2527" Type="http://schemas.openxmlformats.org/officeDocument/2006/relationships/hyperlink" Target="https://finance.yahoo.com/quote/AAPL261218C00410000/" TargetMode="External"/><Relationship Id="rId2734" Type="http://schemas.openxmlformats.org/officeDocument/2006/relationships/hyperlink" Target="https://finance.yahoo.com/quote/AAPL/options/?straddle=false&amp;strike=230&amp;type=all" TargetMode="External"/><Relationship Id="rId2941" Type="http://schemas.openxmlformats.org/officeDocument/2006/relationships/hyperlink" Target="https://finance.yahoo.com/quote/AAPL270617C00155000/" TargetMode="External"/><Relationship Id="rId706" Type="http://schemas.openxmlformats.org/officeDocument/2006/relationships/hyperlink" Target="https://finance.yahoo.com/quote/AAPL/options/?straddle=false&amp;strike=300&amp;type=all" TargetMode="External"/><Relationship Id="rId913" Type="http://schemas.openxmlformats.org/officeDocument/2006/relationships/hyperlink" Target="https://finance.yahoo.com/quote/AAPL260116C00245000/" TargetMode="External"/><Relationship Id="rId1336" Type="http://schemas.openxmlformats.org/officeDocument/2006/relationships/hyperlink" Target="https://finance.yahoo.com/quote/AAPL/options/?straddle=false&amp;strike=240&amp;type=all" TargetMode="External"/><Relationship Id="rId1543" Type="http://schemas.openxmlformats.org/officeDocument/2006/relationships/hyperlink" Target="https://finance.yahoo.com/quote/AAPL260417P00165000/" TargetMode="External"/><Relationship Id="rId1750" Type="http://schemas.openxmlformats.org/officeDocument/2006/relationships/hyperlink" Target="https://finance.yahoo.com/quote/AAPL/options/?straddle=false&amp;strike=200&amp;type=all" TargetMode="External"/><Relationship Id="rId2801" Type="http://schemas.openxmlformats.org/officeDocument/2006/relationships/hyperlink" Target="https://finance.yahoo.com/quote/AAPL270115P00070000/" TargetMode="External"/><Relationship Id="rId42" Type="http://schemas.openxmlformats.org/officeDocument/2006/relationships/hyperlink" Target="https://finance.yahoo.com/quote/AAPL/options/?straddle=false&amp;strike=205&amp;type=all" TargetMode="External"/><Relationship Id="rId1403" Type="http://schemas.openxmlformats.org/officeDocument/2006/relationships/hyperlink" Target="https://finance.yahoo.com/quote/AAPL260320P00190000/" TargetMode="External"/><Relationship Id="rId1610" Type="http://schemas.openxmlformats.org/officeDocument/2006/relationships/hyperlink" Target="https://finance.yahoo.com/quote/AAPL/options/?straddle=false&amp;strike=100&amp;type=all" TargetMode="External"/><Relationship Id="rId3368" Type="http://schemas.openxmlformats.org/officeDocument/2006/relationships/hyperlink" Target="https://finance.yahoo.com/quote/AAPL/options/?straddle=false&amp;strike=270&amp;type=all" TargetMode="External"/><Relationship Id="rId3575" Type="http://schemas.openxmlformats.org/officeDocument/2006/relationships/hyperlink" Target="https://finance.yahoo.com/quote/AAPL251010C00215000/" TargetMode="External"/><Relationship Id="rId289" Type="http://schemas.openxmlformats.org/officeDocument/2006/relationships/hyperlink" Target="https://finance.yahoo.com/quote/AAPL251024C00235000/" TargetMode="External"/><Relationship Id="rId496" Type="http://schemas.openxmlformats.org/officeDocument/2006/relationships/hyperlink" Target="https://finance.yahoo.com/quote/AAPL/options/?straddle=false&amp;strike=195&amp;type=all" TargetMode="External"/><Relationship Id="rId2177" Type="http://schemas.openxmlformats.org/officeDocument/2006/relationships/hyperlink" Target="https://finance.yahoo.com/quote/AAPL260821P00340000/" TargetMode="External"/><Relationship Id="rId2384" Type="http://schemas.openxmlformats.org/officeDocument/2006/relationships/hyperlink" Target="https://finance.yahoo.com/quote/AAPL/options/?straddle=false&amp;strike=255&amp;type=all" TargetMode="External"/><Relationship Id="rId2591" Type="http://schemas.openxmlformats.org/officeDocument/2006/relationships/hyperlink" Target="https://finance.yahoo.com/quote/AAPL261218P00155000/" TargetMode="External"/><Relationship Id="rId3228" Type="http://schemas.openxmlformats.org/officeDocument/2006/relationships/hyperlink" Target="https://finance.yahoo.com/quote/AAPL/options/?straddle=false&amp;strike=315&amp;type=all" TargetMode="External"/><Relationship Id="rId3435" Type="http://schemas.openxmlformats.org/officeDocument/2006/relationships/hyperlink" Target="https://finance.yahoo.com/quote/AAPL280121C00210000/" TargetMode="External"/><Relationship Id="rId3642" Type="http://schemas.openxmlformats.org/officeDocument/2006/relationships/hyperlink" Target="https://finance.yahoo.com/quote/AAPL/options/?straddle=false&amp;strike=320&amp;type=all" TargetMode="External"/><Relationship Id="rId149" Type="http://schemas.openxmlformats.org/officeDocument/2006/relationships/hyperlink" Target="https://finance.yahoo.com/quote/AAPL251017P00135000/" TargetMode="External"/><Relationship Id="rId356" Type="http://schemas.openxmlformats.org/officeDocument/2006/relationships/hyperlink" Target="https://finance.yahoo.com/quote/AAPL/options/?straddle=false&amp;strike=195&amp;type=all" TargetMode="External"/><Relationship Id="rId563" Type="http://schemas.openxmlformats.org/officeDocument/2006/relationships/hyperlink" Target="https://finance.yahoo.com/quote/AAPL251107C00255000/" TargetMode="External"/><Relationship Id="rId770" Type="http://schemas.openxmlformats.org/officeDocument/2006/relationships/hyperlink" Target="https://finance.yahoo.com/quote/AAPL/options/?straddle=false&amp;strike=205&amp;type=all" TargetMode="External"/><Relationship Id="rId1193" Type="http://schemas.openxmlformats.org/officeDocument/2006/relationships/hyperlink" Target="https://finance.yahoo.com/quote/AAPL260220C00380000/" TargetMode="External"/><Relationship Id="rId2037" Type="http://schemas.openxmlformats.org/officeDocument/2006/relationships/hyperlink" Target="https://finance.yahoo.com/quote/AAPL260618P00350000/" TargetMode="External"/><Relationship Id="rId2244" Type="http://schemas.openxmlformats.org/officeDocument/2006/relationships/hyperlink" Target="https://finance.yahoo.com/quote/AAPL/options/?straddle=false&amp;strike=210&amp;type=all" TargetMode="External"/><Relationship Id="rId2451" Type="http://schemas.openxmlformats.org/officeDocument/2006/relationships/hyperlink" Target="https://finance.yahoo.com/quote/AAPL261218C00115000/" TargetMode="External"/><Relationship Id="rId216" Type="http://schemas.openxmlformats.org/officeDocument/2006/relationships/hyperlink" Target="https://finance.yahoo.com/quote/AAPL/options/?straddle=false&amp;strike=257.5&amp;type=all" TargetMode="External"/><Relationship Id="rId423" Type="http://schemas.openxmlformats.org/officeDocument/2006/relationships/hyperlink" Target="https://finance.yahoo.com/quote/AAPL251031C00225000/" TargetMode="External"/><Relationship Id="rId1053" Type="http://schemas.openxmlformats.org/officeDocument/2006/relationships/hyperlink" Target="https://finance.yahoo.com/quote/AAPL260116P00240000/" TargetMode="External"/><Relationship Id="rId1260" Type="http://schemas.openxmlformats.org/officeDocument/2006/relationships/hyperlink" Target="https://finance.yahoo.com/quote/AAPL/options/?straddle=false&amp;strike=250&amp;type=all" TargetMode="External"/><Relationship Id="rId2104" Type="http://schemas.openxmlformats.org/officeDocument/2006/relationships/hyperlink" Target="https://finance.yahoo.com/quote/AAPL/options/?straddle=false&amp;strike=310&amp;type=all" TargetMode="External"/><Relationship Id="rId3502" Type="http://schemas.openxmlformats.org/officeDocument/2006/relationships/hyperlink" Target="https://finance.yahoo.com/quote/AAPL/options/?straddle=false&amp;strike=160&amp;type=all" TargetMode="External"/><Relationship Id="rId630" Type="http://schemas.openxmlformats.org/officeDocument/2006/relationships/hyperlink" Target="https://finance.yahoo.com/quote/AAPL/options/?straddle=false&amp;strike=110&amp;type=all" TargetMode="External"/><Relationship Id="rId2311" Type="http://schemas.openxmlformats.org/officeDocument/2006/relationships/hyperlink" Target="https://finance.yahoo.com/quote/AAPL260918P00075000/" TargetMode="External"/><Relationship Id="rId1120" Type="http://schemas.openxmlformats.org/officeDocument/2006/relationships/hyperlink" Target="https://finance.yahoo.com/quote/AAPL/options/?straddle=false&amp;strike=155&amp;type=all" TargetMode="External"/><Relationship Id="rId1937" Type="http://schemas.openxmlformats.org/officeDocument/2006/relationships/hyperlink" Target="https://finance.yahoo.com/quote/AAPL260618P00070000/" TargetMode="External"/><Relationship Id="rId3085" Type="http://schemas.openxmlformats.org/officeDocument/2006/relationships/hyperlink" Target="https://finance.yahoo.com/quote/AAPL270617P00270000/" TargetMode="External"/><Relationship Id="rId3292" Type="http://schemas.openxmlformats.org/officeDocument/2006/relationships/hyperlink" Target="https://finance.yahoo.com/quote/AAPL/options/?straddle=false&amp;strike=80&amp;type=all" TargetMode="External"/><Relationship Id="rId3152" Type="http://schemas.openxmlformats.org/officeDocument/2006/relationships/hyperlink" Target="https://finance.yahoo.com/quote/AAPL/options/?straddle=false&amp;strike=125&amp;type=all" TargetMode="External"/><Relationship Id="rId280" Type="http://schemas.openxmlformats.org/officeDocument/2006/relationships/hyperlink" Target="https://finance.yahoo.com/quote/AAPL/options/?straddle=false&amp;strike=210&amp;type=all" TargetMode="External"/><Relationship Id="rId3012" Type="http://schemas.openxmlformats.org/officeDocument/2006/relationships/hyperlink" Target="https://finance.yahoo.com/quote/AAPL/options/?straddle=false&amp;strike=50&amp;type=all" TargetMode="External"/><Relationship Id="rId140" Type="http://schemas.openxmlformats.org/officeDocument/2006/relationships/hyperlink" Target="https://finance.yahoo.com/quote/AAPL/options/?straddle=false&amp;strike=110&amp;type=all" TargetMode="External"/><Relationship Id="rId6" Type="http://schemas.openxmlformats.org/officeDocument/2006/relationships/hyperlink" Target="https://finance.yahoo.com/quote/AAPL/options/?straddle=false&amp;strike=115&amp;type=all" TargetMode="External"/><Relationship Id="rId2778" Type="http://schemas.openxmlformats.org/officeDocument/2006/relationships/hyperlink" Target="https://finance.yahoo.com/quote/AAPL/options/?straddle=false&amp;strike=450&amp;type=all" TargetMode="External"/><Relationship Id="rId2985" Type="http://schemas.openxmlformats.org/officeDocument/2006/relationships/hyperlink" Target="https://finance.yahoo.com/quote/AAPL270617C00330000/" TargetMode="External"/><Relationship Id="rId957" Type="http://schemas.openxmlformats.org/officeDocument/2006/relationships/hyperlink" Target="https://finance.yahoo.com/quote/AAPL260116C00390000/" TargetMode="External"/><Relationship Id="rId1587" Type="http://schemas.openxmlformats.org/officeDocument/2006/relationships/hyperlink" Target="https://finance.yahoo.com/quote/AAPL260417P00275000/" TargetMode="External"/><Relationship Id="rId1794" Type="http://schemas.openxmlformats.org/officeDocument/2006/relationships/hyperlink" Target="https://finance.yahoo.com/quote/AAPL/options/?straddle=false&amp;strike=50&amp;type=all" TargetMode="External"/><Relationship Id="rId2638" Type="http://schemas.openxmlformats.org/officeDocument/2006/relationships/hyperlink" Target="https://finance.yahoo.com/quote/AAPL/options/?straddle=false&amp;strike=340&amp;type=all" TargetMode="External"/><Relationship Id="rId2845" Type="http://schemas.openxmlformats.org/officeDocument/2006/relationships/hyperlink" Target="https://finance.yahoo.com/quote/AAPL270115P00185000/" TargetMode="External"/><Relationship Id="rId86" Type="http://schemas.openxmlformats.org/officeDocument/2006/relationships/hyperlink" Target="https://finance.yahoo.com/quote/AAPL/options/?straddle=false&amp;strike=265&amp;type=all" TargetMode="External"/><Relationship Id="rId817" Type="http://schemas.openxmlformats.org/officeDocument/2006/relationships/hyperlink" Target="https://finance.yahoo.com/quote/AAPL260116C00005000/" TargetMode="External"/><Relationship Id="rId1447" Type="http://schemas.openxmlformats.org/officeDocument/2006/relationships/hyperlink" Target="https://finance.yahoo.com/quote/AAPL260417C00155000/" TargetMode="External"/><Relationship Id="rId1654" Type="http://schemas.openxmlformats.org/officeDocument/2006/relationships/hyperlink" Target="https://finance.yahoo.com/quote/AAPL/options/?straddle=false&amp;strike=250&amp;type=all" TargetMode="External"/><Relationship Id="rId1861" Type="http://schemas.openxmlformats.org/officeDocument/2006/relationships/hyperlink" Target="https://finance.yahoo.com/quote/AAPL260618C00220000/" TargetMode="External"/><Relationship Id="rId2705" Type="http://schemas.openxmlformats.org/officeDocument/2006/relationships/hyperlink" Target="https://finance.yahoo.com/quote/AAPL270115C00145000/" TargetMode="External"/><Relationship Id="rId2912" Type="http://schemas.openxmlformats.org/officeDocument/2006/relationships/hyperlink" Target="https://finance.yahoo.com/quote/AAPL/options/?straddle=false&amp;strike=80&amp;type=all" TargetMode="External"/><Relationship Id="rId1307" Type="http://schemas.openxmlformats.org/officeDocument/2006/relationships/hyperlink" Target="https://finance.yahoo.com/quote/AAPL260320C00150000/" TargetMode="External"/><Relationship Id="rId1514" Type="http://schemas.openxmlformats.org/officeDocument/2006/relationships/hyperlink" Target="https://finance.yahoo.com/quote/AAPL/options/?straddle=false&amp;strike=320&amp;type=all" TargetMode="External"/><Relationship Id="rId1721" Type="http://schemas.openxmlformats.org/officeDocument/2006/relationships/hyperlink" Target="https://finance.yahoo.com/quote/AAPL260515P00130000/" TargetMode="External"/><Relationship Id="rId13" Type="http://schemas.openxmlformats.org/officeDocument/2006/relationships/hyperlink" Target="https://finance.yahoo.com/quote/AAPL251017C00135000/" TargetMode="External"/><Relationship Id="rId3479" Type="http://schemas.openxmlformats.org/officeDocument/2006/relationships/hyperlink" Target="https://finance.yahoo.com/quote/AAPL280121C00450000/" TargetMode="External"/><Relationship Id="rId3686" Type="http://schemas.openxmlformats.org/officeDocument/2006/relationships/hyperlink" Target="https://finance.yahoo.com/quote/AAPL/options/?straddle=false&amp;strike=220&amp;type=all" TargetMode="External"/><Relationship Id="rId2288" Type="http://schemas.openxmlformats.org/officeDocument/2006/relationships/hyperlink" Target="https://finance.yahoo.com/quote/AAPL/options/?straddle=false&amp;strike=340&amp;type=all" TargetMode="External"/><Relationship Id="rId2495" Type="http://schemas.openxmlformats.org/officeDocument/2006/relationships/hyperlink" Target="https://finance.yahoo.com/quote/AAPL261218C00250000/" TargetMode="External"/><Relationship Id="rId3339" Type="http://schemas.openxmlformats.org/officeDocument/2006/relationships/hyperlink" Target="https://finance.yahoo.com/quote/AAPL271217P00200000/" TargetMode="External"/><Relationship Id="rId467" Type="http://schemas.openxmlformats.org/officeDocument/2006/relationships/hyperlink" Target="https://finance.yahoo.com/quote/AAPL251031P00120000/" TargetMode="External"/><Relationship Id="rId1097" Type="http://schemas.openxmlformats.org/officeDocument/2006/relationships/hyperlink" Target="https://finance.yahoo.com/quote/AAPL260116P00390000/" TargetMode="External"/><Relationship Id="rId2148" Type="http://schemas.openxmlformats.org/officeDocument/2006/relationships/hyperlink" Target="https://finance.yahoo.com/quote/AAPL/options/?straddle=false&amp;strike=195&amp;type=all" TargetMode="External"/><Relationship Id="rId3546" Type="http://schemas.openxmlformats.org/officeDocument/2006/relationships/hyperlink" Target="https://finance.yahoo.com/quote/AAPL/options/?straddle=false&amp;strike=120&amp;type=all" TargetMode="External"/><Relationship Id="rId674" Type="http://schemas.openxmlformats.org/officeDocument/2006/relationships/hyperlink" Target="https://finance.yahoo.com/quote/AAPL/options/?straddle=false&amp;strike=220&amp;type=all" TargetMode="External"/><Relationship Id="rId881" Type="http://schemas.openxmlformats.org/officeDocument/2006/relationships/hyperlink" Target="https://finance.yahoo.com/quote/AAPL260116C00165000/" TargetMode="External"/><Relationship Id="rId2355" Type="http://schemas.openxmlformats.org/officeDocument/2006/relationships/hyperlink" Target="https://finance.yahoo.com/quote/AAPL260918P00185000/" TargetMode="External"/><Relationship Id="rId2562" Type="http://schemas.openxmlformats.org/officeDocument/2006/relationships/hyperlink" Target="https://finance.yahoo.com/quote/AAPL/options/?straddle=false&amp;strike=80&amp;type=all" TargetMode="External"/><Relationship Id="rId3406" Type="http://schemas.openxmlformats.org/officeDocument/2006/relationships/hyperlink" Target="https://finance.yahoo.com/quote/AAPL/options/?straddle=false&amp;strike=50&amp;type=all" TargetMode="External"/><Relationship Id="rId3613" Type="http://schemas.openxmlformats.org/officeDocument/2006/relationships/hyperlink" Target="https://finance.yahoo.com/quote/AAPL251010C00262500/" TargetMode="External"/><Relationship Id="rId327" Type="http://schemas.openxmlformats.org/officeDocument/2006/relationships/hyperlink" Target="https://finance.yahoo.com/quote/AAPL251024P00110000/" TargetMode="External"/><Relationship Id="rId534" Type="http://schemas.openxmlformats.org/officeDocument/2006/relationships/hyperlink" Target="https://finance.yahoo.com/quote/AAPL/options/?straddle=false&amp;strike=290&amp;type=all" TargetMode="External"/><Relationship Id="rId741" Type="http://schemas.openxmlformats.org/officeDocument/2006/relationships/hyperlink" Target="https://finance.yahoo.com/quote/AAPL251121P00135000/" TargetMode="External"/><Relationship Id="rId1164" Type="http://schemas.openxmlformats.org/officeDocument/2006/relationships/hyperlink" Target="https://finance.yahoo.com/quote/AAPL/options/?straddle=false&amp;strike=265&amp;type=all" TargetMode="External"/><Relationship Id="rId1371" Type="http://schemas.openxmlformats.org/officeDocument/2006/relationships/hyperlink" Target="https://finance.yahoo.com/quote/AAPL260320P00110000/" TargetMode="External"/><Relationship Id="rId2008" Type="http://schemas.openxmlformats.org/officeDocument/2006/relationships/hyperlink" Target="https://finance.yahoo.com/quote/AAPL/options/?straddle=false&amp;strike=245&amp;type=all" TargetMode="External"/><Relationship Id="rId2215" Type="http://schemas.openxmlformats.org/officeDocument/2006/relationships/hyperlink" Target="https://finance.yahoo.com/quote/AAPL260918C00140000/" TargetMode="External"/><Relationship Id="rId2422" Type="http://schemas.openxmlformats.org/officeDocument/2006/relationships/hyperlink" Target="https://finance.yahoo.com/quote/AAPL/options/?straddle=false&amp;strike=25&amp;type=all" TargetMode="External"/><Relationship Id="rId601" Type="http://schemas.openxmlformats.org/officeDocument/2006/relationships/hyperlink" Target="https://finance.yahoo.com/quote/AAPL251107P00210000/" TargetMode="External"/><Relationship Id="rId1024" Type="http://schemas.openxmlformats.org/officeDocument/2006/relationships/hyperlink" Target="https://finance.yahoo.com/quote/AAPL/options/?straddle=false&amp;strike=165&amp;type=all" TargetMode="External"/><Relationship Id="rId1231" Type="http://schemas.openxmlformats.org/officeDocument/2006/relationships/hyperlink" Target="https://finance.yahoo.com/quote/AAPL260220P00180000/" TargetMode="External"/><Relationship Id="rId3196" Type="http://schemas.openxmlformats.org/officeDocument/2006/relationships/hyperlink" Target="https://finance.yahoo.com/quote/AAPL/options/?straddle=false&amp;strike=235&amp;type=all" TargetMode="External"/><Relationship Id="rId3056" Type="http://schemas.openxmlformats.org/officeDocument/2006/relationships/hyperlink" Target="https://finance.yahoo.com/quote/AAPL/options/?straddle=false&amp;strike=160&amp;type=all" TargetMode="External"/><Relationship Id="rId3263" Type="http://schemas.openxmlformats.org/officeDocument/2006/relationships/hyperlink" Target="https://finance.yahoo.com/quote/AAPL271217C00405000/" TargetMode="External"/><Relationship Id="rId3470" Type="http://schemas.openxmlformats.org/officeDocument/2006/relationships/hyperlink" Target="https://finance.yahoo.com/quote/AAPL/options/?straddle=false&amp;strike=380&amp;type=all" TargetMode="External"/><Relationship Id="rId184" Type="http://schemas.openxmlformats.org/officeDocument/2006/relationships/hyperlink" Target="https://finance.yahoo.com/quote/AAPL/options/?straddle=false&amp;strike=217.5&amp;type=all" TargetMode="External"/><Relationship Id="rId391" Type="http://schemas.openxmlformats.org/officeDocument/2006/relationships/hyperlink" Target="https://finance.yahoo.com/quote/AAPL251024P00290000/" TargetMode="External"/><Relationship Id="rId1908" Type="http://schemas.openxmlformats.org/officeDocument/2006/relationships/hyperlink" Target="https://finance.yahoo.com/quote/AAPL/options/?straddle=false&amp;strike=380&amp;type=all" TargetMode="External"/><Relationship Id="rId2072" Type="http://schemas.openxmlformats.org/officeDocument/2006/relationships/hyperlink" Target="https://finance.yahoo.com/quote/AAPL/options/?straddle=false&amp;strike=175&amp;type=all" TargetMode="External"/><Relationship Id="rId3123" Type="http://schemas.openxmlformats.org/officeDocument/2006/relationships/hyperlink" Target="https://finance.yahoo.com/quote/AAPL271217C00055000/" TargetMode="External"/><Relationship Id="rId251" Type="http://schemas.openxmlformats.org/officeDocument/2006/relationships/hyperlink" Target="https://finance.yahoo.com/quote/AAPL251017P00360000/" TargetMode="External"/><Relationship Id="rId3330" Type="http://schemas.openxmlformats.org/officeDocument/2006/relationships/hyperlink" Target="https://finance.yahoo.com/quote/AAPL/options/?straddle=false&amp;strike=175&amp;type=all" TargetMode="External"/><Relationship Id="rId2889" Type="http://schemas.openxmlformats.org/officeDocument/2006/relationships/hyperlink" Target="https://finance.yahoo.com/quote/AAPL270115P00410000/" TargetMode="External"/><Relationship Id="rId111" Type="http://schemas.openxmlformats.org/officeDocument/2006/relationships/hyperlink" Target="https://finance.yahoo.com/quote/AAPL251017C00320000/" TargetMode="External"/><Relationship Id="rId1698" Type="http://schemas.openxmlformats.org/officeDocument/2006/relationships/hyperlink" Target="https://finance.yahoo.com/quote/AAPL/options/?straddle=false&amp;strike=60&amp;type=all" TargetMode="External"/><Relationship Id="rId2749" Type="http://schemas.openxmlformats.org/officeDocument/2006/relationships/hyperlink" Target="https://finance.yahoo.com/quote/AAPL270115C00310000/" TargetMode="External"/><Relationship Id="rId2956" Type="http://schemas.openxmlformats.org/officeDocument/2006/relationships/hyperlink" Target="https://finance.yahoo.com/quote/AAPL/options/?straddle=false&amp;strike=190&amp;type=all" TargetMode="External"/><Relationship Id="rId928" Type="http://schemas.openxmlformats.org/officeDocument/2006/relationships/hyperlink" Target="https://finance.yahoo.com/quote/AAPL/options/?straddle=false&amp;strike=280&amp;type=all" TargetMode="External"/><Relationship Id="rId1558" Type="http://schemas.openxmlformats.org/officeDocument/2006/relationships/hyperlink" Target="https://finance.yahoo.com/quote/AAPL/options/?straddle=false&amp;strike=200&amp;type=all" TargetMode="External"/><Relationship Id="rId1765" Type="http://schemas.openxmlformats.org/officeDocument/2006/relationships/hyperlink" Target="https://finance.yahoo.com/quote/AAPL260515P00280000/" TargetMode="External"/><Relationship Id="rId2609" Type="http://schemas.openxmlformats.org/officeDocument/2006/relationships/hyperlink" Target="https://finance.yahoo.com/quote/AAPL261218P00200000/" TargetMode="External"/><Relationship Id="rId57" Type="http://schemas.openxmlformats.org/officeDocument/2006/relationships/hyperlink" Target="https://finance.yahoo.com/quote/AAPL251017C00230000/" TargetMode="External"/><Relationship Id="rId1418" Type="http://schemas.openxmlformats.org/officeDocument/2006/relationships/hyperlink" Target="https://finance.yahoo.com/quote/AAPL/options/?straddle=false&amp;strike=250&amp;type=all" TargetMode="External"/><Relationship Id="rId1972" Type="http://schemas.openxmlformats.org/officeDocument/2006/relationships/hyperlink" Target="https://finance.yahoo.com/quote/AAPL/options/?straddle=false&amp;strike=155&amp;type=all" TargetMode="External"/><Relationship Id="rId2816" Type="http://schemas.openxmlformats.org/officeDocument/2006/relationships/hyperlink" Target="https://finance.yahoo.com/quote/AAPL/options/?straddle=false&amp;strike=110&amp;type=all" TargetMode="External"/><Relationship Id="rId1625" Type="http://schemas.openxmlformats.org/officeDocument/2006/relationships/hyperlink" Target="https://finance.yahoo.com/quote/AAPL260515C00155000/" TargetMode="External"/><Relationship Id="rId1832" Type="http://schemas.openxmlformats.org/officeDocument/2006/relationships/hyperlink" Target="https://finance.yahoo.com/quote/AAPL/options/?straddle=false&amp;strike=145&amp;type=all" TargetMode="External"/><Relationship Id="rId2399" Type="http://schemas.openxmlformats.org/officeDocument/2006/relationships/hyperlink" Target="https://finance.yahoo.com/quote/AAPL260918P00295000/" TargetMode="External"/><Relationship Id="rId3657" Type="http://schemas.openxmlformats.org/officeDocument/2006/relationships/hyperlink" Target="https://finance.yahoo.com/quote/AAPL251010P00155000/" TargetMode="External"/><Relationship Id="rId578" Type="http://schemas.openxmlformats.org/officeDocument/2006/relationships/hyperlink" Target="https://finance.yahoo.com/quote/AAPL/options/?straddle=false&amp;strike=290&amp;type=all" TargetMode="External"/><Relationship Id="rId785" Type="http://schemas.openxmlformats.org/officeDocument/2006/relationships/hyperlink" Target="https://finance.yahoo.com/quote/AAPL251121P00245000/" TargetMode="External"/><Relationship Id="rId992" Type="http://schemas.openxmlformats.org/officeDocument/2006/relationships/hyperlink" Target="https://finance.yahoo.com/quote/AAPL/options/?straddle=false&amp;strike=85&amp;type=all" TargetMode="External"/><Relationship Id="rId2259" Type="http://schemas.openxmlformats.org/officeDocument/2006/relationships/hyperlink" Target="https://finance.yahoo.com/quote/AAPL260918C00250000/" TargetMode="External"/><Relationship Id="rId2466" Type="http://schemas.openxmlformats.org/officeDocument/2006/relationships/hyperlink" Target="https://finance.yahoo.com/quote/AAPL/options/?straddle=false&amp;strike=150&amp;type=all" TargetMode="External"/><Relationship Id="rId2673" Type="http://schemas.openxmlformats.org/officeDocument/2006/relationships/hyperlink" Target="https://finance.yahoo.com/quote/AAPL270115C00050000/" TargetMode="External"/><Relationship Id="rId2880" Type="http://schemas.openxmlformats.org/officeDocument/2006/relationships/hyperlink" Target="https://finance.yahoo.com/quote/AAPL/options/?straddle=false&amp;strike=340&amp;type=all" TargetMode="External"/><Relationship Id="rId3517" Type="http://schemas.openxmlformats.org/officeDocument/2006/relationships/hyperlink" Target="https://finance.yahoo.com/quote/AAPL280121P00210000/" TargetMode="External"/><Relationship Id="rId3724" Type="http://schemas.openxmlformats.org/officeDocument/2006/relationships/hyperlink" Target="https://finance.yahoo.com/quote/AAPL/options/?straddle=false&amp;strike=267.5&amp;type=all" TargetMode="External"/><Relationship Id="rId438" Type="http://schemas.openxmlformats.org/officeDocument/2006/relationships/hyperlink" Target="https://finance.yahoo.com/quote/AAPL/options/?straddle=false&amp;strike=260&amp;type=all" TargetMode="External"/><Relationship Id="rId645" Type="http://schemas.openxmlformats.org/officeDocument/2006/relationships/hyperlink" Target="https://finance.yahoo.com/quote/AAPL251121C00150000/" TargetMode="External"/><Relationship Id="rId852" Type="http://schemas.openxmlformats.org/officeDocument/2006/relationships/hyperlink" Target="https://finance.yahoo.com/quote/AAPL/options/?straddle=false&amp;strike=90&amp;type=all" TargetMode="External"/><Relationship Id="rId1068" Type="http://schemas.openxmlformats.org/officeDocument/2006/relationships/hyperlink" Target="https://finance.yahoo.com/quote/AAPL/options/?straddle=false&amp;strike=275&amp;type=all" TargetMode="External"/><Relationship Id="rId1275" Type="http://schemas.openxmlformats.org/officeDocument/2006/relationships/hyperlink" Target="https://finance.yahoo.com/quote/AAPL260220P00290000/" TargetMode="External"/><Relationship Id="rId1482" Type="http://schemas.openxmlformats.org/officeDocument/2006/relationships/hyperlink" Target="https://finance.yahoo.com/quote/AAPL/options/?straddle=false&amp;strike=240&amp;type=all" TargetMode="External"/><Relationship Id="rId2119" Type="http://schemas.openxmlformats.org/officeDocument/2006/relationships/hyperlink" Target="https://finance.yahoo.com/quote/AAPL260821P00125000/" TargetMode="External"/><Relationship Id="rId2326" Type="http://schemas.openxmlformats.org/officeDocument/2006/relationships/hyperlink" Target="https://finance.yahoo.com/quote/AAPL/options/?straddle=false&amp;strike=110&amp;type=all" TargetMode="External"/><Relationship Id="rId2533" Type="http://schemas.openxmlformats.org/officeDocument/2006/relationships/hyperlink" Target="https://finance.yahoo.com/quote/AAPL261218C00440000/" TargetMode="External"/><Relationship Id="rId2740" Type="http://schemas.openxmlformats.org/officeDocument/2006/relationships/hyperlink" Target="https://finance.yahoo.com/quote/AAPL/options/?straddle=false&amp;strike=260&amp;type=all" TargetMode="External"/><Relationship Id="rId505" Type="http://schemas.openxmlformats.org/officeDocument/2006/relationships/hyperlink" Target="https://finance.yahoo.com/quote/AAPL251031P00220000/" TargetMode="External"/><Relationship Id="rId712" Type="http://schemas.openxmlformats.org/officeDocument/2006/relationships/hyperlink" Target="https://finance.yahoo.com/quote/AAPL/options/?straddle=false&amp;strike=315&amp;type=all" TargetMode="External"/><Relationship Id="rId1135" Type="http://schemas.openxmlformats.org/officeDocument/2006/relationships/hyperlink" Target="https://finance.yahoo.com/quote/AAPL260220C00195000/" TargetMode="External"/><Relationship Id="rId1342" Type="http://schemas.openxmlformats.org/officeDocument/2006/relationships/hyperlink" Target="https://finance.yahoo.com/quote/AAPL/options/?straddle=false&amp;strike=270&amp;type=all" TargetMode="External"/><Relationship Id="rId1202" Type="http://schemas.openxmlformats.org/officeDocument/2006/relationships/hyperlink" Target="https://finance.yahoo.com/quote/AAPL/options/?straddle=false&amp;strike=105&amp;type=all" TargetMode="External"/><Relationship Id="rId2600" Type="http://schemas.openxmlformats.org/officeDocument/2006/relationships/hyperlink" Target="https://finance.yahoo.com/quote/AAPL/options/?straddle=false&amp;strike=175&amp;type=all" TargetMode="External"/><Relationship Id="rId3167" Type="http://schemas.openxmlformats.org/officeDocument/2006/relationships/hyperlink" Target="https://finance.yahoo.com/quote/AAPL271217C00165000/" TargetMode="External"/><Relationship Id="rId295" Type="http://schemas.openxmlformats.org/officeDocument/2006/relationships/hyperlink" Target="https://finance.yahoo.com/quote/AAPL251024C00250000/" TargetMode="External"/><Relationship Id="rId3374" Type="http://schemas.openxmlformats.org/officeDocument/2006/relationships/hyperlink" Target="https://finance.yahoo.com/quote/AAPL/options/?straddle=false&amp;strike=285&amp;type=all" TargetMode="External"/><Relationship Id="rId3581" Type="http://schemas.openxmlformats.org/officeDocument/2006/relationships/hyperlink" Target="https://finance.yahoo.com/quote/AAPL251010C00222500/" TargetMode="External"/><Relationship Id="rId2183" Type="http://schemas.openxmlformats.org/officeDocument/2006/relationships/hyperlink" Target="https://finance.yahoo.com/quote/AAPL260918C00060000/" TargetMode="External"/><Relationship Id="rId2390" Type="http://schemas.openxmlformats.org/officeDocument/2006/relationships/hyperlink" Target="https://finance.yahoo.com/quote/AAPL/options/?straddle=false&amp;strike=270&amp;type=all" TargetMode="External"/><Relationship Id="rId3027" Type="http://schemas.openxmlformats.org/officeDocument/2006/relationships/hyperlink" Target="https://finance.yahoo.com/quote/AAPL270617P00090000/" TargetMode="External"/><Relationship Id="rId3234" Type="http://schemas.openxmlformats.org/officeDocument/2006/relationships/hyperlink" Target="https://finance.yahoo.com/quote/AAPL/options/?straddle=false&amp;strike=330&amp;type=all" TargetMode="External"/><Relationship Id="rId3441" Type="http://schemas.openxmlformats.org/officeDocument/2006/relationships/hyperlink" Target="https://finance.yahoo.com/quote/AAPL280121C00240000/" TargetMode="External"/><Relationship Id="rId155" Type="http://schemas.openxmlformats.org/officeDocument/2006/relationships/hyperlink" Target="https://finance.yahoo.com/quote/AAPL251017P00150000/" TargetMode="External"/><Relationship Id="rId362" Type="http://schemas.openxmlformats.org/officeDocument/2006/relationships/hyperlink" Target="https://finance.yahoo.com/quote/AAPL/options/?straddle=false&amp;strike=210&amp;type=all" TargetMode="External"/><Relationship Id="rId2043" Type="http://schemas.openxmlformats.org/officeDocument/2006/relationships/hyperlink" Target="https://finance.yahoo.com/quote/AAPL260618P00380000/" TargetMode="External"/><Relationship Id="rId2250" Type="http://schemas.openxmlformats.org/officeDocument/2006/relationships/hyperlink" Target="https://finance.yahoo.com/quote/AAPL/options/?straddle=false&amp;strike=225&amp;type=all" TargetMode="External"/><Relationship Id="rId3301" Type="http://schemas.openxmlformats.org/officeDocument/2006/relationships/hyperlink" Target="https://finance.yahoo.com/quote/AAPL271217P00105000/" TargetMode="External"/><Relationship Id="rId222" Type="http://schemas.openxmlformats.org/officeDocument/2006/relationships/hyperlink" Target="https://finance.yahoo.com/quote/AAPL/options/?straddle=false&amp;strike=265&amp;type=all" TargetMode="External"/><Relationship Id="rId2110" Type="http://schemas.openxmlformats.org/officeDocument/2006/relationships/hyperlink" Target="https://finance.yahoo.com/quote/AAPL/options/?straddle=false&amp;strike=340&amp;type=all" TargetMode="External"/><Relationship Id="rId1669" Type="http://schemas.openxmlformats.org/officeDocument/2006/relationships/hyperlink" Target="https://finance.yahoo.com/quote/AAPL260515C00330000/" TargetMode="External"/><Relationship Id="rId1876" Type="http://schemas.openxmlformats.org/officeDocument/2006/relationships/hyperlink" Target="https://finance.yahoo.com/quote/AAPL/options/?straddle=false&amp;strike=255&amp;type=all" TargetMode="External"/><Relationship Id="rId2927" Type="http://schemas.openxmlformats.org/officeDocument/2006/relationships/hyperlink" Target="https://finance.yahoo.com/quote/AAPL270617C00120000/" TargetMode="External"/><Relationship Id="rId3091" Type="http://schemas.openxmlformats.org/officeDocument/2006/relationships/hyperlink" Target="https://finance.yahoo.com/quote/AAPL270617P00300000/" TargetMode="External"/><Relationship Id="rId1529" Type="http://schemas.openxmlformats.org/officeDocument/2006/relationships/hyperlink" Target="https://finance.yahoo.com/quote/AAPL260417P00130000/" TargetMode="External"/><Relationship Id="rId1736" Type="http://schemas.openxmlformats.org/officeDocument/2006/relationships/hyperlink" Target="https://finance.yahoo.com/quote/AAPL/options/?straddle=false&amp;strike=165&amp;type=all" TargetMode="External"/><Relationship Id="rId1943" Type="http://schemas.openxmlformats.org/officeDocument/2006/relationships/hyperlink" Target="https://finance.yahoo.com/quote/AAPL260618P00085000/" TargetMode="External"/><Relationship Id="rId28" Type="http://schemas.openxmlformats.org/officeDocument/2006/relationships/hyperlink" Target="https://finance.yahoo.com/quote/AAPL/options/?straddle=false&amp;strike=170&amp;type=all" TargetMode="External"/><Relationship Id="rId1803" Type="http://schemas.openxmlformats.org/officeDocument/2006/relationships/hyperlink" Target="https://finance.yahoo.com/quote/AAPL260618C00075000/" TargetMode="External"/><Relationship Id="rId689" Type="http://schemas.openxmlformats.org/officeDocument/2006/relationships/hyperlink" Target="https://finance.yahoo.com/quote/AAPL251121C00260000/" TargetMode="External"/><Relationship Id="rId896" Type="http://schemas.openxmlformats.org/officeDocument/2006/relationships/hyperlink" Target="https://finance.yahoo.com/quote/AAPL/options/?straddle=false&amp;strike=200&amp;type=all" TargetMode="External"/><Relationship Id="rId2577" Type="http://schemas.openxmlformats.org/officeDocument/2006/relationships/hyperlink" Target="https://finance.yahoo.com/quote/AAPL261218P00120000/" TargetMode="External"/><Relationship Id="rId2784" Type="http://schemas.openxmlformats.org/officeDocument/2006/relationships/hyperlink" Target="https://finance.yahoo.com/quote/AAPL/options/?straddle=false&amp;strike=15&amp;type=all" TargetMode="External"/><Relationship Id="rId3628" Type="http://schemas.openxmlformats.org/officeDocument/2006/relationships/hyperlink" Target="https://finance.yahoo.com/quote/AAPL/options/?straddle=false&amp;strike=285&amp;type=all" TargetMode="External"/><Relationship Id="rId549" Type="http://schemas.openxmlformats.org/officeDocument/2006/relationships/hyperlink" Target="https://finance.yahoo.com/quote/AAPL251107C00220000/" TargetMode="External"/><Relationship Id="rId756" Type="http://schemas.openxmlformats.org/officeDocument/2006/relationships/hyperlink" Target="https://finance.yahoo.com/quote/AAPL/options/?straddle=false&amp;strike=170&amp;type=all" TargetMode="External"/><Relationship Id="rId1179" Type="http://schemas.openxmlformats.org/officeDocument/2006/relationships/hyperlink" Target="https://finance.yahoo.com/quote/AAPL260220C00310000/" TargetMode="External"/><Relationship Id="rId1386" Type="http://schemas.openxmlformats.org/officeDocument/2006/relationships/hyperlink" Target="https://finance.yahoo.com/quote/AAPL/options/?straddle=false&amp;strike=145&amp;type=all" TargetMode="External"/><Relationship Id="rId1593" Type="http://schemas.openxmlformats.org/officeDocument/2006/relationships/hyperlink" Target="https://finance.yahoo.com/quote/AAPL260417P00290000/" TargetMode="External"/><Relationship Id="rId2437" Type="http://schemas.openxmlformats.org/officeDocument/2006/relationships/hyperlink" Target="https://finance.yahoo.com/quote/AAPL261218C00080000/" TargetMode="External"/><Relationship Id="rId2991" Type="http://schemas.openxmlformats.org/officeDocument/2006/relationships/hyperlink" Target="https://finance.yahoo.com/quote/AAPL270617C00360000/" TargetMode="External"/><Relationship Id="rId409" Type="http://schemas.openxmlformats.org/officeDocument/2006/relationships/hyperlink" Target="https://finance.yahoo.com/quote/AAPL251031C00190000/" TargetMode="External"/><Relationship Id="rId963" Type="http://schemas.openxmlformats.org/officeDocument/2006/relationships/hyperlink" Target="https://finance.yahoo.com/quote/AAPL260116P00015000/" TargetMode="External"/><Relationship Id="rId1039" Type="http://schemas.openxmlformats.org/officeDocument/2006/relationships/hyperlink" Target="https://finance.yahoo.com/quote/AAPL260116P00205000/" TargetMode="External"/><Relationship Id="rId1246" Type="http://schemas.openxmlformats.org/officeDocument/2006/relationships/hyperlink" Target="https://finance.yahoo.com/quote/AAPL/options/?straddle=false&amp;strike=215&amp;type=all" TargetMode="External"/><Relationship Id="rId2644" Type="http://schemas.openxmlformats.org/officeDocument/2006/relationships/hyperlink" Target="https://finance.yahoo.com/quote/AAPL/options/?straddle=false&amp;strike=380&amp;type=all" TargetMode="External"/><Relationship Id="rId2851" Type="http://schemas.openxmlformats.org/officeDocument/2006/relationships/hyperlink" Target="https://finance.yahoo.com/quote/AAPL270115P00200000/" TargetMode="External"/><Relationship Id="rId92" Type="http://schemas.openxmlformats.org/officeDocument/2006/relationships/hyperlink" Target="https://finance.yahoo.com/quote/AAPL/options/?straddle=false&amp;strike=272.5&amp;type=all" TargetMode="External"/><Relationship Id="rId616" Type="http://schemas.openxmlformats.org/officeDocument/2006/relationships/hyperlink" Target="https://finance.yahoo.com/quote/AAPL/options/?straddle=false&amp;strike=245&amp;type=all" TargetMode="External"/><Relationship Id="rId823" Type="http://schemas.openxmlformats.org/officeDocument/2006/relationships/hyperlink" Target="https://finance.yahoo.com/quote/AAPL260116C00020000/" TargetMode="External"/><Relationship Id="rId1453" Type="http://schemas.openxmlformats.org/officeDocument/2006/relationships/hyperlink" Target="https://finance.yahoo.com/quote/AAPL260417C00170000/" TargetMode="External"/><Relationship Id="rId1660" Type="http://schemas.openxmlformats.org/officeDocument/2006/relationships/hyperlink" Target="https://finance.yahoo.com/quote/AAPL/options/?straddle=false&amp;strike=280&amp;type=all" TargetMode="External"/><Relationship Id="rId2504" Type="http://schemas.openxmlformats.org/officeDocument/2006/relationships/hyperlink" Target="https://finance.yahoo.com/quote/AAPL/options/?straddle=false&amp;strike=290&amp;type=all" TargetMode="External"/><Relationship Id="rId2711" Type="http://schemas.openxmlformats.org/officeDocument/2006/relationships/hyperlink" Target="https://finance.yahoo.com/quote/AAPL270115C00160000/" TargetMode="External"/><Relationship Id="rId1106" Type="http://schemas.openxmlformats.org/officeDocument/2006/relationships/hyperlink" Target="https://finance.yahoo.com/quote/AAPL/options/?straddle=false&amp;strike=120&amp;type=all" TargetMode="External"/><Relationship Id="rId1313" Type="http://schemas.openxmlformats.org/officeDocument/2006/relationships/hyperlink" Target="https://finance.yahoo.com/quote/AAPL260320C00165000/" TargetMode="External"/><Relationship Id="rId1520" Type="http://schemas.openxmlformats.org/officeDocument/2006/relationships/hyperlink" Target="https://finance.yahoo.com/quote/AAPL/options/?straddle=false&amp;strike=340&amp;type=all" TargetMode="External"/><Relationship Id="rId3278" Type="http://schemas.openxmlformats.org/officeDocument/2006/relationships/hyperlink" Target="https://finance.yahoo.com/quote/AAPL/options/?straddle=false&amp;strike=440&amp;type=all" TargetMode="External"/><Relationship Id="rId3485" Type="http://schemas.openxmlformats.org/officeDocument/2006/relationships/hyperlink" Target="https://finance.yahoo.com/quote/AAPL280121P00100000/" TargetMode="External"/><Relationship Id="rId3692" Type="http://schemas.openxmlformats.org/officeDocument/2006/relationships/hyperlink" Target="https://finance.yahoo.com/quote/AAPL/options/?straddle=false&amp;strike=227.5&amp;type=all" TargetMode="External"/><Relationship Id="rId199" Type="http://schemas.openxmlformats.org/officeDocument/2006/relationships/hyperlink" Target="https://finance.yahoo.com/quote/AAPL251017P00237500/" TargetMode="External"/><Relationship Id="rId2087" Type="http://schemas.openxmlformats.org/officeDocument/2006/relationships/hyperlink" Target="https://finance.yahoo.com/quote/AAPL260821C00230000/" TargetMode="External"/><Relationship Id="rId2294" Type="http://schemas.openxmlformats.org/officeDocument/2006/relationships/hyperlink" Target="https://finance.yahoo.com/quote/AAPL/options/?straddle=false&amp;strike=370&amp;type=all" TargetMode="External"/><Relationship Id="rId3138" Type="http://schemas.openxmlformats.org/officeDocument/2006/relationships/hyperlink" Target="https://finance.yahoo.com/quote/AAPL/options/?straddle=false&amp;strike=90&amp;type=all" TargetMode="External"/><Relationship Id="rId3345" Type="http://schemas.openxmlformats.org/officeDocument/2006/relationships/hyperlink" Target="https://finance.yahoo.com/quote/AAPL271217P00215000/" TargetMode="External"/><Relationship Id="rId3552" Type="http://schemas.openxmlformats.org/officeDocument/2006/relationships/hyperlink" Target="https://finance.yahoo.com/quote/AAPL/options/?straddle=false&amp;strike=150&amp;type=all" TargetMode="External"/><Relationship Id="rId266" Type="http://schemas.openxmlformats.org/officeDocument/2006/relationships/hyperlink" Target="https://finance.yahoo.com/quote/AAPL/options/?straddle=false&amp;strike=175&amp;type=all" TargetMode="External"/><Relationship Id="rId473" Type="http://schemas.openxmlformats.org/officeDocument/2006/relationships/hyperlink" Target="https://finance.yahoo.com/quote/AAPL251031P00140000/" TargetMode="External"/><Relationship Id="rId680" Type="http://schemas.openxmlformats.org/officeDocument/2006/relationships/hyperlink" Target="https://finance.yahoo.com/quote/AAPL/options/?straddle=false&amp;strike=235&amp;type=all" TargetMode="External"/><Relationship Id="rId2154" Type="http://schemas.openxmlformats.org/officeDocument/2006/relationships/hyperlink" Target="https://finance.yahoo.com/quote/AAPL/options/?straddle=false&amp;strike=220&amp;type=all" TargetMode="External"/><Relationship Id="rId2361" Type="http://schemas.openxmlformats.org/officeDocument/2006/relationships/hyperlink" Target="https://finance.yahoo.com/quote/AAPL260918P00200000/" TargetMode="External"/><Relationship Id="rId3205" Type="http://schemas.openxmlformats.org/officeDocument/2006/relationships/hyperlink" Target="https://finance.yahoo.com/quote/AAPL271217C00260000/" TargetMode="External"/><Relationship Id="rId3412" Type="http://schemas.openxmlformats.org/officeDocument/2006/relationships/hyperlink" Target="https://finance.yahoo.com/quote/AAPL/options/?straddle=false&amp;strike=120&amp;type=all" TargetMode="External"/><Relationship Id="rId126" Type="http://schemas.openxmlformats.org/officeDocument/2006/relationships/hyperlink" Target="https://finance.yahoo.com/quote/AAPL/options/?straddle=false&amp;strike=355&amp;type=all" TargetMode="External"/><Relationship Id="rId333" Type="http://schemas.openxmlformats.org/officeDocument/2006/relationships/hyperlink" Target="https://finance.yahoo.com/quote/AAPL251024P00140000/" TargetMode="External"/><Relationship Id="rId540" Type="http://schemas.openxmlformats.org/officeDocument/2006/relationships/hyperlink" Target="https://finance.yahoo.com/quote/AAPL/options/?straddle=false&amp;strike=310&amp;type=all" TargetMode="External"/><Relationship Id="rId1170" Type="http://schemas.openxmlformats.org/officeDocument/2006/relationships/hyperlink" Target="https://finance.yahoo.com/quote/AAPL/options/?straddle=false&amp;strike=280&amp;type=all" TargetMode="External"/><Relationship Id="rId2014" Type="http://schemas.openxmlformats.org/officeDocument/2006/relationships/hyperlink" Target="https://finance.yahoo.com/quote/AAPL/options/?straddle=false&amp;strike=260&amp;type=all" TargetMode="External"/><Relationship Id="rId2221" Type="http://schemas.openxmlformats.org/officeDocument/2006/relationships/hyperlink" Target="https://finance.yahoo.com/quote/AAPL260918C00155000/" TargetMode="External"/><Relationship Id="rId1030" Type="http://schemas.openxmlformats.org/officeDocument/2006/relationships/hyperlink" Target="https://finance.yahoo.com/quote/AAPL/options/?straddle=false&amp;strike=180&amp;type=all" TargetMode="External"/><Relationship Id="rId400" Type="http://schemas.openxmlformats.org/officeDocument/2006/relationships/hyperlink" Target="https://finance.yahoo.com/quote/AAPL/options/?straddle=false&amp;strike=140&amp;type=all" TargetMode="External"/><Relationship Id="rId1987" Type="http://schemas.openxmlformats.org/officeDocument/2006/relationships/hyperlink" Target="https://finance.yahoo.com/quote/AAPL260618P00195000/" TargetMode="External"/><Relationship Id="rId1847" Type="http://schemas.openxmlformats.org/officeDocument/2006/relationships/hyperlink" Target="https://finance.yahoo.com/quote/AAPL260618C00185000/" TargetMode="External"/><Relationship Id="rId1707" Type="http://schemas.openxmlformats.org/officeDocument/2006/relationships/hyperlink" Target="https://finance.yahoo.com/quote/AAPL260515P00095000/" TargetMode="External"/><Relationship Id="rId3062" Type="http://schemas.openxmlformats.org/officeDocument/2006/relationships/hyperlink" Target="https://finance.yahoo.com/quote/AAPL/options/?straddle=false&amp;strike=175&amp;type=all" TargetMode="External"/><Relationship Id="rId190" Type="http://schemas.openxmlformats.org/officeDocument/2006/relationships/hyperlink" Target="https://finance.yahoo.com/quote/AAPL/options/?straddle=false&amp;strike=225&amp;type=all" TargetMode="External"/><Relationship Id="rId1914" Type="http://schemas.openxmlformats.org/officeDocument/2006/relationships/hyperlink" Target="https://finance.yahoo.com/quote/AAPL/options/?straddle=false&amp;strike=10&amp;type=all" TargetMode="External"/><Relationship Id="rId2688" Type="http://schemas.openxmlformats.org/officeDocument/2006/relationships/hyperlink" Target="https://finance.yahoo.com/quote/AAPL/options/?straddle=false&amp;strike=100&amp;type=all" TargetMode="External"/><Relationship Id="rId2895" Type="http://schemas.openxmlformats.org/officeDocument/2006/relationships/hyperlink" Target="https://finance.yahoo.com/quote/AAPL270115P00440000/" TargetMode="External"/><Relationship Id="rId3739" Type="http://schemas.openxmlformats.org/officeDocument/2006/relationships/hyperlink" Target="https://finance.yahoo.com/quote/AAPL251010P00310000/" TargetMode="External"/><Relationship Id="rId867" Type="http://schemas.openxmlformats.org/officeDocument/2006/relationships/hyperlink" Target="https://finance.yahoo.com/quote/AAPL260116C00130000/" TargetMode="External"/><Relationship Id="rId1497" Type="http://schemas.openxmlformats.org/officeDocument/2006/relationships/hyperlink" Target="https://finance.yahoo.com/quote/AAPL260417C00280000/" TargetMode="External"/><Relationship Id="rId2548" Type="http://schemas.openxmlformats.org/officeDocument/2006/relationships/hyperlink" Target="https://finance.yahoo.com/quote/AAPL/options/?straddle=false&amp;strike=30&amp;type=all" TargetMode="External"/><Relationship Id="rId2755" Type="http://schemas.openxmlformats.org/officeDocument/2006/relationships/hyperlink" Target="https://finance.yahoo.com/quote/AAPL270115C00340000/" TargetMode="External"/><Relationship Id="rId2962" Type="http://schemas.openxmlformats.org/officeDocument/2006/relationships/hyperlink" Target="https://finance.yahoo.com/quote/AAPL/options/?straddle=false&amp;strike=210&amp;type=all" TargetMode="External"/><Relationship Id="rId727" Type="http://schemas.openxmlformats.org/officeDocument/2006/relationships/hyperlink" Target="https://finance.yahoo.com/quote/AAPL251121P00100000/" TargetMode="External"/><Relationship Id="rId934" Type="http://schemas.openxmlformats.org/officeDocument/2006/relationships/hyperlink" Target="https://finance.yahoo.com/quote/AAPL/options/?straddle=false&amp;strike=295&amp;type=all" TargetMode="External"/><Relationship Id="rId1357" Type="http://schemas.openxmlformats.org/officeDocument/2006/relationships/hyperlink" Target="https://finance.yahoo.com/quote/AAPL260320C00350000/" TargetMode="External"/><Relationship Id="rId1564" Type="http://schemas.openxmlformats.org/officeDocument/2006/relationships/hyperlink" Target="https://finance.yahoo.com/quote/AAPL/options/?straddle=false&amp;strike=215&amp;type=all" TargetMode="External"/><Relationship Id="rId1771" Type="http://schemas.openxmlformats.org/officeDocument/2006/relationships/hyperlink" Target="https://finance.yahoo.com/quote/AAPL260515P00310000/" TargetMode="External"/><Relationship Id="rId2408" Type="http://schemas.openxmlformats.org/officeDocument/2006/relationships/hyperlink" Target="https://finance.yahoo.com/quote/AAPL/options/?straddle=false&amp;strike=350&amp;type=all" TargetMode="External"/><Relationship Id="rId2615" Type="http://schemas.openxmlformats.org/officeDocument/2006/relationships/hyperlink" Target="https://finance.yahoo.com/quote/AAPL261218P00230000/" TargetMode="External"/><Relationship Id="rId2822" Type="http://schemas.openxmlformats.org/officeDocument/2006/relationships/hyperlink" Target="https://finance.yahoo.com/quote/AAPL/options/?straddle=false&amp;strike=125&amp;type=all" TargetMode="External"/><Relationship Id="rId63" Type="http://schemas.openxmlformats.org/officeDocument/2006/relationships/hyperlink" Target="https://finance.yahoo.com/quote/AAPL251017C00237500/" TargetMode="External"/><Relationship Id="rId1217" Type="http://schemas.openxmlformats.org/officeDocument/2006/relationships/hyperlink" Target="https://finance.yahoo.com/quote/AAPL260220P00145000/" TargetMode="External"/><Relationship Id="rId1424" Type="http://schemas.openxmlformats.org/officeDocument/2006/relationships/hyperlink" Target="https://finance.yahoo.com/quote/AAPL/options/?straddle=false&amp;strike=280&amp;type=all" TargetMode="External"/><Relationship Id="rId1631" Type="http://schemas.openxmlformats.org/officeDocument/2006/relationships/hyperlink" Target="https://finance.yahoo.com/quote/AAPL260515C00170000/" TargetMode="External"/><Relationship Id="rId3389" Type="http://schemas.openxmlformats.org/officeDocument/2006/relationships/hyperlink" Target="https://finance.yahoo.com/quote/AAPL271217P00325000/" TargetMode="External"/><Relationship Id="rId3596" Type="http://schemas.openxmlformats.org/officeDocument/2006/relationships/hyperlink" Target="https://finance.yahoo.com/quote/AAPL/options/?straddle=false&amp;strike=240&amp;type=all" TargetMode="External"/><Relationship Id="rId2198" Type="http://schemas.openxmlformats.org/officeDocument/2006/relationships/hyperlink" Target="https://finance.yahoo.com/quote/AAPL/options/?straddle=false&amp;strike=95&amp;type=all" TargetMode="External"/><Relationship Id="rId3249" Type="http://schemas.openxmlformats.org/officeDocument/2006/relationships/hyperlink" Target="https://finance.yahoo.com/quote/AAPL271217C00370000/" TargetMode="External"/><Relationship Id="rId3456" Type="http://schemas.openxmlformats.org/officeDocument/2006/relationships/hyperlink" Target="https://finance.yahoo.com/quote/AAPL/options/?straddle=false&amp;strike=310&amp;type=all" TargetMode="External"/><Relationship Id="rId377" Type="http://schemas.openxmlformats.org/officeDocument/2006/relationships/hyperlink" Target="https://finance.yahoo.com/quote/AAPL251024P00250000/" TargetMode="External"/><Relationship Id="rId584" Type="http://schemas.openxmlformats.org/officeDocument/2006/relationships/hyperlink" Target="https://finance.yahoo.com/quote/AAPL/options/?straddle=false&amp;strike=305&amp;type=all" TargetMode="External"/><Relationship Id="rId2058" Type="http://schemas.openxmlformats.org/officeDocument/2006/relationships/hyperlink" Target="https://finance.yahoo.com/quote/AAPL/options/?straddle=false&amp;strike=140&amp;type=all" TargetMode="External"/><Relationship Id="rId2265" Type="http://schemas.openxmlformats.org/officeDocument/2006/relationships/hyperlink" Target="https://finance.yahoo.com/quote/AAPL260918C00265000/" TargetMode="External"/><Relationship Id="rId3109" Type="http://schemas.openxmlformats.org/officeDocument/2006/relationships/hyperlink" Target="https://finance.yahoo.com/quote/AAPL270617P00400000/" TargetMode="External"/><Relationship Id="rId3663" Type="http://schemas.openxmlformats.org/officeDocument/2006/relationships/hyperlink" Target="https://finance.yahoo.com/quote/AAPL251010P00170000/" TargetMode="External"/><Relationship Id="rId237" Type="http://schemas.openxmlformats.org/officeDocument/2006/relationships/hyperlink" Target="https://finance.yahoo.com/quote/AAPL251017P00300000/" TargetMode="External"/><Relationship Id="rId791" Type="http://schemas.openxmlformats.org/officeDocument/2006/relationships/hyperlink" Target="https://finance.yahoo.com/quote/AAPL251121P00260000/" TargetMode="External"/><Relationship Id="rId1074" Type="http://schemas.openxmlformats.org/officeDocument/2006/relationships/hyperlink" Target="https://finance.yahoo.com/quote/AAPL/options/?straddle=false&amp;strike=290&amp;type=all" TargetMode="External"/><Relationship Id="rId2472" Type="http://schemas.openxmlformats.org/officeDocument/2006/relationships/hyperlink" Target="https://finance.yahoo.com/quote/AAPL/options/?straddle=false&amp;strike=165&amp;type=all" TargetMode="External"/><Relationship Id="rId3316" Type="http://schemas.openxmlformats.org/officeDocument/2006/relationships/hyperlink" Target="https://finance.yahoo.com/quote/AAPL/options/?straddle=false&amp;strike=140&amp;type=all" TargetMode="External"/><Relationship Id="rId3523" Type="http://schemas.openxmlformats.org/officeDocument/2006/relationships/hyperlink" Target="https://finance.yahoo.com/quote/AAPL280121P00240000/" TargetMode="External"/><Relationship Id="rId3730" Type="http://schemas.openxmlformats.org/officeDocument/2006/relationships/hyperlink" Target="https://finance.yahoo.com/quote/AAPL/options/?straddle=false&amp;strike=275&amp;type=all" TargetMode="External"/><Relationship Id="rId444" Type="http://schemas.openxmlformats.org/officeDocument/2006/relationships/hyperlink" Target="https://finance.yahoo.com/quote/AAPL/options/?straddle=false&amp;strike=275&amp;type=all" TargetMode="External"/><Relationship Id="rId651" Type="http://schemas.openxmlformats.org/officeDocument/2006/relationships/hyperlink" Target="https://finance.yahoo.com/quote/AAPL251121C00165000/" TargetMode="External"/><Relationship Id="rId1281" Type="http://schemas.openxmlformats.org/officeDocument/2006/relationships/hyperlink" Target="https://finance.yahoo.com/quote/AAPL260220P00310000/" TargetMode="External"/><Relationship Id="rId2125" Type="http://schemas.openxmlformats.org/officeDocument/2006/relationships/hyperlink" Target="https://finance.yahoo.com/quote/AAPL260821P00140000/" TargetMode="External"/><Relationship Id="rId2332" Type="http://schemas.openxmlformats.org/officeDocument/2006/relationships/hyperlink" Target="https://finance.yahoo.com/quote/AAPL/options/?straddle=false&amp;strike=125&amp;type=all" TargetMode="External"/><Relationship Id="rId304" Type="http://schemas.openxmlformats.org/officeDocument/2006/relationships/hyperlink" Target="https://finance.yahoo.com/quote/AAPL/options/?straddle=false&amp;strike=270&amp;type=all" TargetMode="External"/><Relationship Id="rId511" Type="http://schemas.openxmlformats.org/officeDocument/2006/relationships/hyperlink" Target="https://finance.yahoo.com/quote/AAPL251031P00235000/" TargetMode="External"/><Relationship Id="rId1141" Type="http://schemas.openxmlformats.org/officeDocument/2006/relationships/hyperlink" Target="https://finance.yahoo.com/quote/AAPL260220C00210000/" TargetMode="External"/><Relationship Id="rId1001" Type="http://schemas.openxmlformats.org/officeDocument/2006/relationships/hyperlink" Target="https://finance.yahoo.com/quote/AAPL260116P00110000/" TargetMode="External"/><Relationship Id="rId1958" Type="http://schemas.openxmlformats.org/officeDocument/2006/relationships/hyperlink" Target="https://finance.yahoo.com/quote/AAPL/options/?straddle=false&amp;strike=120&amp;type=all" TargetMode="External"/><Relationship Id="rId3173" Type="http://schemas.openxmlformats.org/officeDocument/2006/relationships/hyperlink" Target="https://finance.yahoo.com/quote/AAPL271217C00180000/" TargetMode="External"/><Relationship Id="rId3380" Type="http://schemas.openxmlformats.org/officeDocument/2006/relationships/hyperlink" Target="https://finance.yahoo.com/quote/AAPL/options/?straddle=false&amp;strike=300&amp;type=all" TargetMode="External"/><Relationship Id="rId1818" Type="http://schemas.openxmlformats.org/officeDocument/2006/relationships/hyperlink" Target="https://finance.yahoo.com/quote/AAPL/options/?straddle=false&amp;strike=110&amp;type=all" TargetMode="External"/><Relationship Id="rId3033" Type="http://schemas.openxmlformats.org/officeDocument/2006/relationships/hyperlink" Target="https://finance.yahoo.com/quote/AAPL270617P00105000/" TargetMode="External"/><Relationship Id="rId3240" Type="http://schemas.openxmlformats.org/officeDocument/2006/relationships/hyperlink" Target="https://finance.yahoo.com/quote/AAPL/options/?straddle=false&amp;strike=345&amp;type=all" TargetMode="External"/><Relationship Id="rId161" Type="http://schemas.openxmlformats.org/officeDocument/2006/relationships/hyperlink" Target="https://finance.yahoo.com/quote/AAPL251017P00165000/" TargetMode="External"/><Relationship Id="rId2799" Type="http://schemas.openxmlformats.org/officeDocument/2006/relationships/hyperlink" Target="https://finance.yahoo.com/quote/AAPL270115P00060000/" TargetMode="External"/><Relationship Id="rId3100" Type="http://schemas.openxmlformats.org/officeDocument/2006/relationships/hyperlink" Target="https://finance.yahoo.com/quote/AAPL/options/?straddle=false&amp;strike=340&amp;type=all" TargetMode="External"/><Relationship Id="rId978" Type="http://schemas.openxmlformats.org/officeDocument/2006/relationships/hyperlink" Target="https://finance.yahoo.com/quote/AAPL/options/?straddle=false&amp;strike=50&amp;type=all" TargetMode="External"/><Relationship Id="rId2659" Type="http://schemas.openxmlformats.org/officeDocument/2006/relationships/hyperlink" Target="https://finance.yahoo.com/quote/AAPL270115C00015000/" TargetMode="External"/><Relationship Id="rId2866" Type="http://schemas.openxmlformats.org/officeDocument/2006/relationships/hyperlink" Target="https://finance.yahoo.com/quote/AAPL/options/?straddle=false&amp;strike=270&amp;type=all" TargetMode="External"/><Relationship Id="rId838" Type="http://schemas.openxmlformats.org/officeDocument/2006/relationships/hyperlink" Target="https://finance.yahoo.com/quote/AAPL/options/?straddle=false&amp;strike=55&amp;type=all" TargetMode="External"/><Relationship Id="rId1468" Type="http://schemas.openxmlformats.org/officeDocument/2006/relationships/hyperlink" Target="https://finance.yahoo.com/quote/AAPL/options/?straddle=false&amp;strike=205&amp;type=all" TargetMode="External"/><Relationship Id="rId1675" Type="http://schemas.openxmlformats.org/officeDocument/2006/relationships/hyperlink" Target="https://finance.yahoo.com/quote/AAPL260515C00360000/" TargetMode="External"/><Relationship Id="rId1882" Type="http://schemas.openxmlformats.org/officeDocument/2006/relationships/hyperlink" Target="https://finance.yahoo.com/quote/AAPL/options/?straddle=false&amp;strike=270&amp;type=all" TargetMode="External"/><Relationship Id="rId2519" Type="http://schemas.openxmlformats.org/officeDocument/2006/relationships/hyperlink" Target="https://finance.yahoo.com/quote/AAPL261218C00370000/" TargetMode="External"/><Relationship Id="rId2726" Type="http://schemas.openxmlformats.org/officeDocument/2006/relationships/hyperlink" Target="https://finance.yahoo.com/quote/AAPL/options/?straddle=false&amp;strike=195&amp;type=all" TargetMode="External"/><Relationship Id="rId1328" Type="http://schemas.openxmlformats.org/officeDocument/2006/relationships/hyperlink" Target="https://finance.yahoo.com/quote/AAPL/options/?straddle=false&amp;strike=200&amp;type=all" TargetMode="External"/><Relationship Id="rId1535" Type="http://schemas.openxmlformats.org/officeDocument/2006/relationships/hyperlink" Target="https://finance.yahoo.com/quote/AAPL260417P00145000/" TargetMode="External"/><Relationship Id="rId2933" Type="http://schemas.openxmlformats.org/officeDocument/2006/relationships/hyperlink" Target="https://finance.yahoo.com/quote/AAPL270617C00135000/" TargetMode="External"/><Relationship Id="rId905" Type="http://schemas.openxmlformats.org/officeDocument/2006/relationships/hyperlink" Target="https://finance.yahoo.com/quote/AAPL260116C00225000/" TargetMode="External"/><Relationship Id="rId1742" Type="http://schemas.openxmlformats.org/officeDocument/2006/relationships/hyperlink" Target="https://finance.yahoo.com/quote/AAPL/options/?straddle=false&amp;strike=180&amp;type=all" TargetMode="External"/><Relationship Id="rId34" Type="http://schemas.openxmlformats.org/officeDocument/2006/relationships/hyperlink" Target="https://finance.yahoo.com/quote/AAPL/options/?straddle=false&amp;strike=185&amp;type=all" TargetMode="External"/><Relationship Id="rId1602" Type="http://schemas.openxmlformats.org/officeDocument/2006/relationships/hyperlink" Target="https://finance.yahoo.com/quote/AAPL/options/?straddle=false&amp;strike=30&amp;type=all" TargetMode="External"/><Relationship Id="rId3567" Type="http://schemas.openxmlformats.org/officeDocument/2006/relationships/hyperlink" Target="https://finance.yahoo.com/quote/AAPL251010C00195000/" TargetMode="External"/><Relationship Id="rId488" Type="http://schemas.openxmlformats.org/officeDocument/2006/relationships/hyperlink" Target="https://finance.yahoo.com/quote/AAPL/options/?straddle=false&amp;strike=175&amp;type=all" TargetMode="External"/><Relationship Id="rId695" Type="http://schemas.openxmlformats.org/officeDocument/2006/relationships/hyperlink" Target="https://finance.yahoo.com/quote/AAPL251121C00275000/" TargetMode="External"/><Relationship Id="rId2169" Type="http://schemas.openxmlformats.org/officeDocument/2006/relationships/hyperlink" Target="https://finance.yahoo.com/quote/AAPL260821P00300000/" TargetMode="External"/><Relationship Id="rId2376" Type="http://schemas.openxmlformats.org/officeDocument/2006/relationships/hyperlink" Target="https://finance.yahoo.com/quote/AAPL/options/?straddle=false&amp;strike=235&amp;type=all" TargetMode="External"/><Relationship Id="rId2583" Type="http://schemas.openxmlformats.org/officeDocument/2006/relationships/hyperlink" Target="https://finance.yahoo.com/quote/AAPL261218P00135000/" TargetMode="External"/><Relationship Id="rId2790" Type="http://schemas.openxmlformats.org/officeDocument/2006/relationships/hyperlink" Target="https://finance.yahoo.com/quote/AAPL/options/?straddle=false&amp;strike=30&amp;type=all" TargetMode="External"/><Relationship Id="rId3427" Type="http://schemas.openxmlformats.org/officeDocument/2006/relationships/hyperlink" Target="https://finance.yahoo.com/quote/AAPL280121C00185000/" TargetMode="External"/><Relationship Id="rId3634" Type="http://schemas.openxmlformats.org/officeDocument/2006/relationships/hyperlink" Target="https://finance.yahoo.com/quote/AAPL/options/?straddle=false&amp;strike=300&amp;type=all" TargetMode="External"/><Relationship Id="rId348" Type="http://schemas.openxmlformats.org/officeDocument/2006/relationships/hyperlink" Target="https://finance.yahoo.com/quote/AAPL/options/?straddle=false&amp;strike=175&amp;type=all" TargetMode="External"/><Relationship Id="rId555" Type="http://schemas.openxmlformats.org/officeDocument/2006/relationships/hyperlink" Target="https://finance.yahoo.com/quote/AAPL251107C00235000/" TargetMode="External"/><Relationship Id="rId762" Type="http://schemas.openxmlformats.org/officeDocument/2006/relationships/hyperlink" Target="https://finance.yahoo.com/quote/AAPL/options/?straddle=false&amp;strike=185&amp;type=all" TargetMode="External"/><Relationship Id="rId1185" Type="http://schemas.openxmlformats.org/officeDocument/2006/relationships/hyperlink" Target="https://finance.yahoo.com/quote/AAPL260220C00340000/" TargetMode="External"/><Relationship Id="rId1392" Type="http://schemas.openxmlformats.org/officeDocument/2006/relationships/hyperlink" Target="https://finance.yahoo.com/quote/AAPL/options/?straddle=false&amp;strike=160&amp;type=all" TargetMode="External"/><Relationship Id="rId2029" Type="http://schemas.openxmlformats.org/officeDocument/2006/relationships/hyperlink" Target="https://finance.yahoo.com/quote/AAPL260618P00310000/" TargetMode="External"/><Relationship Id="rId2236" Type="http://schemas.openxmlformats.org/officeDocument/2006/relationships/hyperlink" Target="https://finance.yahoo.com/quote/AAPL/options/?straddle=false&amp;strike=190&amp;type=all" TargetMode="External"/><Relationship Id="rId2443" Type="http://schemas.openxmlformats.org/officeDocument/2006/relationships/hyperlink" Target="https://finance.yahoo.com/quote/AAPL261218C00095000/" TargetMode="External"/><Relationship Id="rId2650" Type="http://schemas.openxmlformats.org/officeDocument/2006/relationships/hyperlink" Target="https://finance.yahoo.com/quote/AAPL/options/?straddle=false&amp;strike=410&amp;type=all" TargetMode="External"/><Relationship Id="rId3701" Type="http://schemas.openxmlformats.org/officeDocument/2006/relationships/hyperlink" Target="https://finance.yahoo.com/quote/AAPL251010P00240000/" TargetMode="External"/><Relationship Id="rId208" Type="http://schemas.openxmlformats.org/officeDocument/2006/relationships/hyperlink" Target="https://finance.yahoo.com/quote/AAPL/options/?straddle=false&amp;strike=247.5&amp;type=all" TargetMode="External"/><Relationship Id="rId415" Type="http://schemas.openxmlformats.org/officeDocument/2006/relationships/hyperlink" Target="https://finance.yahoo.com/quote/AAPL251031C00205000/" TargetMode="External"/><Relationship Id="rId622" Type="http://schemas.openxmlformats.org/officeDocument/2006/relationships/hyperlink" Target="https://finance.yahoo.com/quote/AAPL/options/?straddle=false&amp;strike=260&amp;type=all" TargetMode="External"/><Relationship Id="rId1045" Type="http://schemas.openxmlformats.org/officeDocument/2006/relationships/hyperlink" Target="https://finance.yahoo.com/quote/AAPL260116P00220000/" TargetMode="External"/><Relationship Id="rId1252" Type="http://schemas.openxmlformats.org/officeDocument/2006/relationships/hyperlink" Target="https://finance.yahoo.com/quote/AAPL/options/?straddle=false&amp;strike=230&amp;type=all" TargetMode="External"/><Relationship Id="rId2303" Type="http://schemas.openxmlformats.org/officeDocument/2006/relationships/hyperlink" Target="https://finance.yahoo.com/quote/AAPL260918P00055000/" TargetMode="External"/><Relationship Id="rId2510" Type="http://schemas.openxmlformats.org/officeDocument/2006/relationships/hyperlink" Target="https://finance.yahoo.com/quote/AAPL/options/?straddle=false&amp;strike=320&amp;type=all" TargetMode="External"/><Relationship Id="rId1112" Type="http://schemas.openxmlformats.org/officeDocument/2006/relationships/hyperlink" Target="https://finance.yahoo.com/quote/AAPL/options/?straddle=false&amp;strike=135&amp;type=all" TargetMode="External"/><Relationship Id="rId3077" Type="http://schemas.openxmlformats.org/officeDocument/2006/relationships/hyperlink" Target="https://finance.yahoo.com/quote/AAPL270617P00230000/" TargetMode="External"/><Relationship Id="rId3284" Type="http://schemas.openxmlformats.org/officeDocument/2006/relationships/hyperlink" Target="https://finance.yahoo.com/quote/AAPL/options/?straddle=false&amp;strike=60&amp;type=all" TargetMode="External"/><Relationship Id="rId1929" Type="http://schemas.openxmlformats.org/officeDocument/2006/relationships/hyperlink" Target="https://finance.yahoo.com/quote/AAPL260618P00050000/" TargetMode="External"/><Relationship Id="rId2093" Type="http://schemas.openxmlformats.org/officeDocument/2006/relationships/hyperlink" Target="https://finance.yahoo.com/quote/AAPL260821C00260000/" TargetMode="External"/><Relationship Id="rId3491" Type="http://schemas.openxmlformats.org/officeDocument/2006/relationships/hyperlink" Target="https://finance.yahoo.com/quote/AAPL280121P00130000/" TargetMode="External"/><Relationship Id="rId3144" Type="http://schemas.openxmlformats.org/officeDocument/2006/relationships/hyperlink" Target="https://finance.yahoo.com/quote/AAPL/options/?straddle=false&amp;strike=105&amp;type=all" TargetMode="External"/><Relationship Id="rId3351" Type="http://schemas.openxmlformats.org/officeDocument/2006/relationships/hyperlink" Target="https://finance.yahoo.com/quote/AAPL271217P00230000/" TargetMode="External"/><Relationship Id="rId272" Type="http://schemas.openxmlformats.org/officeDocument/2006/relationships/hyperlink" Target="https://finance.yahoo.com/quote/AAPL/options/?straddle=false&amp;strike=190&amp;type=all" TargetMode="External"/><Relationship Id="rId2160" Type="http://schemas.openxmlformats.org/officeDocument/2006/relationships/hyperlink" Target="https://finance.yahoo.com/quote/AAPL/options/?straddle=false&amp;strike=250&amp;type=all" TargetMode="External"/><Relationship Id="rId3004" Type="http://schemas.openxmlformats.org/officeDocument/2006/relationships/hyperlink" Target="https://finance.yahoo.com/quote/AAPL/options/?straddle=false&amp;strike=420&amp;type=all" TargetMode="External"/><Relationship Id="rId3211" Type="http://schemas.openxmlformats.org/officeDocument/2006/relationships/hyperlink" Target="https://finance.yahoo.com/quote/AAPL271217C00275000/" TargetMode="External"/><Relationship Id="rId132" Type="http://schemas.openxmlformats.org/officeDocument/2006/relationships/hyperlink" Target="https://finance.yahoo.com/quote/AAPL/options/?straddle=false&amp;strike=90&amp;type=all" TargetMode="External"/><Relationship Id="rId2020" Type="http://schemas.openxmlformats.org/officeDocument/2006/relationships/hyperlink" Target="https://finance.yahoo.com/quote/AAPL/options/?straddle=false&amp;strike=275&amp;type=all" TargetMode="External"/><Relationship Id="rId1579" Type="http://schemas.openxmlformats.org/officeDocument/2006/relationships/hyperlink" Target="https://finance.yahoo.com/quote/AAPL260417P00255000/" TargetMode="External"/><Relationship Id="rId2977" Type="http://schemas.openxmlformats.org/officeDocument/2006/relationships/hyperlink" Target="https://finance.yahoo.com/quote/AAPL270617C00290000/" TargetMode="External"/><Relationship Id="rId949" Type="http://schemas.openxmlformats.org/officeDocument/2006/relationships/hyperlink" Target="https://finance.yahoo.com/quote/AAPL260116C00350000/" TargetMode="External"/><Relationship Id="rId1786" Type="http://schemas.openxmlformats.org/officeDocument/2006/relationships/hyperlink" Target="https://finance.yahoo.com/quote/AAPL/options/?straddle=false&amp;strike=30&amp;type=all" TargetMode="External"/><Relationship Id="rId1993" Type="http://schemas.openxmlformats.org/officeDocument/2006/relationships/hyperlink" Target="https://finance.yahoo.com/quote/AAPL260618P00210000/" TargetMode="External"/><Relationship Id="rId2837" Type="http://schemas.openxmlformats.org/officeDocument/2006/relationships/hyperlink" Target="https://finance.yahoo.com/quote/AAPL270115P00165000/" TargetMode="External"/><Relationship Id="rId78" Type="http://schemas.openxmlformats.org/officeDocument/2006/relationships/hyperlink" Target="https://finance.yahoo.com/quote/AAPL/options/?straddle=false&amp;strike=255&amp;type=all" TargetMode="External"/><Relationship Id="rId809" Type="http://schemas.openxmlformats.org/officeDocument/2006/relationships/hyperlink" Target="https://finance.yahoo.com/quote/AAPL251121P00315000/" TargetMode="External"/><Relationship Id="rId1439" Type="http://schemas.openxmlformats.org/officeDocument/2006/relationships/hyperlink" Target="https://finance.yahoo.com/quote/AAPL260417C00120000/" TargetMode="External"/><Relationship Id="rId1646" Type="http://schemas.openxmlformats.org/officeDocument/2006/relationships/hyperlink" Target="https://finance.yahoo.com/quote/AAPL/options/?straddle=false&amp;strike=210&amp;type=all" TargetMode="External"/><Relationship Id="rId1853" Type="http://schemas.openxmlformats.org/officeDocument/2006/relationships/hyperlink" Target="https://finance.yahoo.com/quote/AAPL260618C00200000/" TargetMode="External"/><Relationship Id="rId2904" Type="http://schemas.openxmlformats.org/officeDocument/2006/relationships/hyperlink" Target="https://finance.yahoo.com/quote/AAPL/options/?straddle=false&amp;strike=60&amp;type=all" TargetMode="External"/><Relationship Id="rId1506" Type="http://schemas.openxmlformats.org/officeDocument/2006/relationships/hyperlink" Target="https://finance.yahoo.com/quote/AAPL/options/?straddle=false&amp;strike=300&amp;type=all" TargetMode="External"/><Relationship Id="rId1713" Type="http://schemas.openxmlformats.org/officeDocument/2006/relationships/hyperlink" Target="https://finance.yahoo.com/quote/AAPL260515P00110000/" TargetMode="External"/><Relationship Id="rId1920" Type="http://schemas.openxmlformats.org/officeDocument/2006/relationships/hyperlink" Target="https://finance.yahoo.com/quote/AAPL/options/?straddle=false&amp;strike=25&amp;type=all" TargetMode="External"/><Relationship Id="rId3678" Type="http://schemas.openxmlformats.org/officeDocument/2006/relationships/hyperlink" Target="https://finance.yahoo.com/quote/AAPL/options/?straddle=false&amp;strike=205&amp;type=all" TargetMode="External"/><Relationship Id="rId599" Type="http://schemas.openxmlformats.org/officeDocument/2006/relationships/hyperlink" Target="https://finance.yahoo.com/quote/AAPL251107P00205000/" TargetMode="External"/><Relationship Id="rId2487" Type="http://schemas.openxmlformats.org/officeDocument/2006/relationships/hyperlink" Target="https://finance.yahoo.com/quote/AAPL261218C00210000/" TargetMode="External"/><Relationship Id="rId2694" Type="http://schemas.openxmlformats.org/officeDocument/2006/relationships/hyperlink" Target="https://finance.yahoo.com/quote/AAPL/options/?straddle=false&amp;strike=115&amp;type=all" TargetMode="External"/><Relationship Id="rId3538" Type="http://schemas.openxmlformats.org/officeDocument/2006/relationships/hyperlink" Target="https://finance.yahoo.com/quote/AAPL/options/?straddle=false&amp;strike=310&amp;type=all" TargetMode="External"/><Relationship Id="rId459" Type="http://schemas.openxmlformats.org/officeDocument/2006/relationships/hyperlink" Target="https://finance.yahoo.com/quote/AAPL251031C00315000/" TargetMode="External"/><Relationship Id="rId666" Type="http://schemas.openxmlformats.org/officeDocument/2006/relationships/hyperlink" Target="https://finance.yahoo.com/quote/AAPL/options/?straddle=false&amp;strike=200&amp;type=all" TargetMode="External"/><Relationship Id="rId873" Type="http://schemas.openxmlformats.org/officeDocument/2006/relationships/hyperlink" Target="https://finance.yahoo.com/quote/AAPL260116C00145000/" TargetMode="External"/><Relationship Id="rId1089" Type="http://schemas.openxmlformats.org/officeDocument/2006/relationships/hyperlink" Target="https://finance.yahoo.com/quote/AAPL260116P00340000/" TargetMode="External"/><Relationship Id="rId1296" Type="http://schemas.openxmlformats.org/officeDocument/2006/relationships/hyperlink" Target="https://finance.yahoo.com/quote/AAPL/options/?straddle=false&amp;strike=120&amp;type=all" TargetMode="External"/><Relationship Id="rId2347" Type="http://schemas.openxmlformats.org/officeDocument/2006/relationships/hyperlink" Target="https://finance.yahoo.com/quote/AAPL260918P00165000/" TargetMode="External"/><Relationship Id="rId2554" Type="http://schemas.openxmlformats.org/officeDocument/2006/relationships/hyperlink" Target="https://finance.yahoo.com/quote/AAPL/options/?straddle=false&amp;strike=45&amp;type=all" TargetMode="External"/><Relationship Id="rId319" Type="http://schemas.openxmlformats.org/officeDocument/2006/relationships/hyperlink" Target="https://finance.yahoo.com/quote/AAPL251024C00310000/" TargetMode="External"/><Relationship Id="rId526" Type="http://schemas.openxmlformats.org/officeDocument/2006/relationships/hyperlink" Target="https://finance.yahoo.com/quote/AAPL/options/?straddle=false&amp;strike=270&amp;type=all" TargetMode="External"/><Relationship Id="rId1156" Type="http://schemas.openxmlformats.org/officeDocument/2006/relationships/hyperlink" Target="https://finance.yahoo.com/quote/AAPL/options/?straddle=false&amp;strike=245&amp;type=all" TargetMode="External"/><Relationship Id="rId1363" Type="http://schemas.openxmlformats.org/officeDocument/2006/relationships/hyperlink" Target="https://finance.yahoo.com/quote/AAPL260320P00090000/" TargetMode="External"/><Relationship Id="rId2207" Type="http://schemas.openxmlformats.org/officeDocument/2006/relationships/hyperlink" Target="https://finance.yahoo.com/quote/AAPL260918C00120000/" TargetMode="External"/><Relationship Id="rId2761" Type="http://schemas.openxmlformats.org/officeDocument/2006/relationships/hyperlink" Target="https://finance.yahoo.com/quote/AAPL270115C00370000/" TargetMode="External"/><Relationship Id="rId3605" Type="http://schemas.openxmlformats.org/officeDocument/2006/relationships/hyperlink" Target="https://finance.yahoo.com/quote/AAPL251010C00252500/" TargetMode="External"/><Relationship Id="rId733" Type="http://schemas.openxmlformats.org/officeDocument/2006/relationships/hyperlink" Target="https://finance.yahoo.com/quote/AAPL251121P00115000/" TargetMode="External"/><Relationship Id="rId940" Type="http://schemas.openxmlformats.org/officeDocument/2006/relationships/hyperlink" Target="https://finance.yahoo.com/quote/AAPL/options/?straddle=false&amp;strike=310&amp;type=all" TargetMode="External"/><Relationship Id="rId1016" Type="http://schemas.openxmlformats.org/officeDocument/2006/relationships/hyperlink" Target="https://finance.yahoo.com/quote/AAPL/options/?straddle=false&amp;strike=145&amp;type=all" TargetMode="External"/><Relationship Id="rId1570" Type="http://schemas.openxmlformats.org/officeDocument/2006/relationships/hyperlink" Target="https://finance.yahoo.com/quote/AAPL/options/?straddle=false&amp;strike=230&amp;type=all" TargetMode="External"/><Relationship Id="rId2414" Type="http://schemas.openxmlformats.org/officeDocument/2006/relationships/hyperlink" Target="https://finance.yahoo.com/quote/AAPL/options/?straddle=false&amp;strike=5&amp;type=all" TargetMode="External"/><Relationship Id="rId2621" Type="http://schemas.openxmlformats.org/officeDocument/2006/relationships/hyperlink" Target="https://finance.yahoo.com/quote/AAPL261218P00260000/" TargetMode="External"/><Relationship Id="rId800" Type="http://schemas.openxmlformats.org/officeDocument/2006/relationships/hyperlink" Target="https://finance.yahoo.com/quote/AAPL/options/?straddle=false&amp;strike=280&amp;type=all" TargetMode="External"/><Relationship Id="rId1223" Type="http://schemas.openxmlformats.org/officeDocument/2006/relationships/hyperlink" Target="https://finance.yahoo.com/quote/AAPL260220P00160000/" TargetMode="External"/><Relationship Id="rId1430" Type="http://schemas.openxmlformats.org/officeDocument/2006/relationships/hyperlink" Target="https://finance.yahoo.com/quote/AAPL/options/?straddle=false&amp;strike=310&amp;type=all" TargetMode="External"/><Relationship Id="rId3188" Type="http://schemas.openxmlformats.org/officeDocument/2006/relationships/hyperlink" Target="https://finance.yahoo.com/quote/AAPL/options/?straddle=false&amp;strike=215&amp;type=all" TargetMode="External"/><Relationship Id="rId3395" Type="http://schemas.openxmlformats.org/officeDocument/2006/relationships/hyperlink" Target="https://finance.yahoo.com/quote/AAPL271217P00370000/" TargetMode="External"/><Relationship Id="rId3048" Type="http://schemas.openxmlformats.org/officeDocument/2006/relationships/hyperlink" Target="https://finance.yahoo.com/quote/AAPL/options/?straddle=false&amp;strike=140&amp;type=all" TargetMode="External"/><Relationship Id="rId3255" Type="http://schemas.openxmlformats.org/officeDocument/2006/relationships/hyperlink" Target="https://finance.yahoo.com/quote/AAPL271217C00385000/" TargetMode="External"/><Relationship Id="rId3462" Type="http://schemas.openxmlformats.org/officeDocument/2006/relationships/hyperlink" Target="https://finance.yahoo.com/quote/AAPL/options/?straddle=false&amp;strike=340&amp;type=all" TargetMode="External"/><Relationship Id="rId176" Type="http://schemas.openxmlformats.org/officeDocument/2006/relationships/hyperlink" Target="https://finance.yahoo.com/quote/AAPL/options/?straddle=false&amp;strike=200&amp;type=all" TargetMode="External"/><Relationship Id="rId383" Type="http://schemas.openxmlformats.org/officeDocument/2006/relationships/hyperlink" Target="https://finance.yahoo.com/quote/AAPL251024P00265000/" TargetMode="External"/><Relationship Id="rId590" Type="http://schemas.openxmlformats.org/officeDocument/2006/relationships/hyperlink" Target="https://finance.yahoo.com/quote/AAPL/options/?straddle=false&amp;strike=180&amp;type=all" TargetMode="External"/><Relationship Id="rId2064" Type="http://schemas.openxmlformats.org/officeDocument/2006/relationships/hyperlink" Target="https://finance.yahoo.com/quote/AAPL/options/?straddle=false&amp;strike=155&amp;type=all" TargetMode="External"/><Relationship Id="rId2271" Type="http://schemas.openxmlformats.org/officeDocument/2006/relationships/hyperlink" Target="https://finance.yahoo.com/quote/AAPL260918C00280000/" TargetMode="External"/><Relationship Id="rId3115" Type="http://schemas.openxmlformats.org/officeDocument/2006/relationships/hyperlink" Target="https://finance.yahoo.com/quote/AAPL270617P00430000/" TargetMode="External"/><Relationship Id="rId3322" Type="http://schemas.openxmlformats.org/officeDocument/2006/relationships/hyperlink" Target="https://finance.yahoo.com/quote/AAPL/options/?straddle=false&amp;strike=155&amp;type=all" TargetMode="External"/><Relationship Id="rId243" Type="http://schemas.openxmlformats.org/officeDocument/2006/relationships/hyperlink" Target="https://finance.yahoo.com/quote/AAPL251017P00320000/" TargetMode="External"/><Relationship Id="rId450" Type="http://schemas.openxmlformats.org/officeDocument/2006/relationships/hyperlink" Target="https://finance.yahoo.com/quote/AAPL/options/?straddle=false&amp;strike=290&amp;type=all" TargetMode="External"/><Relationship Id="rId1080" Type="http://schemas.openxmlformats.org/officeDocument/2006/relationships/hyperlink" Target="https://finance.yahoo.com/quote/AAPL/options/?straddle=false&amp;strike=305&amp;type=all" TargetMode="External"/><Relationship Id="rId2131" Type="http://schemas.openxmlformats.org/officeDocument/2006/relationships/hyperlink" Target="https://finance.yahoo.com/quote/AAPL260821P00155000/" TargetMode="External"/><Relationship Id="rId103" Type="http://schemas.openxmlformats.org/officeDocument/2006/relationships/hyperlink" Target="https://finance.yahoo.com/quote/AAPL251017C00300000/" TargetMode="External"/><Relationship Id="rId310" Type="http://schemas.openxmlformats.org/officeDocument/2006/relationships/hyperlink" Target="https://finance.yahoo.com/quote/AAPL/options/?straddle=false&amp;strike=285&amp;type=all" TargetMode="External"/><Relationship Id="rId1897" Type="http://schemas.openxmlformats.org/officeDocument/2006/relationships/hyperlink" Target="https://finance.yahoo.com/quote/AAPL260618C00330000/" TargetMode="External"/><Relationship Id="rId2948" Type="http://schemas.openxmlformats.org/officeDocument/2006/relationships/hyperlink" Target="https://finance.yahoo.com/quote/AAPL/options/?straddle=false&amp;strike=170&amp;type=all" TargetMode="External"/><Relationship Id="rId1757" Type="http://schemas.openxmlformats.org/officeDocument/2006/relationships/hyperlink" Target="https://finance.yahoo.com/quote/AAPL260515P00240000/" TargetMode="External"/><Relationship Id="rId1964" Type="http://schemas.openxmlformats.org/officeDocument/2006/relationships/hyperlink" Target="https://finance.yahoo.com/quote/AAPL/options/?straddle=false&amp;strike=135&amp;type=all" TargetMode="External"/><Relationship Id="rId2808" Type="http://schemas.openxmlformats.org/officeDocument/2006/relationships/hyperlink" Target="https://finance.yahoo.com/quote/AAPL/options/?straddle=false&amp;strike=90&amp;type=all" TargetMode="External"/><Relationship Id="rId49" Type="http://schemas.openxmlformats.org/officeDocument/2006/relationships/hyperlink" Target="https://finance.yahoo.com/quote/AAPL251017C00220000/" TargetMode="External"/><Relationship Id="rId1617" Type="http://schemas.openxmlformats.org/officeDocument/2006/relationships/hyperlink" Target="https://finance.yahoo.com/quote/AAPL260515C00135000/" TargetMode="External"/><Relationship Id="rId1824" Type="http://schemas.openxmlformats.org/officeDocument/2006/relationships/hyperlink" Target="https://finance.yahoo.com/quote/AAPL/options/?straddle=false&amp;strike=125&amp;type=all" TargetMode="External"/><Relationship Id="rId2598" Type="http://schemas.openxmlformats.org/officeDocument/2006/relationships/hyperlink" Target="https://finance.yahoo.com/quote/AAPL/options/?straddle=false&amp;strike=170&amp;type=all" TargetMode="External"/><Relationship Id="rId3649" Type="http://schemas.openxmlformats.org/officeDocument/2006/relationships/hyperlink" Target="https://finance.yahoo.com/quote/AAPL251010P00135000/" TargetMode="External"/><Relationship Id="rId777" Type="http://schemas.openxmlformats.org/officeDocument/2006/relationships/hyperlink" Target="https://finance.yahoo.com/quote/AAPL251121P00225000/" TargetMode="External"/><Relationship Id="rId984" Type="http://schemas.openxmlformats.org/officeDocument/2006/relationships/hyperlink" Target="https://finance.yahoo.com/quote/AAPL/options/?straddle=false&amp;strike=65&amp;type=all" TargetMode="External"/><Relationship Id="rId2458" Type="http://schemas.openxmlformats.org/officeDocument/2006/relationships/hyperlink" Target="https://finance.yahoo.com/quote/AAPL/options/?straddle=false&amp;strike=130&amp;type=all" TargetMode="External"/><Relationship Id="rId2665" Type="http://schemas.openxmlformats.org/officeDocument/2006/relationships/hyperlink" Target="https://finance.yahoo.com/quote/AAPL270115C00030000/" TargetMode="External"/><Relationship Id="rId2872" Type="http://schemas.openxmlformats.org/officeDocument/2006/relationships/hyperlink" Target="https://finance.yahoo.com/quote/AAPL/options/?straddle=false&amp;strike=300&amp;type=all" TargetMode="External"/><Relationship Id="rId3509" Type="http://schemas.openxmlformats.org/officeDocument/2006/relationships/hyperlink" Target="https://finance.yahoo.com/quote/AAPL280121P00185000/" TargetMode="External"/><Relationship Id="rId3716" Type="http://schemas.openxmlformats.org/officeDocument/2006/relationships/hyperlink" Target="https://finance.yahoo.com/quote/AAPL/options/?straddle=false&amp;strike=257.5&amp;type=all" TargetMode="External"/><Relationship Id="rId637" Type="http://schemas.openxmlformats.org/officeDocument/2006/relationships/hyperlink" Target="https://finance.yahoo.com/quote/AAPL251121C00130000/" TargetMode="External"/><Relationship Id="rId844" Type="http://schemas.openxmlformats.org/officeDocument/2006/relationships/hyperlink" Target="https://finance.yahoo.com/quote/AAPL/options/?straddle=false&amp;strike=70&amp;type=all" TargetMode="External"/><Relationship Id="rId1267" Type="http://schemas.openxmlformats.org/officeDocument/2006/relationships/hyperlink" Target="https://finance.yahoo.com/quote/AAPL260220P00270000/" TargetMode="External"/><Relationship Id="rId1474" Type="http://schemas.openxmlformats.org/officeDocument/2006/relationships/hyperlink" Target="https://finance.yahoo.com/quote/AAPL/options/?straddle=false&amp;strike=220&amp;type=all" TargetMode="External"/><Relationship Id="rId1681" Type="http://schemas.openxmlformats.org/officeDocument/2006/relationships/hyperlink" Target="https://finance.yahoo.com/quote/AAPL260515C00390000/" TargetMode="External"/><Relationship Id="rId2318" Type="http://schemas.openxmlformats.org/officeDocument/2006/relationships/hyperlink" Target="https://finance.yahoo.com/quote/AAPL/options/?straddle=false&amp;strike=90&amp;type=all" TargetMode="External"/><Relationship Id="rId2525" Type="http://schemas.openxmlformats.org/officeDocument/2006/relationships/hyperlink" Target="https://finance.yahoo.com/quote/AAPL261218C00400000/" TargetMode="External"/><Relationship Id="rId2732" Type="http://schemas.openxmlformats.org/officeDocument/2006/relationships/hyperlink" Target="https://finance.yahoo.com/quote/AAPL/options/?straddle=false&amp;strike=220&amp;type=all" TargetMode="External"/><Relationship Id="rId704" Type="http://schemas.openxmlformats.org/officeDocument/2006/relationships/hyperlink" Target="https://finance.yahoo.com/quote/AAPL/options/?straddle=false&amp;strike=295&amp;type=all" TargetMode="External"/><Relationship Id="rId911" Type="http://schemas.openxmlformats.org/officeDocument/2006/relationships/hyperlink" Target="https://finance.yahoo.com/quote/AAPL260116C00240000/" TargetMode="External"/><Relationship Id="rId1127" Type="http://schemas.openxmlformats.org/officeDocument/2006/relationships/hyperlink" Target="https://finance.yahoo.com/quote/AAPL260220C00175000/" TargetMode="External"/><Relationship Id="rId1334" Type="http://schemas.openxmlformats.org/officeDocument/2006/relationships/hyperlink" Target="https://finance.yahoo.com/quote/AAPL/options/?straddle=false&amp;strike=230&amp;type=all" TargetMode="External"/><Relationship Id="rId1541" Type="http://schemas.openxmlformats.org/officeDocument/2006/relationships/hyperlink" Target="https://finance.yahoo.com/quote/AAPL260417P00160000/" TargetMode="External"/><Relationship Id="rId40" Type="http://schemas.openxmlformats.org/officeDocument/2006/relationships/hyperlink" Target="https://finance.yahoo.com/quote/AAPL/options/?straddle=false&amp;strike=200&amp;type=all" TargetMode="External"/><Relationship Id="rId1401" Type="http://schemas.openxmlformats.org/officeDocument/2006/relationships/hyperlink" Target="https://finance.yahoo.com/quote/AAPL260320P00185000/" TargetMode="External"/><Relationship Id="rId3299" Type="http://schemas.openxmlformats.org/officeDocument/2006/relationships/hyperlink" Target="https://finance.yahoo.com/quote/AAPL271217P00100000/" TargetMode="External"/><Relationship Id="rId3159" Type="http://schemas.openxmlformats.org/officeDocument/2006/relationships/hyperlink" Target="https://finance.yahoo.com/quote/AAPL271217C00145000/" TargetMode="External"/><Relationship Id="rId3366" Type="http://schemas.openxmlformats.org/officeDocument/2006/relationships/hyperlink" Target="https://finance.yahoo.com/quote/AAPL/options/?straddle=false&amp;strike=265&amp;type=all" TargetMode="External"/><Relationship Id="rId3573" Type="http://schemas.openxmlformats.org/officeDocument/2006/relationships/hyperlink" Target="https://finance.yahoo.com/quote/AAPL251010C00210000/" TargetMode="External"/><Relationship Id="rId287" Type="http://schemas.openxmlformats.org/officeDocument/2006/relationships/hyperlink" Target="https://finance.yahoo.com/quote/AAPL251024C00230000/" TargetMode="External"/><Relationship Id="rId494" Type="http://schemas.openxmlformats.org/officeDocument/2006/relationships/hyperlink" Target="https://finance.yahoo.com/quote/AAPL/options/?straddle=false&amp;strike=190&amp;type=all" TargetMode="External"/><Relationship Id="rId2175" Type="http://schemas.openxmlformats.org/officeDocument/2006/relationships/hyperlink" Target="https://finance.yahoo.com/quote/AAPL260821P00330000/" TargetMode="External"/><Relationship Id="rId2382" Type="http://schemas.openxmlformats.org/officeDocument/2006/relationships/hyperlink" Target="https://finance.yahoo.com/quote/AAPL/options/?straddle=false&amp;strike=250&amp;type=all" TargetMode="External"/><Relationship Id="rId3019" Type="http://schemas.openxmlformats.org/officeDocument/2006/relationships/hyperlink" Target="https://finance.yahoo.com/quote/AAPL270617P00070000/" TargetMode="External"/><Relationship Id="rId3226" Type="http://schemas.openxmlformats.org/officeDocument/2006/relationships/hyperlink" Target="https://finance.yahoo.com/quote/AAPL/options/?straddle=false&amp;strike=310&amp;type=all" TargetMode="External"/><Relationship Id="rId147" Type="http://schemas.openxmlformats.org/officeDocument/2006/relationships/hyperlink" Target="https://finance.yahoo.com/quote/AAPL251017P00130000/" TargetMode="External"/><Relationship Id="rId354" Type="http://schemas.openxmlformats.org/officeDocument/2006/relationships/hyperlink" Target="https://finance.yahoo.com/quote/AAPL/options/?straddle=false&amp;strike=190&amp;type=all" TargetMode="External"/><Relationship Id="rId1191" Type="http://schemas.openxmlformats.org/officeDocument/2006/relationships/hyperlink" Target="https://finance.yahoo.com/quote/AAPL260220C00370000/" TargetMode="External"/><Relationship Id="rId2035" Type="http://schemas.openxmlformats.org/officeDocument/2006/relationships/hyperlink" Target="https://finance.yahoo.com/quote/AAPL260618P00340000/" TargetMode="External"/><Relationship Id="rId3433" Type="http://schemas.openxmlformats.org/officeDocument/2006/relationships/hyperlink" Target="https://finance.yahoo.com/quote/AAPL280121C00200000/" TargetMode="External"/><Relationship Id="rId3640" Type="http://schemas.openxmlformats.org/officeDocument/2006/relationships/hyperlink" Target="https://finance.yahoo.com/quote/AAPL/options/?straddle=false&amp;strike=315&amp;type=all" TargetMode="External"/><Relationship Id="rId561" Type="http://schemas.openxmlformats.org/officeDocument/2006/relationships/hyperlink" Target="https://finance.yahoo.com/quote/AAPL251107C00250000/" TargetMode="External"/><Relationship Id="rId2242" Type="http://schemas.openxmlformats.org/officeDocument/2006/relationships/hyperlink" Target="https://finance.yahoo.com/quote/AAPL/options/?straddle=false&amp;strike=205&amp;type=all" TargetMode="External"/><Relationship Id="rId3500" Type="http://schemas.openxmlformats.org/officeDocument/2006/relationships/hyperlink" Target="https://finance.yahoo.com/quote/AAPL/options/?straddle=false&amp;strike=150&amp;type=all" TargetMode="External"/><Relationship Id="rId214" Type="http://schemas.openxmlformats.org/officeDocument/2006/relationships/hyperlink" Target="https://finance.yahoo.com/quote/AAPL/options/?straddle=false&amp;strike=255&amp;type=all" TargetMode="External"/><Relationship Id="rId421" Type="http://schemas.openxmlformats.org/officeDocument/2006/relationships/hyperlink" Target="https://finance.yahoo.com/quote/AAPL251031C00220000/" TargetMode="External"/><Relationship Id="rId1051" Type="http://schemas.openxmlformats.org/officeDocument/2006/relationships/hyperlink" Target="https://finance.yahoo.com/quote/AAPL260116P00235000/" TargetMode="External"/><Relationship Id="rId2102" Type="http://schemas.openxmlformats.org/officeDocument/2006/relationships/hyperlink" Target="https://finance.yahoo.com/quote/AAPL/options/?straddle=false&amp;strike=300&amp;type=all" TargetMode="External"/><Relationship Id="rId1868" Type="http://schemas.openxmlformats.org/officeDocument/2006/relationships/hyperlink" Target="https://finance.yahoo.com/quote/AAPL/options/?straddle=false&amp;strike=235&amp;type=all" TargetMode="External"/><Relationship Id="rId2919" Type="http://schemas.openxmlformats.org/officeDocument/2006/relationships/hyperlink" Target="https://finance.yahoo.com/quote/AAPL270617C00100000/" TargetMode="External"/><Relationship Id="rId3083" Type="http://schemas.openxmlformats.org/officeDocument/2006/relationships/hyperlink" Target="https://finance.yahoo.com/quote/AAPL270617P00260000/" TargetMode="External"/><Relationship Id="rId3290" Type="http://schemas.openxmlformats.org/officeDocument/2006/relationships/hyperlink" Target="https://finance.yahoo.com/quote/AAPL/options/?straddle=false&amp;strike=75&amp;type=all" TargetMode="External"/><Relationship Id="rId1728" Type="http://schemas.openxmlformats.org/officeDocument/2006/relationships/hyperlink" Target="https://finance.yahoo.com/quote/AAPL/options/?straddle=false&amp;strike=145&amp;type=all" TargetMode="External"/><Relationship Id="rId1935" Type="http://schemas.openxmlformats.org/officeDocument/2006/relationships/hyperlink" Target="https://finance.yahoo.com/quote/AAPL260618P00065000/" TargetMode="External"/><Relationship Id="rId3150" Type="http://schemas.openxmlformats.org/officeDocument/2006/relationships/hyperlink" Target="https://finance.yahoo.com/quote/AAPL/options/?straddle=false&amp;strike=120&amp;type=all" TargetMode="External"/><Relationship Id="rId3010" Type="http://schemas.openxmlformats.org/officeDocument/2006/relationships/hyperlink" Target="https://finance.yahoo.com/quote/AAPL/options/?straddle=false&amp;strike=450&amp;type=all" TargetMode="External"/><Relationship Id="rId4" Type="http://schemas.openxmlformats.org/officeDocument/2006/relationships/hyperlink" Target="https://finance.yahoo.com/quote/AAPL/options/?straddle=false&amp;strike=110&amp;type=all" TargetMode="External"/><Relationship Id="rId888" Type="http://schemas.openxmlformats.org/officeDocument/2006/relationships/hyperlink" Target="https://finance.yahoo.com/quote/AAPL/options/?straddle=false&amp;strike=180&amp;type=all" TargetMode="External"/><Relationship Id="rId2569" Type="http://schemas.openxmlformats.org/officeDocument/2006/relationships/hyperlink" Target="https://finance.yahoo.com/quote/AAPL261218P00100000/" TargetMode="External"/><Relationship Id="rId2776" Type="http://schemas.openxmlformats.org/officeDocument/2006/relationships/hyperlink" Target="https://finance.yahoo.com/quote/AAPL/options/?straddle=false&amp;strike=440&amp;type=all" TargetMode="External"/><Relationship Id="rId2983" Type="http://schemas.openxmlformats.org/officeDocument/2006/relationships/hyperlink" Target="https://finance.yahoo.com/quote/AAPL270617C00320000/" TargetMode="External"/><Relationship Id="rId748" Type="http://schemas.openxmlformats.org/officeDocument/2006/relationships/hyperlink" Target="https://finance.yahoo.com/quote/AAPL/options/?straddle=false&amp;strike=150&amp;type=all" TargetMode="External"/><Relationship Id="rId955" Type="http://schemas.openxmlformats.org/officeDocument/2006/relationships/hyperlink" Target="https://finance.yahoo.com/quote/AAPL260116C00380000/" TargetMode="External"/><Relationship Id="rId1378" Type="http://schemas.openxmlformats.org/officeDocument/2006/relationships/hyperlink" Target="https://finance.yahoo.com/quote/AAPL/options/?straddle=false&amp;strike=125&amp;type=all" TargetMode="External"/><Relationship Id="rId1585" Type="http://schemas.openxmlformats.org/officeDocument/2006/relationships/hyperlink" Target="https://finance.yahoo.com/quote/AAPL260417P00270000/" TargetMode="External"/><Relationship Id="rId1792" Type="http://schemas.openxmlformats.org/officeDocument/2006/relationships/hyperlink" Target="https://finance.yahoo.com/quote/AAPL/options/?straddle=false&amp;strike=45&amp;type=all" TargetMode="External"/><Relationship Id="rId2429" Type="http://schemas.openxmlformats.org/officeDocument/2006/relationships/hyperlink" Target="https://finance.yahoo.com/quote/AAPL261218C00045000/" TargetMode="External"/><Relationship Id="rId2636" Type="http://schemas.openxmlformats.org/officeDocument/2006/relationships/hyperlink" Target="https://finance.yahoo.com/quote/AAPL/options/?straddle=false&amp;strike=330&amp;type=all" TargetMode="External"/><Relationship Id="rId2843" Type="http://schemas.openxmlformats.org/officeDocument/2006/relationships/hyperlink" Target="https://finance.yahoo.com/quote/AAPL270115P00180000/" TargetMode="External"/><Relationship Id="rId84" Type="http://schemas.openxmlformats.org/officeDocument/2006/relationships/hyperlink" Target="https://finance.yahoo.com/quote/AAPL/options/?straddle=false&amp;strike=262.5&amp;type=all" TargetMode="External"/><Relationship Id="rId608" Type="http://schemas.openxmlformats.org/officeDocument/2006/relationships/hyperlink" Target="https://finance.yahoo.com/quote/AAPL/options/?straddle=false&amp;strike=225&amp;type=all" TargetMode="External"/><Relationship Id="rId815" Type="http://schemas.openxmlformats.org/officeDocument/2006/relationships/hyperlink" Target="https://finance.yahoo.com/quote/AAPL251121P00345000/" TargetMode="External"/><Relationship Id="rId1238" Type="http://schemas.openxmlformats.org/officeDocument/2006/relationships/hyperlink" Target="https://finance.yahoo.com/quote/AAPL/options/?straddle=false&amp;strike=195&amp;type=all" TargetMode="External"/><Relationship Id="rId1445" Type="http://schemas.openxmlformats.org/officeDocument/2006/relationships/hyperlink" Target="https://finance.yahoo.com/quote/AAPL260417C00150000/" TargetMode="External"/><Relationship Id="rId1652" Type="http://schemas.openxmlformats.org/officeDocument/2006/relationships/hyperlink" Target="https://finance.yahoo.com/quote/AAPL/options/?straddle=false&amp;strike=240&amp;type=all" TargetMode="External"/><Relationship Id="rId1305" Type="http://schemas.openxmlformats.org/officeDocument/2006/relationships/hyperlink" Target="https://finance.yahoo.com/quote/AAPL260320C00145000/" TargetMode="External"/><Relationship Id="rId2703" Type="http://schemas.openxmlformats.org/officeDocument/2006/relationships/hyperlink" Target="https://finance.yahoo.com/quote/AAPL270115C00140000/" TargetMode="External"/><Relationship Id="rId2910" Type="http://schemas.openxmlformats.org/officeDocument/2006/relationships/hyperlink" Target="https://finance.yahoo.com/quote/AAPL/options/?straddle=false&amp;strike=75&amp;type=all" TargetMode="External"/><Relationship Id="rId1512" Type="http://schemas.openxmlformats.org/officeDocument/2006/relationships/hyperlink" Target="https://finance.yahoo.com/quote/AAPL/options/?straddle=false&amp;strike=315&amp;type=all" TargetMode="External"/><Relationship Id="rId11" Type="http://schemas.openxmlformats.org/officeDocument/2006/relationships/hyperlink" Target="https://finance.yahoo.com/quote/AAPL251017C00130000/" TargetMode="External"/><Relationship Id="rId398" Type="http://schemas.openxmlformats.org/officeDocument/2006/relationships/hyperlink" Target="https://finance.yahoo.com/quote/AAPL/options/?straddle=false&amp;strike=325&amp;type=all" TargetMode="External"/><Relationship Id="rId2079" Type="http://schemas.openxmlformats.org/officeDocument/2006/relationships/hyperlink" Target="https://finance.yahoo.com/quote/AAPL260821C00195000/" TargetMode="External"/><Relationship Id="rId3477" Type="http://schemas.openxmlformats.org/officeDocument/2006/relationships/hyperlink" Target="https://finance.yahoo.com/quote/AAPL280121C00440000/" TargetMode="External"/><Relationship Id="rId3684" Type="http://schemas.openxmlformats.org/officeDocument/2006/relationships/hyperlink" Target="https://finance.yahoo.com/quote/AAPL/options/?straddle=false&amp;strike=217.5&amp;type=all" TargetMode="External"/><Relationship Id="rId2286" Type="http://schemas.openxmlformats.org/officeDocument/2006/relationships/hyperlink" Target="https://finance.yahoo.com/quote/AAPL/options/?straddle=false&amp;strike=330&amp;type=all" TargetMode="External"/><Relationship Id="rId2493" Type="http://schemas.openxmlformats.org/officeDocument/2006/relationships/hyperlink" Target="https://finance.yahoo.com/quote/AAPL261218C00240000/" TargetMode="External"/><Relationship Id="rId3337" Type="http://schemas.openxmlformats.org/officeDocument/2006/relationships/hyperlink" Target="https://finance.yahoo.com/quote/AAPL271217P00195000/" TargetMode="External"/><Relationship Id="rId3544" Type="http://schemas.openxmlformats.org/officeDocument/2006/relationships/hyperlink" Target="https://finance.yahoo.com/quote/AAPL/options/?straddle=false&amp;strike=110&amp;type=all" TargetMode="External"/><Relationship Id="rId258" Type="http://schemas.openxmlformats.org/officeDocument/2006/relationships/hyperlink" Target="https://finance.yahoo.com/quote/AAPL/options/?straddle=false&amp;strike=120&amp;type=all" TargetMode="External"/><Relationship Id="rId465" Type="http://schemas.openxmlformats.org/officeDocument/2006/relationships/hyperlink" Target="https://finance.yahoo.com/quote/AAPL251031P00110000/" TargetMode="External"/><Relationship Id="rId672" Type="http://schemas.openxmlformats.org/officeDocument/2006/relationships/hyperlink" Target="https://finance.yahoo.com/quote/AAPL/options/?straddle=false&amp;strike=215&amp;type=all" TargetMode="External"/><Relationship Id="rId1095" Type="http://schemas.openxmlformats.org/officeDocument/2006/relationships/hyperlink" Target="https://finance.yahoo.com/quote/AAPL260116P00370000/" TargetMode="External"/><Relationship Id="rId2146" Type="http://schemas.openxmlformats.org/officeDocument/2006/relationships/hyperlink" Target="https://finance.yahoo.com/quote/AAPL/options/?straddle=false&amp;strike=190&amp;type=all" TargetMode="External"/><Relationship Id="rId2353" Type="http://schemas.openxmlformats.org/officeDocument/2006/relationships/hyperlink" Target="https://finance.yahoo.com/quote/AAPL260918P00180000/" TargetMode="External"/><Relationship Id="rId2560" Type="http://schemas.openxmlformats.org/officeDocument/2006/relationships/hyperlink" Target="https://finance.yahoo.com/quote/AAPL/options/?straddle=false&amp;strike=70&amp;type=all" TargetMode="External"/><Relationship Id="rId3404" Type="http://schemas.openxmlformats.org/officeDocument/2006/relationships/hyperlink" Target="https://finance.yahoo.com/quote/AAPL/options/?straddle=false&amp;strike=440&amp;type=all" TargetMode="External"/><Relationship Id="rId3611" Type="http://schemas.openxmlformats.org/officeDocument/2006/relationships/hyperlink" Target="https://finance.yahoo.com/quote/AAPL251010C00260000/" TargetMode="External"/><Relationship Id="rId118" Type="http://schemas.openxmlformats.org/officeDocument/2006/relationships/hyperlink" Target="https://finance.yahoo.com/quote/AAPL/options/?straddle=false&amp;strike=335&amp;type=all" TargetMode="External"/><Relationship Id="rId325" Type="http://schemas.openxmlformats.org/officeDocument/2006/relationships/hyperlink" Target="https://finance.yahoo.com/quote/AAPL251024C00325000/" TargetMode="External"/><Relationship Id="rId532" Type="http://schemas.openxmlformats.org/officeDocument/2006/relationships/hyperlink" Target="https://finance.yahoo.com/quote/AAPL/options/?straddle=false&amp;strike=285&amp;type=all" TargetMode="External"/><Relationship Id="rId1162" Type="http://schemas.openxmlformats.org/officeDocument/2006/relationships/hyperlink" Target="https://finance.yahoo.com/quote/AAPL/options/?straddle=false&amp;strike=260&amp;type=all" TargetMode="External"/><Relationship Id="rId2006" Type="http://schemas.openxmlformats.org/officeDocument/2006/relationships/hyperlink" Target="https://finance.yahoo.com/quote/AAPL/options/?straddle=false&amp;strike=240&amp;type=all" TargetMode="External"/><Relationship Id="rId2213" Type="http://schemas.openxmlformats.org/officeDocument/2006/relationships/hyperlink" Target="https://finance.yahoo.com/quote/AAPL260918C00135000/" TargetMode="External"/><Relationship Id="rId2420" Type="http://schemas.openxmlformats.org/officeDocument/2006/relationships/hyperlink" Target="https://finance.yahoo.com/quote/AAPL/options/?straddle=false&amp;strike=20&amp;type=all" TargetMode="External"/><Relationship Id="rId1022" Type="http://schemas.openxmlformats.org/officeDocument/2006/relationships/hyperlink" Target="https://finance.yahoo.com/quote/AAPL/options/?straddle=false&amp;strike=160&amp;type=all" TargetMode="External"/><Relationship Id="rId1979" Type="http://schemas.openxmlformats.org/officeDocument/2006/relationships/hyperlink" Target="https://finance.yahoo.com/quote/AAPL260618P00175000/" TargetMode="External"/><Relationship Id="rId3194" Type="http://schemas.openxmlformats.org/officeDocument/2006/relationships/hyperlink" Target="https://finance.yahoo.com/quote/AAPL/options/?straddle=false&amp;strike=230&amp;type=all" TargetMode="External"/><Relationship Id="rId1839" Type="http://schemas.openxmlformats.org/officeDocument/2006/relationships/hyperlink" Target="https://finance.yahoo.com/quote/AAPL260618C00165000/" TargetMode="External"/><Relationship Id="rId3054" Type="http://schemas.openxmlformats.org/officeDocument/2006/relationships/hyperlink" Target="https://finance.yahoo.com/quote/AAPL/options/?straddle=false&amp;strike=155&amp;type=all" TargetMode="External"/><Relationship Id="rId182" Type="http://schemas.openxmlformats.org/officeDocument/2006/relationships/hyperlink" Target="https://finance.yahoo.com/quote/AAPL/options/?straddle=false&amp;strike=215&amp;type=all" TargetMode="External"/><Relationship Id="rId1906" Type="http://schemas.openxmlformats.org/officeDocument/2006/relationships/hyperlink" Target="https://finance.yahoo.com/quote/AAPL/options/?straddle=false&amp;strike=370&amp;type=all" TargetMode="External"/><Relationship Id="rId3261" Type="http://schemas.openxmlformats.org/officeDocument/2006/relationships/hyperlink" Target="https://finance.yahoo.com/quote/AAPL271217C00400000/" TargetMode="External"/><Relationship Id="rId2070" Type="http://schemas.openxmlformats.org/officeDocument/2006/relationships/hyperlink" Target="https://finance.yahoo.com/quote/AAPL/options/?straddle=false&amp;strike=170&amp;type=all" TargetMode="External"/><Relationship Id="rId3121" Type="http://schemas.openxmlformats.org/officeDocument/2006/relationships/hyperlink" Target="https://finance.yahoo.com/quote/AAPL271217C00050000/" TargetMode="External"/><Relationship Id="rId999" Type="http://schemas.openxmlformats.org/officeDocument/2006/relationships/hyperlink" Target="https://finance.yahoo.com/quote/AAPL260116P00105000/" TargetMode="External"/><Relationship Id="rId2887" Type="http://schemas.openxmlformats.org/officeDocument/2006/relationships/hyperlink" Target="https://finance.yahoo.com/quote/AAPL270115P00400000/" TargetMode="External"/><Relationship Id="rId859" Type="http://schemas.openxmlformats.org/officeDocument/2006/relationships/hyperlink" Target="https://finance.yahoo.com/quote/AAPL260116C00110000/" TargetMode="External"/><Relationship Id="rId1489" Type="http://schemas.openxmlformats.org/officeDocument/2006/relationships/hyperlink" Target="https://finance.yahoo.com/quote/AAPL260417C00260000/" TargetMode="External"/><Relationship Id="rId1696" Type="http://schemas.openxmlformats.org/officeDocument/2006/relationships/hyperlink" Target="https://finance.yahoo.com/quote/AAPL/options/?straddle=false&amp;strike=50&amp;type=all" TargetMode="External"/><Relationship Id="rId1349" Type="http://schemas.openxmlformats.org/officeDocument/2006/relationships/hyperlink" Target="https://finance.yahoo.com/quote/AAPL260320C00310000/" TargetMode="External"/><Relationship Id="rId2747" Type="http://schemas.openxmlformats.org/officeDocument/2006/relationships/hyperlink" Target="https://finance.yahoo.com/quote/AAPL270115C00300000/" TargetMode="External"/><Relationship Id="rId2954" Type="http://schemas.openxmlformats.org/officeDocument/2006/relationships/hyperlink" Target="https://finance.yahoo.com/quote/AAPL/options/?straddle=false&amp;strike=185&amp;type=all" TargetMode="External"/><Relationship Id="rId719" Type="http://schemas.openxmlformats.org/officeDocument/2006/relationships/hyperlink" Target="https://finance.yahoo.com/quote/AAPL251121C00335000/" TargetMode="External"/><Relationship Id="rId926" Type="http://schemas.openxmlformats.org/officeDocument/2006/relationships/hyperlink" Target="https://finance.yahoo.com/quote/AAPL/options/?straddle=false&amp;strike=275&amp;type=all" TargetMode="External"/><Relationship Id="rId1556" Type="http://schemas.openxmlformats.org/officeDocument/2006/relationships/hyperlink" Target="https://finance.yahoo.com/quote/AAPL/options/?straddle=false&amp;strike=195&amp;type=all" TargetMode="External"/><Relationship Id="rId1763" Type="http://schemas.openxmlformats.org/officeDocument/2006/relationships/hyperlink" Target="https://finance.yahoo.com/quote/AAPL260515P00270000/" TargetMode="External"/><Relationship Id="rId1970" Type="http://schemas.openxmlformats.org/officeDocument/2006/relationships/hyperlink" Target="https://finance.yahoo.com/quote/AAPL/options/?straddle=false&amp;strike=150&amp;type=all" TargetMode="External"/><Relationship Id="rId2607" Type="http://schemas.openxmlformats.org/officeDocument/2006/relationships/hyperlink" Target="https://finance.yahoo.com/quote/AAPL261218P00195000/" TargetMode="External"/><Relationship Id="rId2814" Type="http://schemas.openxmlformats.org/officeDocument/2006/relationships/hyperlink" Target="https://finance.yahoo.com/quote/AAPL/options/?straddle=false&amp;strike=105&amp;type=all" TargetMode="External"/><Relationship Id="rId55" Type="http://schemas.openxmlformats.org/officeDocument/2006/relationships/hyperlink" Target="https://finance.yahoo.com/quote/AAPL251017C00227500/" TargetMode="External"/><Relationship Id="rId1209" Type="http://schemas.openxmlformats.org/officeDocument/2006/relationships/hyperlink" Target="https://finance.yahoo.com/quote/AAPL260220P00125000/" TargetMode="External"/><Relationship Id="rId1416" Type="http://schemas.openxmlformats.org/officeDocument/2006/relationships/hyperlink" Target="https://finance.yahoo.com/quote/AAPL/options/?straddle=false&amp;strike=240&amp;type=all" TargetMode="External"/><Relationship Id="rId1623" Type="http://schemas.openxmlformats.org/officeDocument/2006/relationships/hyperlink" Target="https://finance.yahoo.com/quote/AAPL260515C00150000/" TargetMode="External"/><Relationship Id="rId1830" Type="http://schemas.openxmlformats.org/officeDocument/2006/relationships/hyperlink" Target="https://finance.yahoo.com/quote/AAPL/options/?straddle=false&amp;strike=140&amp;type=all" TargetMode="External"/><Relationship Id="rId3588" Type="http://schemas.openxmlformats.org/officeDocument/2006/relationships/hyperlink" Target="https://finance.yahoo.com/quote/AAPL/options/?straddle=false&amp;strike=230&amp;type=all" TargetMode="External"/><Relationship Id="rId2397" Type="http://schemas.openxmlformats.org/officeDocument/2006/relationships/hyperlink" Target="https://finance.yahoo.com/quote/AAPL260918P00290000/" TargetMode="External"/><Relationship Id="rId3448" Type="http://schemas.openxmlformats.org/officeDocument/2006/relationships/hyperlink" Target="https://finance.yahoo.com/quote/AAPL/options/?straddle=false&amp;strike=270&amp;type=all" TargetMode="External"/><Relationship Id="rId3655" Type="http://schemas.openxmlformats.org/officeDocument/2006/relationships/hyperlink" Target="https://finance.yahoo.com/quote/AAPL251010P00150000/" TargetMode="External"/><Relationship Id="rId369" Type="http://schemas.openxmlformats.org/officeDocument/2006/relationships/hyperlink" Target="https://finance.yahoo.com/quote/AAPL251024P00230000/" TargetMode="External"/><Relationship Id="rId576" Type="http://schemas.openxmlformats.org/officeDocument/2006/relationships/hyperlink" Target="https://finance.yahoo.com/quote/AAPL/options/?straddle=false&amp;strike=285&amp;type=all" TargetMode="External"/><Relationship Id="rId783" Type="http://schemas.openxmlformats.org/officeDocument/2006/relationships/hyperlink" Target="https://finance.yahoo.com/quote/AAPL251121P00240000/" TargetMode="External"/><Relationship Id="rId990" Type="http://schemas.openxmlformats.org/officeDocument/2006/relationships/hyperlink" Target="https://finance.yahoo.com/quote/AAPL/options/?straddle=false&amp;strike=80&amp;type=all" TargetMode="External"/><Relationship Id="rId2257" Type="http://schemas.openxmlformats.org/officeDocument/2006/relationships/hyperlink" Target="https://finance.yahoo.com/quote/AAPL260918C00245000/" TargetMode="External"/><Relationship Id="rId2464" Type="http://schemas.openxmlformats.org/officeDocument/2006/relationships/hyperlink" Target="https://finance.yahoo.com/quote/AAPL/options/?straddle=false&amp;strike=145&amp;type=all" TargetMode="External"/><Relationship Id="rId2671" Type="http://schemas.openxmlformats.org/officeDocument/2006/relationships/hyperlink" Target="https://finance.yahoo.com/quote/AAPL270115C00045000/" TargetMode="External"/><Relationship Id="rId3308" Type="http://schemas.openxmlformats.org/officeDocument/2006/relationships/hyperlink" Target="https://finance.yahoo.com/quote/AAPL/options/?straddle=false&amp;strike=120&amp;type=all" TargetMode="External"/><Relationship Id="rId3515" Type="http://schemas.openxmlformats.org/officeDocument/2006/relationships/hyperlink" Target="https://finance.yahoo.com/quote/AAPL280121P00200000/" TargetMode="External"/><Relationship Id="rId229" Type="http://schemas.openxmlformats.org/officeDocument/2006/relationships/hyperlink" Target="https://finance.yahoo.com/quote/AAPL251017P00280000/" TargetMode="External"/><Relationship Id="rId436" Type="http://schemas.openxmlformats.org/officeDocument/2006/relationships/hyperlink" Target="https://finance.yahoo.com/quote/AAPL/options/?straddle=false&amp;strike=255&amp;type=all" TargetMode="External"/><Relationship Id="rId643" Type="http://schemas.openxmlformats.org/officeDocument/2006/relationships/hyperlink" Target="https://finance.yahoo.com/quote/AAPL251121C00145000/" TargetMode="External"/><Relationship Id="rId1066" Type="http://schemas.openxmlformats.org/officeDocument/2006/relationships/hyperlink" Target="https://finance.yahoo.com/quote/AAPL/options/?straddle=false&amp;strike=270&amp;type=all" TargetMode="External"/><Relationship Id="rId1273" Type="http://schemas.openxmlformats.org/officeDocument/2006/relationships/hyperlink" Target="https://finance.yahoo.com/quote/AAPL260220P00285000/" TargetMode="External"/><Relationship Id="rId1480" Type="http://schemas.openxmlformats.org/officeDocument/2006/relationships/hyperlink" Target="https://finance.yahoo.com/quote/AAPL/options/?straddle=false&amp;strike=235&amp;type=all" TargetMode="External"/><Relationship Id="rId2117" Type="http://schemas.openxmlformats.org/officeDocument/2006/relationships/hyperlink" Target="https://finance.yahoo.com/quote/AAPL260821P00120000/" TargetMode="External"/><Relationship Id="rId2324" Type="http://schemas.openxmlformats.org/officeDocument/2006/relationships/hyperlink" Target="https://finance.yahoo.com/quote/AAPL/options/?straddle=false&amp;strike=105&amp;type=all" TargetMode="External"/><Relationship Id="rId3722" Type="http://schemas.openxmlformats.org/officeDocument/2006/relationships/hyperlink" Target="https://finance.yahoo.com/quote/AAPL/options/?straddle=false&amp;strike=265&amp;type=all" TargetMode="External"/><Relationship Id="rId850" Type="http://schemas.openxmlformats.org/officeDocument/2006/relationships/hyperlink" Target="https://finance.yahoo.com/quote/AAPL/options/?straddle=false&amp;strike=85&amp;type=all" TargetMode="External"/><Relationship Id="rId1133" Type="http://schemas.openxmlformats.org/officeDocument/2006/relationships/hyperlink" Target="https://finance.yahoo.com/quote/AAPL260220C00190000/" TargetMode="External"/><Relationship Id="rId2531" Type="http://schemas.openxmlformats.org/officeDocument/2006/relationships/hyperlink" Target="https://finance.yahoo.com/quote/AAPL261218C00430000/" TargetMode="External"/><Relationship Id="rId503" Type="http://schemas.openxmlformats.org/officeDocument/2006/relationships/hyperlink" Target="https://finance.yahoo.com/quote/AAPL251031P00215000/" TargetMode="External"/><Relationship Id="rId710" Type="http://schemas.openxmlformats.org/officeDocument/2006/relationships/hyperlink" Target="https://finance.yahoo.com/quote/AAPL/options/?straddle=false&amp;strike=310&amp;type=all" TargetMode="External"/><Relationship Id="rId1340" Type="http://schemas.openxmlformats.org/officeDocument/2006/relationships/hyperlink" Target="https://finance.yahoo.com/quote/AAPL/options/?straddle=false&amp;strike=260&amp;type=all" TargetMode="External"/><Relationship Id="rId3098" Type="http://schemas.openxmlformats.org/officeDocument/2006/relationships/hyperlink" Target="https://finance.yahoo.com/quote/AAPL/options/?straddle=false&amp;strike=330&amp;type=all" TargetMode="External"/><Relationship Id="rId1200" Type="http://schemas.openxmlformats.org/officeDocument/2006/relationships/hyperlink" Target="https://finance.yahoo.com/quote/AAPL/options/?straddle=false&amp;strike=100&amp;type=all" TargetMode="External"/><Relationship Id="rId3165" Type="http://schemas.openxmlformats.org/officeDocument/2006/relationships/hyperlink" Target="https://finance.yahoo.com/quote/AAPL271217C00160000/" TargetMode="External"/><Relationship Id="rId3372" Type="http://schemas.openxmlformats.org/officeDocument/2006/relationships/hyperlink" Target="https://finance.yahoo.com/quote/AAPL/options/?straddle=false&amp;strike=280&amp;type=all" TargetMode="External"/><Relationship Id="rId293" Type="http://schemas.openxmlformats.org/officeDocument/2006/relationships/hyperlink" Target="https://finance.yahoo.com/quote/AAPL251024C00245000/" TargetMode="External"/><Relationship Id="rId2181" Type="http://schemas.openxmlformats.org/officeDocument/2006/relationships/hyperlink" Target="https://finance.yahoo.com/quote/AAPL260918C00055000/" TargetMode="External"/><Relationship Id="rId3025" Type="http://schemas.openxmlformats.org/officeDocument/2006/relationships/hyperlink" Target="https://finance.yahoo.com/quote/AAPL270617P00085000/" TargetMode="External"/><Relationship Id="rId3232" Type="http://schemas.openxmlformats.org/officeDocument/2006/relationships/hyperlink" Target="https://finance.yahoo.com/quote/AAPL/options/?straddle=false&amp;strike=325&amp;type=all" TargetMode="External"/><Relationship Id="rId153" Type="http://schemas.openxmlformats.org/officeDocument/2006/relationships/hyperlink" Target="https://finance.yahoo.com/quote/AAPL251017P00145000/" TargetMode="External"/><Relationship Id="rId360" Type="http://schemas.openxmlformats.org/officeDocument/2006/relationships/hyperlink" Target="https://finance.yahoo.com/quote/AAPL/options/?straddle=false&amp;strike=205&amp;type=all" TargetMode="External"/><Relationship Id="rId2041" Type="http://schemas.openxmlformats.org/officeDocument/2006/relationships/hyperlink" Target="https://finance.yahoo.com/quote/AAPL260618P00370000/" TargetMode="External"/><Relationship Id="rId220" Type="http://schemas.openxmlformats.org/officeDocument/2006/relationships/hyperlink" Target="https://finance.yahoo.com/quote/AAPL/options/?straddle=false&amp;strike=262.5&amp;type=all" TargetMode="External"/><Relationship Id="rId2998" Type="http://schemas.openxmlformats.org/officeDocument/2006/relationships/hyperlink" Target="https://finance.yahoo.com/quote/AAPL/options/?straddle=false&amp;strike=390&amp;type=all" TargetMode="External"/><Relationship Id="rId2858" Type="http://schemas.openxmlformats.org/officeDocument/2006/relationships/hyperlink" Target="https://finance.yahoo.com/quote/AAPL/options/?straddle=false&amp;strike=230&amp;type=all" TargetMode="External"/><Relationship Id="rId99" Type="http://schemas.openxmlformats.org/officeDocument/2006/relationships/hyperlink" Target="https://finance.yahoo.com/quote/AAPL251017C00290000/" TargetMode="External"/><Relationship Id="rId1667" Type="http://schemas.openxmlformats.org/officeDocument/2006/relationships/hyperlink" Target="https://finance.yahoo.com/quote/AAPL260515C00320000/" TargetMode="External"/><Relationship Id="rId1874" Type="http://schemas.openxmlformats.org/officeDocument/2006/relationships/hyperlink" Target="https://finance.yahoo.com/quote/AAPL/options/?straddle=false&amp;strike=250&amp;type=all" TargetMode="External"/><Relationship Id="rId2718" Type="http://schemas.openxmlformats.org/officeDocument/2006/relationships/hyperlink" Target="https://finance.yahoo.com/quote/AAPL/options/?straddle=false&amp;strike=175&amp;type=all" TargetMode="External"/><Relationship Id="rId2925" Type="http://schemas.openxmlformats.org/officeDocument/2006/relationships/hyperlink" Target="https://finance.yahoo.com/quote/AAPL270617C00115000/" TargetMode="External"/><Relationship Id="rId1527" Type="http://schemas.openxmlformats.org/officeDocument/2006/relationships/hyperlink" Target="https://finance.yahoo.com/quote/AAPL260417P00125000/" TargetMode="External"/><Relationship Id="rId1734" Type="http://schemas.openxmlformats.org/officeDocument/2006/relationships/hyperlink" Target="https://finance.yahoo.com/quote/AAPL/options/?straddle=false&amp;strike=160&amp;type=all" TargetMode="External"/><Relationship Id="rId1941" Type="http://schemas.openxmlformats.org/officeDocument/2006/relationships/hyperlink" Target="https://finance.yahoo.com/quote/AAPL260618P00080000/" TargetMode="External"/><Relationship Id="rId26" Type="http://schemas.openxmlformats.org/officeDocument/2006/relationships/hyperlink" Target="https://finance.yahoo.com/quote/AAPL/options/?straddle=false&amp;strike=165&amp;type=all" TargetMode="External"/><Relationship Id="rId3699" Type="http://schemas.openxmlformats.org/officeDocument/2006/relationships/hyperlink" Target="https://finance.yahoo.com/quote/AAPL251010P00237500/" TargetMode="External"/><Relationship Id="rId1801" Type="http://schemas.openxmlformats.org/officeDocument/2006/relationships/hyperlink" Target="https://finance.yahoo.com/quote/AAPL260618C00070000/" TargetMode="External"/><Relationship Id="rId3559" Type="http://schemas.openxmlformats.org/officeDocument/2006/relationships/hyperlink" Target="https://finance.yahoo.com/quote/AAPL251010C00175000/" TargetMode="External"/><Relationship Id="rId687" Type="http://schemas.openxmlformats.org/officeDocument/2006/relationships/hyperlink" Target="https://finance.yahoo.com/quote/AAPL251121C00255000/" TargetMode="External"/><Relationship Id="rId2368" Type="http://schemas.openxmlformats.org/officeDocument/2006/relationships/hyperlink" Target="https://finance.yahoo.com/quote/AAPL/options/?straddle=false&amp;strike=215&amp;type=all" TargetMode="External"/><Relationship Id="rId894" Type="http://schemas.openxmlformats.org/officeDocument/2006/relationships/hyperlink" Target="https://finance.yahoo.com/quote/AAPL/options/?straddle=false&amp;strike=195&amp;type=all" TargetMode="External"/><Relationship Id="rId1177" Type="http://schemas.openxmlformats.org/officeDocument/2006/relationships/hyperlink" Target="https://finance.yahoo.com/quote/AAPL260220C00300000/" TargetMode="External"/><Relationship Id="rId2575" Type="http://schemas.openxmlformats.org/officeDocument/2006/relationships/hyperlink" Target="https://finance.yahoo.com/quote/AAPL261218P00115000/" TargetMode="External"/><Relationship Id="rId2782" Type="http://schemas.openxmlformats.org/officeDocument/2006/relationships/hyperlink" Target="https://finance.yahoo.com/quote/AAPL/options/?straddle=false&amp;strike=10&amp;type=all" TargetMode="External"/><Relationship Id="rId3419" Type="http://schemas.openxmlformats.org/officeDocument/2006/relationships/hyperlink" Target="https://finance.yahoo.com/quote/AAPL280121C00160000/" TargetMode="External"/><Relationship Id="rId3626" Type="http://schemas.openxmlformats.org/officeDocument/2006/relationships/hyperlink" Target="https://finance.yahoo.com/quote/AAPL/options/?straddle=false&amp;strike=280&amp;type=all" TargetMode="External"/><Relationship Id="rId547" Type="http://schemas.openxmlformats.org/officeDocument/2006/relationships/hyperlink" Target="https://finance.yahoo.com/quote/AAPL251107C00215000/" TargetMode="External"/><Relationship Id="rId754" Type="http://schemas.openxmlformats.org/officeDocument/2006/relationships/hyperlink" Target="https://finance.yahoo.com/quote/AAPL/options/?straddle=false&amp;strike=165&amp;type=all" TargetMode="External"/><Relationship Id="rId961" Type="http://schemas.openxmlformats.org/officeDocument/2006/relationships/hyperlink" Target="https://finance.yahoo.com/quote/AAPL260116P00010000/" TargetMode="External"/><Relationship Id="rId1384" Type="http://schemas.openxmlformats.org/officeDocument/2006/relationships/hyperlink" Target="https://finance.yahoo.com/quote/AAPL/options/?straddle=false&amp;strike=140&amp;type=all" TargetMode="External"/><Relationship Id="rId1591" Type="http://schemas.openxmlformats.org/officeDocument/2006/relationships/hyperlink" Target="https://finance.yahoo.com/quote/AAPL260417P00285000/" TargetMode="External"/><Relationship Id="rId2228" Type="http://schemas.openxmlformats.org/officeDocument/2006/relationships/hyperlink" Target="https://finance.yahoo.com/quote/AAPL/options/?straddle=false&amp;strike=170&amp;type=all" TargetMode="External"/><Relationship Id="rId2435" Type="http://schemas.openxmlformats.org/officeDocument/2006/relationships/hyperlink" Target="https://finance.yahoo.com/quote/AAPL261218C00070000/" TargetMode="External"/><Relationship Id="rId2642" Type="http://schemas.openxmlformats.org/officeDocument/2006/relationships/hyperlink" Target="https://finance.yahoo.com/quote/AAPL/options/?straddle=false&amp;strike=360&amp;type=all" TargetMode="External"/><Relationship Id="rId90" Type="http://schemas.openxmlformats.org/officeDocument/2006/relationships/hyperlink" Target="https://finance.yahoo.com/quote/AAPL/options/?straddle=false&amp;strike=270&amp;type=all" TargetMode="External"/><Relationship Id="rId407" Type="http://schemas.openxmlformats.org/officeDocument/2006/relationships/hyperlink" Target="https://finance.yahoo.com/quote/AAPL251031C00185000/" TargetMode="External"/><Relationship Id="rId614" Type="http://schemas.openxmlformats.org/officeDocument/2006/relationships/hyperlink" Target="https://finance.yahoo.com/quote/AAPL/options/?straddle=false&amp;strike=240&amp;type=all" TargetMode="External"/><Relationship Id="rId821" Type="http://schemas.openxmlformats.org/officeDocument/2006/relationships/hyperlink" Target="https://finance.yahoo.com/quote/AAPL260116C00015000/" TargetMode="External"/><Relationship Id="rId1037" Type="http://schemas.openxmlformats.org/officeDocument/2006/relationships/hyperlink" Target="https://finance.yahoo.com/quote/AAPL260116P00200000/" TargetMode="External"/><Relationship Id="rId1244" Type="http://schemas.openxmlformats.org/officeDocument/2006/relationships/hyperlink" Target="https://finance.yahoo.com/quote/AAPL/options/?straddle=false&amp;strike=210&amp;type=all" TargetMode="External"/><Relationship Id="rId1451" Type="http://schemas.openxmlformats.org/officeDocument/2006/relationships/hyperlink" Target="https://finance.yahoo.com/quote/AAPL260417C00165000/" TargetMode="External"/><Relationship Id="rId2502" Type="http://schemas.openxmlformats.org/officeDocument/2006/relationships/hyperlink" Target="https://finance.yahoo.com/quote/AAPL/options/?straddle=false&amp;strike=280&amp;type=all" TargetMode="External"/><Relationship Id="rId1104" Type="http://schemas.openxmlformats.org/officeDocument/2006/relationships/hyperlink" Target="https://finance.yahoo.com/quote/AAPL/options/?straddle=false&amp;strike=110&amp;type=all" TargetMode="External"/><Relationship Id="rId1311" Type="http://schemas.openxmlformats.org/officeDocument/2006/relationships/hyperlink" Target="https://finance.yahoo.com/quote/AAPL260320C00160000/" TargetMode="External"/><Relationship Id="rId3069" Type="http://schemas.openxmlformats.org/officeDocument/2006/relationships/hyperlink" Target="https://finance.yahoo.com/quote/AAPL270617P00195000/" TargetMode="External"/><Relationship Id="rId3276" Type="http://schemas.openxmlformats.org/officeDocument/2006/relationships/hyperlink" Target="https://finance.yahoo.com/quote/AAPL/options/?straddle=false&amp;strike=435&amp;type=all" TargetMode="External"/><Relationship Id="rId3483" Type="http://schemas.openxmlformats.org/officeDocument/2006/relationships/hyperlink" Target="https://finance.yahoo.com/quote/AAPL280121P00090000/" TargetMode="External"/><Relationship Id="rId3690" Type="http://schemas.openxmlformats.org/officeDocument/2006/relationships/hyperlink" Target="https://finance.yahoo.com/quote/AAPL/options/?straddle=false&amp;strike=225&amp;type=all" TargetMode="External"/><Relationship Id="rId197" Type="http://schemas.openxmlformats.org/officeDocument/2006/relationships/hyperlink" Target="https://finance.yahoo.com/quote/AAPL251017P00235000/" TargetMode="External"/><Relationship Id="rId2085" Type="http://schemas.openxmlformats.org/officeDocument/2006/relationships/hyperlink" Target="https://finance.yahoo.com/quote/AAPL260821C00220000/" TargetMode="External"/><Relationship Id="rId2292" Type="http://schemas.openxmlformats.org/officeDocument/2006/relationships/hyperlink" Target="https://finance.yahoo.com/quote/AAPL/options/?straddle=false&amp;strike=360&amp;type=all" TargetMode="External"/><Relationship Id="rId3136" Type="http://schemas.openxmlformats.org/officeDocument/2006/relationships/hyperlink" Target="https://finance.yahoo.com/quote/AAPL/options/?straddle=false&amp;strike=85&amp;type=all" TargetMode="External"/><Relationship Id="rId3343" Type="http://schemas.openxmlformats.org/officeDocument/2006/relationships/hyperlink" Target="https://finance.yahoo.com/quote/AAPL271217P00210000/" TargetMode="External"/><Relationship Id="rId264" Type="http://schemas.openxmlformats.org/officeDocument/2006/relationships/hyperlink" Target="https://finance.yahoo.com/quote/AAPL/options/?straddle=false&amp;strike=170&amp;type=all" TargetMode="External"/><Relationship Id="rId471" Type="http://schemas.openxmlformats.org/officeDocument/2006/relationships/hyperlink" Target="https://finance.yahoo.com/quote/AAPL251031P00135000/" TargetMode="External"/><Relationship Id="rId2152" Type="http://schemas.openxmlformats.org/officeDocument/2006/relationships/hyperlink" Target="https://finance.yahoo.com/quote/AAPL/options/?straddle=false&amp;strike=210&amp;type=all" TargetMode="External"/><Relationship Id="rId3550" Type="http://schemas.openxmlformats.org/officeDocument/2006/relationships/hyperlink" Target="https://finance.yahoo.com/quote/AAPL/options/?straddle=false&amp;strike=140&amp;type=all" TargetMode="External"/><Relationship Id="rId124" Type="http://schemas.openxmlformats.org/officeDocument/2006/relationships/hyperlink" Target="https://finance.yahoo.com/quote/AAPL/options/?straddle=false&amp;strike=350&amp;type=all" TargetMode="External"/><Relationship Id="rId3203" Type="http://schemas.openxmlformats.org/officeDocument/2006/relationships/hyperlink" Target="https://finance.yahoo.com/quote/AAPL271217C00255000/" TargetMode="External"/><Relationship Id="rId3410" Type="http://schemas.openxmlformats.org/officeDocument/2006/relationships/hyperlink" Target="https://finance.yahoo.com/quote/AAPL/options/?straddle=false&amp;strike=110&amp;type=all" TargetMode="External"/><Relationship Id="rId331" Type="http://schemas.openxmlformats.org/officeDocument/2006/relationships/hyperlink" Target="https://finance.yahoo.com/quote/AAPL251024P00135000/" TargetMode="External"/><Relationship Id="rId2012" Type="http://schemas.openxmlformats.org/officeDocument/2006/relationships/hyperlink" Target="https://finance.yahoo.com/quote/AAPL/options/?straddle=false&amp;strike=255&amp;type=all" TargetMode="External"/><Relationship Id="rId2969" Type="http://schemas.openxmlformats.org/officeDocument/2006/relationships/hyperlink" Target="https://finance.yahoo.com/quote/AAPL270617C00250000/" TargetMode="External"/><Relationship Id="rId1778" Type="http://schemas.openxmlformats.org/officeDocument/2006/relationships/hyperlink" Target="https://finance.yahoo.com/quote/AAPL/options/?straddle=false&amp;strike=10&amp;type=all" TargetMode="External"/><Relationship Id="rId1985" Type="http://schemas.openxmlformats.org/officeDocument/2006/relationships/hyperlink" Target="https://finance.yahoo.com/quote/AAPL260618P00190000/" TargetMode="External"/><Relationship Id="rId2829" Type="http://schemas.openxmlformats.org/officeDocument/2006/relationships/hyperlink" Target="https://finance.yahoo.com/quote/AAPL270115P00145000/" TargetMode="External"/><Relationship Id="rId1638" Type="http://schemas.openxmlformats.org/officeDocument/2006/relationships/hyperlink" Target="https://finance.yahoo.com/quote/AAPL/options/?straddle=false&amp;strike=185&amp;type=all" TargetMode="External"/><Relationship Id="rId1845" Type="http://schemas.openxmlformats.org/officeDocument/2006/relationships/hyperlink" Target="https://finance.yahoo.com/quote/AAPL260618C00180000/" TargetMode="External"/><Relationship Id="rId3060" Type="http://schemas.openxmlformats.org/officeDocument/2006/relationships/hyperlink" Target="https://finance.yahoo.com/quote/AAPL/options/?straddle=false&amp;strike=170&amp;type=all" TargetMode="External"/><Relationship Id="rId1705" Type="http://schemas.openxmlformats.org/officeDocument/2006/relationships/hyperlink" Target="https://finance.yahoo.com/quote/AAPL260515P00090000/" TargetMode="External"/><Relationship Id="rId1912" Type="http://schemas.openxmlformats.org/officeDocument/2006/relationships/hyperlink" Target="https://finance.yahoo.com/quote/AAPL/options/?straddle=false&amp;strike=5&amp;type=all" TargetMode="External"/><Relationship Id="rId798" Type="http://schemas.openxmlformats.org/officeDocument/2006/relationships/hyperlink" Target="https://finance.yahoo.com/quote/AAPL/options/?straddle=false&amp;strike=275&amp;type=all" TargetMode="External"/><Relationship Id="rId2479" Type="http://schemas.openxmlformats.org/officeDocument/2006/relationships/hyperlink" Target="https://finance.yahoo.com/quote/AAPL261218C00185000/" TargetMode="External"/><Relationship Id="rId2686" Type="http://schemas.openxmlformats.org/officeDocument/2006/relationships/hyperlink" Target="https://finance.yahoo.com/quote/AAPL/options/?straddle=false&amp;strike=95&amp;type=all" TargetMode="External"/><Relationship Id="rId2893" Type="http://schemas.openxmlformats.org/officeDocument/2006/relationships/hyperlink" Target="https://finance.yahoo.com/quote/AAPL270115P00430000/" TargetMode="External"/><Relationship Id="rId3737" Type="http://schemas.openxmlformats.org/officeDocument/2006/relationships/hyperlink" Target="https://finance.yahoo.com/quote/AAPL251010P00300000/" TargetMode="External"/><Relationship Id="rId658" Type="http://schemas.openxmlformats.org/officeDocument/2006/relationships/hyperlink" Target="https://finance.yahoo.com/quote/AAPL/options/?straddle=false&amp;strike=180&amp;type=all" TargetMode="External"/><Relationship Id="rId865" Type="http://schemas.openxmlformats.org/officeDocument/2006/relationships/hyperlink" Target="https://finance.yahoo.com/quote/AAPL260116C00125000/" TargetMode="External"/><Relationship Id="rId1288" Type="http://schemas.openxmlformats.org/officeDocument/2006/relationships/hyperlink" Target="https://finance.yahoo.com/quote/AAPL/options/?straddle=false&amp;strike=100&amp;type=all" TargetMode="External"/><Relationship Id="rId1495" Type="http://schemas.openxmlformats.org/officeDocument/2006/relationships/hyperlink" Target="https://finance.yahoo.com/quote/AAPL260417C00275000/" TargetMode="External"/><Relationship Id="rId2339" Type="http://schemas.openxmlformats.org/officeDocument/2006/relationships/hyperlink" Target="https://finance.yahoo.com/quote/AAPL260918P00145000/" TargetMode="External"/><Relationship Id="rId2546" Type="http://schemas.openxmlformats.org/officeDocument/2006/relationships/hyperlink" Target="https://finance.yahoo.com/quote/AAPL/options/?straddle=false&amp;strike=25&amp;type=all" TargetMode="External"/><Relationship Id="rId2753" Type="http://schemas.openxmlformats.org/officeDocument/2006/relationships/hyperlink" Target="https://finance.yahoo.com/quote/AAPL270115C00330000/" TargetMode="External"/><Relationship Id="rId2960" Type="http://schemas.openxmlformats.org/officeDocument/2006/relationships/hyperlink" Target="https://finance.yahoo.com/quote/AAPL/options/?straddle=false&amp;strike=200&amp;type=all" TargetMode="External"/><Relationship Id="rId518" Type="http://schemas.openxmlformats.org/officeDocument/2006/relationships/hyperlink" Target="https://finance.yahoo.com/quote/AAPL/options/?straddle=false&amp;strike=250&amp;type=all" TargetMode="External"/><Relationship Id="rId725" Type="http://schemas.openxmlformats.org/officeDocument/2006/relationships/hyperlink" Target="https://finance.yahoo.com/quote/AAPL251121C00350000/" TargetMode="External"/><Relationship Id="rId932" Type="http://schemas.openxmlformats.org/officeDocument/2006/relationships/hyperlink" Target="https://finance.yahoo.com/quote/AAPL/options/?straddle=false&amp;strike=290&amp;type=all" TargetMode="External"/><Relationship Id="rId1148" Type="http://schemas.openxmlformats.org/officeDocument/2006/relationships/hyperlink" Target="https://finance.yahoo.com/quote/AAPL/options/?straddle=false&amp;strike=225&amp;type=all" TargetMode="External"/><Relationship Id="rId1355" Type="http://schemas.openxmlformats.org/officeDocument/2006/relationships/hyperlink" Target="https://finance.yahoo.com/quote/AAPL260320C00340000/" TargetMode="External"/><Relationship Id="rId1562" Type="http://schemas.openxmlformats.org/officeDocument/2006/relationships/hyperlink" Target="https://finance.yahoo.com/quote/AAPL/options/?straddle=false&amp;strike=210&amp;type=all" TargetMode="External"/><Relationship Id="rId2406" Type="http://schemas.openxmlformats.org/officeDocument/2006/relationships/hyperlink" Target="https://finance.yahoo.com/quote/AAPL/options/?straddle=false&amp;strike=320&amp;type=all" TargetMode="External"/><Relationship Id="rId2613" Type="http://schemas.openxmlformats.org/officeDocument/2006/relationships/hyperlink" Target="https://finance.yahoo.com/quote/AAPL261218P00220000/" TargetMode="External"/><Relationship Id="rId1008" Type="http://schemas.openxmlformats.org/officeDocument/2006/relationships/hyperlink" Target="https://finance.yahoo.com/quote/AAPL/options/?straddle=false&amp;strike=125&amp;type=all" TargetMode="External"/><Relationship Id="rId1215" Type="http://schemas.openxmlformats.org/officeDocument/2006/relationships/hyperlink" Target="https://finance.yahoo.com/quote/AAPL260220P00140000/" TargetMode="External"/><Relationship Id="rId1422" Type="http://schemas.openxmlformats.org/officeDocument/2006/relationships/hyperlink" Target="https://finance.yahoo.com/quote/AAPL/options/?straddle=false&amp;strike=270&amp;type=all" TargetMode="External"/><Relationship Id="rId2820" Type="http://schemas.openxmlformats.org/officeDocument/2006/relationships/hyperlink" Target="https://finance.yahoo.com/quote/AAPL/options/?straddle=false&amp;strike=120&amp;type=all" TargetMode="External"/><Relationship Id="rId61" Type="http://schemas.openxmlformats.org/officeDocument/2006/relationships/hyperlink" Target="https://finance.yahoo.com/quote/AAPL251017C00235000/" TargetMode="External"/><Relationship Id="rId3387" Type="http://schemas.openxmlformats.org/officeDocument/2006/relationships/hyperlink" Target="https://finance.yahoo.com/quote/AAPL271217P00320000/" TargetMode="External"/><Relationship Id="rId2196" Type="http://schemas.openxmlformats.org/officeDocument/2006/relationships/hyperlink" Target="https://finance.yahoo.com/quote/AAPL/options/?straddle=false&amp;strike=90&amp;type=all" TargetMode="External"/><Relationship Id="rId3594" Type="http://schemas.openxmlformats.org/officeDocument/2006/relationships/hyperlink" Target="https://finance.yahoo.com/quote/AAPL/options/?straddle=false&amp;strike=237.5&amp;type=all" TargetMode="External"/><Relationship Id="rId168" Type="http://schemas.openxmlformats.org/officeDocument/2006/relationships/hyperlink" Target="https://finance.yahoo.com/quote/AAPL/options/?straddle=false&amp;strike=180&amp;type=all" TargetMode="External"/><Relationship Id="rId3247" Type="http://schemas.openxmlformats.org/officeDocument/2006/relationships/hyperlink" Target="https://finance.yahoo.com/quote/AAPL271217C00365000/" TargetMode="External"/><Relationship Id="rId3454" Type="http://schemas.openxmlformats.org/officeDocument/2006/relationships/hyperlink" Target="https://finance.yahoo.com/quote/AAPL/options/?straddle=false&amp;strike=300&amp;type=all" TargetMode="External"/><Relationship Id="rId3661" Type="http://schemas.openxmlformats.org/officeDocument/2006/relationships/hyperlink" Target="https://finance.yahoo.com/quote/AAPL251010P00165000/" TargetMode="External"/><Relationship Id="rId375" Type="http://schemas.openxmlformats.org/officeDocument/2006/relationships/hyperlink" Target="https://finance.yahoo.com/quote/AAPL251024P00245000/" TargetMode="External"/><Relationship Id="rId582" Type="http://schemas.openxmlformats.org/officeDocument/2006/relationships/hyperlink" Target="https://finance.yahoo.com/quote/AAPL/options/?straddle=false&amp;strike=300&amp;type=all" TargetMode="External"/><Relationship Id="rId2056" Type="http://schemas.openxmlformats.org/officeDocument/2006/relationships/hyperlink" Target="https://finance.yahoo.com/quote/AAPL/options/?straddle=false&amp;strike=135&amp;type=all" TargetMode="External"/><Relationship Id="rId2263" Type="http://schemas.openxmlformats.org/officeDocument/2006/relationships/hyperlink" Target="https://finance.yahoo.com/quote/AAPL260918C00260000/" TargetMode="External"/><Relationship Id="rId2470" Type="http://schemas.openxmlformats.org/officeDocument/2006/relationships/hyperlink" Target="https://finance.yahoo.com/quote/AAPL/options/?straddle=false&amp;strike=160&amp;type=all" TargetMode="External"/><Relationship Id="rId3107" Type="http://schemas.openxmlformats.org/officeDocument/2006/relationships/hyperlink" Target="https://finance.yahoo.com/quote/AAPL270617P00390000/" TargetMode="External"/><Relationship Id="rId3314" Type="http://schemas.openxmlformats.org/officeDocument/2006/relationships/hyperlink" Target="https://finance.yahoo.com/quote/AAPL/options/?straddle=false&amp;strike=135&amp;type=all" TargetMode="External"/><Relationship Id="rId3521" Type="http://schemas.openxmlformats.org/officeDocument/2006/relationships/hyperlink" Target="https://finance.yahoo.com/quote/AAPL280121P00230000/" TargetMode="External"/><Relationship Id="rId235" Type="http://schemas.openxmlformats.org/officeDocument/2006/relationships/hyperlink" Target="https://finance.yahoo.com/quote/AAPL251017P00295000/" TargetMode="External"/><Relationship Id="rId442" Type="http://schemas.openxmlformats.org/officeDocument/2006/relationships/hyperlink" Target="https://finance.yahoo.com/quote/AAPL/options/?straddle=false&amp;strike=270&amp;type=all" TargetMode="External"/><Relationship Id="rId1072" Type="http://schemas.openxmlformats.org/officeDocument/2006/relationships/hyperlink" Target="https://finance.yahoo.com/quote/AAPL/options/?straddle=false&amp;strike=285&amp;type=all" TargetMode="External"/><Relationship Id="rId2123" Type="http://schemas.openxmlformats.org/officeDocument/2006/relationships/hyperlink" Target="https://finance.yahoo.com/quote/AAPL260821P00135000/" TargetMode="External"/><Relationship Id="rId2330" Type="http://schemas.openxmlformats.org/officeDocument/2006/relationships/hyperlink" Target="https://finance.yahoo.com/quote/AAPL/options/?straddle=false&amp;strike=120&amp;type=all" TargetMode="External"/><Relationship Id="rId302" Type="http://schemas.openxmlformats.org/officeDocument/2006/relationships/hyperlink" Target="https://finance.yahoo.com/quote/AAPL/options/?straddle=false&amp;strike=265&amp;type=all" TargetMode="External"/><Relationship Id="rId1889" Type="http://schemas.openxmlformats.org/officeDocument/2006/relationships/hyperlink" Target="https://finance.yahoo.com/quote/AAPL260618C00290000/" TargetMode="External"/><Relationship Id="rId1749" Type="http://schemas.openxmlformats.org/officeDocument/2006/relationships/hyperlink" Target="https://finance.yahoo.com/quote/AAPL260515P00200000/" TargetMode="External"/><Relationship Id="rId1956" Type="http://schemas.openxmlformats.org/officeDocument/2006/relationships/hyperlink" Target="https://finance.yahoo.com/quote/AAPL/options/?straddle=false&amp;strike=115&amp;type=all" TargetMode="External"/><Relationship Id="rId3171" Type="http://schemas.openxmlformats.org/officeDocument/2006/relationships/hyperlink" Target="https://finance.yahoo.com/quote/AAPL271217C00175000/" TargetMode="External"/><Relationship Id="rId1609" Type="http://schemas.openxmlformats.org/officeDocument/2006/relationships/hyperlink" Target="https://finance.yahoo.com/quote/AAPL260515C00100000/" TargetMode="External"/><Relationship Id="rId1816" Type="http://schemas.openxmlformats.org/officeDocument/2006/relationships/hyperlink" Target="https://finance.yahoo.com/quote/AAPL/options/?straddle=false&amp;strike=105&amp;type=all" TargetMode="External"/><Relationship Id="rId3031" Type="http://schemas.openxmlformats.org/officeDocument/2006/relationships/hyperlink" Target="https://finance.yahoo.com/quote/AAPL270617P00100000/" TargetMode="External"/><Relationship Id="rId2797" Type="http://schemas.openxmlformats.org/officeDocument/2006/relationships/hyperlink" Target="https://finance.yahoo.com/quote/AAPL270115P00050000/" TargetMode="External"/><Relationship Id="rId769" Type="http://schemas.openxmlformats.org/officeDocument/2006/relationships/hyperlink" Target="https://finance.yahoo.com/quote/AAPL251121P00205000/" TargetMode="External"/><Relationship Id="rId976" Type="http://schemas.openxmlformats.org/officeDocument/2006/relationships/hyperlink" Target="https://finance.yahoo.com/quote/AAPL/options/?straddle=false&amp;strike=45&amp;type=all" TargetMode="External"/><Relationship Id="rId1399" Type="http://schemas.openxmlformats.org/officeDocument/2006/relationships/hyperlink" Target="https://finance.yahoo.com/quote/AAPL260320P00180000/" TargetMode="External"/><Relationship Id="rId2657" Type="http://schemas.openxmlformats.org/officeDocument/2006/relationships/hyperlink" Target="https://finance.yahoo.com/quote/AAPL270115C00010000/" TargetMode="External"/><Relationship Id="rId629" Type="http://schemas.openxmlformats.org/officeDocument/2006/relationships/hyperlink" Target="https://finance.yahoo.com/quote/AAPL251121C00110000/" TargetMode="External"/><Relationship Id="rId1259" Type="http://schemas.openxmlformats.org/officeDocument/2006/relationships/hyperlink" Target="https://finance.yahoo.com/quote/AAPL260220P00250000/" TargetMode="External"/><Relationship Id="rId1466" Type="http://schemas.openxmlformats.org/officeDocument/2006/relationships/hyperlink" Target="https://finance.yahoo.com/quote/AAPL/options/?straddle=false&amp;strike=200&amp;type=all" TargetMode="External"/><Relationship Id="rId2864" Type="http://schemas.openxmlformats.org/officeDocument/2006/relationships/hyperlink" Target="https://finance.yahoo.com/quote/AAPL/options/?straddle=false&amp;strike=260&amp;type=all" TargetMode="External"/><Relationship Id="rId3708" Type="http://schemas.openxmlformats.org/officeDocument/2006/relationships/hyperlink" Target="https://finance.yahoo.com/quote/AAPL/options/?straddle=false&amp;strike=247.5&amp;type=all" TargetMode="External"/><Relationship Id="rId836" Type="http://schemas.openxmlformats.org/officeDocument/2006/relationships/hyperlink" Target="https://finance.yahoo.com/quote/AAPL/options/?straddle=false&amp;strike=50&amp;type=all" TargetMode="External"/><Relationship Id="rId1119" Type="http://schemas.openxmlformats.org/officeDocument/2006/relationships/hyperlink" Target="https://finance.yahoo.com/quote/AAPL260220C00155000/" TargetMode="External"/><Relationship Id="rId1673" Type="http://schemas.openxmlformats.org/officeDocument/2006/relationships/hyperlink" Target="https://finance.yahoo.com/quote/AAPL260515C00350000/" TargetMode="External"/><Relationship Id="rId1880" Type="http://schemas.openxmlformats.org/officeDocument/2006/relationships/hyperlink" Target="https://finance.yahoo.com/quote/AAPL/options/?straddle=false&amp;strike=265&amp;type=all" TargetMode="External"/><Relationship Id="rId2517" Type="http://schemas.openxmlformats.org/officeDocument/2006/relationships/hyperlink" Target="https://finance.yahoo.com/quote/AAPL261218C00360000/" TargetMode="External"/><Relationship Id="rId2724" Type="http://schemas.openxmlformats.org/officeDocument/2006/relationships/hyperlink" Target="https://finance.yahoo.com/quote/AAPL/options/?straddle=false&amp;strike=190&amp;type=all" TargetMode="External"/><Relationship Id="rId2931" Type="http://schemas.openxmlformats.org/officeDocument/2006/relationships/hyperlink" Target="https://finance.yahoo.com/quote/AAPL270617C00130000/" TargetMode="External"/><Relationship Id="rId903" Type="http://schemas.openxmlformats.org/officeDocument/2006/relationships/hyperlink" Target="https://finance.yahoo.com/quote/AAPL260116C00220000/" TargetMode="External"/><Relationship Id="rId1326" Type="http://schemas.openxmlformats.org/officeDocument/2006/relationships/hyperlink" Target="https://finance.yahoo.com/quote/AAPL/options/?straddle=false&amp;strike=195&amp;type=all" TargetMode="External"/><Relationship Id="rId1533" Type="http://schemas.openxmlformats.org/officeDocument/2006/relationships/hyperlink" Target="https://finance.yahoo.com/quote/AAPL260417P00140000/" TargetMode="External"/><Relationship Id="rId1740" Type="http://schemas.openxmlformats.org/officeDocument/2006/relationships/hyperlink" Target="https://finance.yahoo.com/quote/AAPL/options/?straddle=false&amp;strike=175&amp;type=all" TargetMode="External"/><Relationship Id="rId32" Type="http://schemas.openxmlformats.org/officeDocument/2006/relationships/hyperlink" Target="https://finance.yahoo.com/quote/AAPL/options/?straddle=false&amp;strike=180&amp;type=all" TargetMode="External"/><Relationship Id="rId1600" Type="http://schemas.openxmlformats.org/officeDocument/2006/relationships/hyperlink" Target="https://finance.yahoo.com/quote/AAPL/options/?straddle=false&amp;strike=5&amp;type=all" TargetMode="External"/><Relationship Id="rId3498" Type="http://schemas.openxmlformats.org/officeDocument/2006/relationships/hyperlink" Target="https://finance.yahoo.com/quote/AAPL/options/?straddle=false&amp;strike=145&amp;type=all" TargetMode="External"/><Relationship Id="rId3358" Type="http://schemas.openxmlformats.org/officeDocument/2006/relationships/hyperlink" Target="https://finance.yahoo.com/quote/AAPL/options/?straddle=false&amp;strike=245&amp;type=all" TargetMode="External"/><Relationship Id="rId3565" Type="http://schemas.openxmlformats.org/officeDocument/2006/relationships/hyperlink" Target="https://finance.yahoo.com/quote/AAPL251010C00190000/" TargetMode="External"/><Relationship Id="rId279" Type="http://schemas.openxmlformats.org/officeDocument/2006/relationships/hyperlink" Target="https://finance.yahoo.com/quote/AAPL251024C00210000/" TargetMode="External"/><Relationship Id="rId486" Type="http://schemas.openxmlformats.org/officeDocument/2006/relationships/hyperlink" Target="https://finance.yahoo.com/quote/AAPL/options/?straddle=false&amp;strike=170&amp;type=all" TargetMode="External"/><Relationship Id="rId693" Type="http://schemas.openxmlformats.org/officeDocument/2006/relationships/hyperlink" Target="https://finance.yahoo.com/quote/AAPL251121C00270000/" TargetMode="External"/><Relationship Id="rId2167" Type="http://schemas.openxmlformats.org/officeDocument/2006/relationships/hyperlink" Target="https://finance.yahoo.com/quote/AAPL260821P00290000/" TargetMode="External"/><Relationship Id="rId2374" Type="http://schemas.openxmlformats.org/officeDocument/2006/relationships/hyperlink" Target="https://finance.yahoo.com/quote/AAPL/options/?straddle=false&amp;strike=230&amp;type=all" TargetMode="External"/><Relationship Id="rId2581" Type="http://schemas.openxmlformats.org/officeDocument/2006/relationships/hyperlink" Target="https://finance.yahoo.com/quote/AAPL261218P00130000/" TargetMode="External"/><Relationship Id="rId3218" Type="http://schemas.openxmlformats.org/officeDocument/2006/relationships/hyperlink" Target="https://finance.yahoo.com/quote/AAPL/options/?straddle=false&amp;strike=290&amp;type=all" TargetMode="External"/><Relationship Id="rId3425" Type="http://schemas.openxmlformats.org/officeDocument/2006/relationships/hyperlink" Target="https://finance.yahoo.com/quote/AAPL280121C00180000/" TargetMode="External"/><Relationship Id="rId3632" Type="http://schemas.openxmlformats.org/officeDocument/2006/relationships/hyperlink" Target="https://finance.yahoo.com/quote/AAPL/options/?straddle=false&amp;strike=295&amp;type=all" TargetMode="External"/><Relationship Id="rId139" Type="http://schemas.openxmlformats.org/officeDocument/2006/relationships/hyperlink" Target="https://finance.yahoo.com/quote/AAPL251017P00110000/" TargetMode="External"/><Relationship Id="rId346" Type="http://schemas.openxmlformats.org/officeDocument/2006/relationships/hyperlink" Target="https://finance.yahoo.com/quote/AAPL/options/?straddle=false&amp;strike=170&amp;type=all" TargetMode="External"/><Relationship Id="rId553" Type="http://schemas.openxmlformats.org/officeDocument/2006/relationships/hyperlink" Target="https://finance.yahoo.com/quote/AAPL251107C00230000/" TargetMode="External"/><Relationship Id="rId760" Type="http://schemas.openxmlformats.org/officeDocument/2006/relationships/hyperlink" Target="https://finance.yahoo.com/quote/AAPL/options/?straddle=false&amp;strike=180&amp;type=all" TargetMode="External"/><Relationship Id="rId1183" Type="http://schemas.openxmlformats.org/officeDocument/2006/relationships/hyperlink" Target="https://finance.yahoo.com/quote/AAPL260220C00330000/" TargetMode="External"/><Relationship Id="rId1390" Type="http://schemas.openxmlformats.org/officeDocument/2006/relationships/hyperlink" Target="https://finance.yahoo.com/quote/AAPL/options/?straddle=false&amp;strike=155&amp;type=all" TargetMode="External"/><Relationship Id="rId2027" Type="http://schemas.openxmlformats.org/officeDocument/2006/relationships/hyperlink" Target="https://finance.yahoo.com/quote/AAPL260618P00300000/" TargetMode="External"/><Relationship Id="rId2234" Type="http://schemas.openxmlformats.org/officeDocument/2006/relationships/hyperlink" Target="https://finance.yahoo.com/quote/AAPL/options/?straddle=false&amp;strike=185&amp;type=all" TargetMode="External"/><Relationship Id="rId2441" Type="http://schemas.openxmlformats.org/officeDocument/2006/relationships/hyperlink" Target="https://finance.yahoo.com/quote/AAPL261218C00090000/" TargetMode="External"/><Relationship Id="rId206" Type="http://schemas.openxmlformats.org/officeDocument/2006/relationships/hyperlink" Target="https://finance.yahoo.com/quote/AAPL/options/?straddle=false&amp;strike=245&amp;type=all" TargetMode="External"/><Relationship Id="rId413" Type="http://schemas.openxmlformats.org/officeDocument/2006/relationships/hyperlink" Target="https://finance.yahoo.com/quote/AAPL251031C00200000/" TargetMode="External"/><Relationship Id="rId1043" Type="http://schemas.openxmlformats.org/officeDocument/2006/relationships/hyperlink" Target="https://finance.yahoo.com/quote/AAPL260116P00215000/" TargetMode="External"/><Relationship Id="rId620" Type="http://schemas.openxmlformats.org/officeDocument/2006/relationships/hyperlink" Target="https://finance.yahoo.com/quote/AAPL/options/?straddle=false&amp;strike=255&amp;type=all" TargetMode="External"/><Relationship Id="rId1250" Type="http://schemas.openxmlformats.org/officeDocument/2006/relationships/hyperlink" Target="https://finance.yahoo.com/quote/AAPL/options/?straddle=false&amp;strike=225&amp;type=all" TargetMode="External"/><Relationship Id="rId2301" Type="http://schemas.openxmlformats.org/officeDocument/2006/relationships/hyperlink" Target="https://finance.yahoo.com/quote/AAPL260918P00050000/" TargetMode="External"/><Relationship Id="rId1110" Type="http://schemas.openxmlformats.org/officeDocument/2006/relationships/hyperlink" Target="https://finance.yahoo.com/quote/AAPL/options/?straddle=false&amp;strike=130&amp;type=all" TargetMode="External"/><Relationship Id="rId1927" Type="http://schemas.openxmlformats.org/officeDocument/2006/relationships/hyperlink" Target="https://finance.yahoo.com/quote/AAPL260618P00045000/" TargetMode="External"/><Relationship Id="rId3075" Type="http://schemas.openxmlformats.org/officeDocument/2006/relationships/hyperlink" Target="https://finance.yahoo.com/quote/AAPL270617P00220000/" TargetMode="External"/><Relationship Id="rId3282" Type="http://schemas.openxmlformats.org/officeDocument/2006/relationships/hyperlink" Target="https://finance.yahoo.com/quote/AAPL/options/?straddle=false&amp;strike=55&amp;type=all" TargetMode="External"/><Relationship Id="rId2091" Type="http://schemas.openxmlformats.org/officeDocument/2006/relationships/hyperlink" Target="https://finance.yahoo.com/quote/AAPL260821C00250000/" TargetMode="External"/><Relationship Id="rId3142" Type="http://schemas.openxmlformats.org/officeDocument/2006/relationships/hyperlink" Target="https://finance.yahoo.com/quote/AAPL/options/?straddle=false&amp;strike=100&amp;type=all" TargetMode="External"/><Relationship Id="rId270" Type="http://schemas.openxmlformats.org/officeDocument/2006/relationships/hyperlink" Target="https://finance.yahoo.com/quote/AAPL/options/?straddle=false&amp;strike=185&amp;type=all" TargetMode="External"/><Relationship Id="rId3002" Type="http://schemas.openxmlformats.org/officeDocument/2006/relationships/hyperlink" Target="https://finance.yahoo.com/quote/AAPL/options/?straddle=false&amp;strike=410&amp;type=all" TargetMode="External"/><Relationship Id="rId130" Type="http://schemas.openxmlformats.org/officeDocument/2006/relationships/hyperlink" Target="https://finance.yahoo.com/quote/AAPL/options/?straddle=false&amp;strike=370&amp;type=all" TargetMode="External"/><Relationship Id="rId2768" Type="http://schemas.openxmlformats.org/officeDocument/2006/relationships/hyperlink" Target="https://finance.yahoo.com/quote/AAPL/options/?straddle=false&amp;strike=400&amp;type=all" TargetMode="External"/><Relationship Id="rId2975" Type="http://schemas.openxmlformats.org/officeDocument/2006/relationships/hyperlink" Target="https://finance.yahoo.com/quote/AAPL270617C00280000/" TargetMode="External"/><Relationship Id="rId947" Type="http://schemas.openxmlformats.org/officeDocument/2006/relationships/hyperlink" Target="https://finance.yahoo.com/quote/AAPL260116C00340000/" TargetMode="External"/><Relationship Id="rId1577" Type="http://schemas.openxmlformats.org/officeDocument/2006/relationships/hyperlink" Target="https://finance.yahoo.com/quote/AAPL260417P00250000/" TargetMode="External"/><Relationship Id="rId1784" Type="http://schemas.openxmlformats.org/officeDocument/2006/relationships/hyperlink" Target="https://finance.yahoo.com/quote/AAPL/options/?straddle=false&amp;strike=25&amp;type=all" TargetMode="External"/><Relationship Id="rId1991" Type="http://schemas.openxmlformats.org/officeDocument/2006/relationships/hyperlink" Target="https://finance.yahoo.com/quote/AAPL260618P00205000/" TargetMode="External"/><Relationship Id="rId2628" Type="http://schemas.openxmlformats.org/officeDocument/2006/relationships/hyperlink" Target="https://finance.yahoo.com/quote/AAPL/options/?straddle=false&amp;strike=290&amp;type=all" TargetMode="External"/><Relationship Id="rId2835" Type="http://schemas.openxmlformats.org/officeDocument/2006/relationships/hyperlink" Target="https://finance.yahoo.com/quote/AAPL270115P00160000/" TargetMode="External"/><Relationship Id="rId76" Type="http://schemas.openxmlformats.org/officeDocument/2006/relationships/hyperlink" Target="https://finance.yahoo.com/quote/AAPL/options/?straddle=false&amp;strike=252.5&amp;type=all" TargetMode="External"/><Relationship Id="rId807" Type="http://schemas.openxmlformats.org/officeDocument/2006/relationships/hyperlink" Target="https://finance.yahoo.com/quote/AAPL251121P00305000/" TargetMode="External"/><Relationship Id="rId1437" Type="http://schemas.openxmlformats.org/officeDocument/2006/relationships/hyperlink" Target="https://finance.yahoo.com/quote/AAPL260320P00370000/" TargetMode="External"/><Relationship Id="rId1644" Type="http://schemas.openxmlformats.org/officeDocument/2006/relationships/hyperlink" Target="https://finance.yahoo.com/quote/AAPL/options/?straddle=false&amp;strike=200&amp;type=all" TargetMode="External"/><Relationship Id="rId1851" Type="http://schemas.openxmlformats.org/officeDocument/2006/relationships/hyperlink" Target="https://finance.yahoo.com/quote/AAPL260618C00195000/" TargetMode="External"/><Relationship Id="rId2902" Type="http://schemas.openxmlformats.org/officeDocument/2006/relationships/hyperlink" Target="https://finance.yahoo.com/quote/AAPL/options/?straddle=false&amp;strike=55&amp;type=all" TargetMode="External"/><Relationship Id="rId1504" Type="http://schemas.openxmlformats.org/officeDocument/2006/relationships/hyperlink" Target="https://finance.yahoo.com/quote/AAPL/options/?straddle=false&amp;strike=295&amp;type=all" TargetMode="External"/><Relationship Id="rId1711" Type="http://schemas.openxmlformats.org/officeDocument/2006/relationships/hyperlink" Target="https://finance.yahoo.com/quote/AAPL260515P00105000/" TargetMode="External"/><Relationship Id="rId3469" Type="http://schemas.openxmlformats.org/officeDocument/2006/relationships/hyperlink" Target="https://finance.yahoo.com/quote/AAPL280121C00380000/" TargetMode="External"/><Relationship Id="rId3676" Type="http://schemas.openxmlformats.org/officeDocument/2006/relationships/hyperlink" Target="https://finance.yahoo.com/quote/AAPL/options/?straddle=false&amp;strike=200&amp;type=all" TargetMode="External"/><Relationship Id="rId597" Type="http://schemas.openxmlformats.org/officeDocument/2006/relationships/hyperlink" Target="https://finance.yahoo.com/quote/AAPL251107P00200000/" TargetMode="External"/><Relationship Id="rId2278" Type="http://schemas.openxmlformats.org/officeDocument/2006/relationships/hyperlink" Target="https://finance.yahoo.com/quote/AAPL/options/?straddle=false&amp;strike=295&amp;type=all" TargetMode="External"/><Relationship Id="rId2485" Type="http://schemas.openxmlformats.org/officeDocument/2006/relationships/hyperlink" Target="https://finance.yahoo.com/quote/AAPL261218C00200000/" TargetMode="External"/><Relationship Id="rId3329" Type="http://schemas.openxmlformats.org/officeDocument/2006/relationships/hyperlink" Target="https://finance.yahoo.com/quote/AAPL271217P00175000/" TargetMode="External"/><Relationship Id="rId457" Type="http://schemas.openxmlformats.org/officeDocument/2006/relationships/hyperlink" Target="https://finance.yahoo.com/quote/AAPL251031C00310000/" TargetMode="External"/><Relationship Id="rId1087" Type="http://schemas.openxmlformats.org/officeDocument/2006/relationships/hyperlink" Target="https://finance.yahoo.com/quote/AAPL260116P00330000/" TargetMode="External"/><Relationship Id="rId1294" Type="http://schemas.openxmlformats.org/officeDocument/2006/relationships/hyperlink" Target="https://finance.yahoo.com/quote/AAPL/options/?straddle=false&amp;strike=115&amp;type=all" TargetMode="External"/><Relationship Id="rId2138" Type="http://schemas.openxmlformats.org/officeDocument/2006/relationships/hyperlink" Target="https://finance.yahoo.com/quote/AAPL/options/?straddle=false&amp;strike=170&amp;type=all" TargetMode="External"/><Relationship Id="rId2692" Type="http://schemas.openxmlformats.org/officeDocument/2006/relationships/hyperlink" Target="https://finance.yahoo.com/quote/AAPL/options/?straddle=false&amp;strike=110&amp;type=all" TargetMode="External"/><Relationship Id="rId3536" Type="http://schemas.openxmlformats.org/officeDocument/2006/relationships/hyperlink" Target="https://finance.yahoo.com/quote/AAPL/options/?straddle=false&amp;strike=300&amp;type=all" TargetMode="External"/><Relationship Id="rId664" Type="http://schemas.openxmlformats.org/officeDocument/2006/relationships/hyperlink" Target="https://finance.yahoo.com/quote/AAPL/options/?straddle=false&amp;strike=195&amp;type=all" TargetMode="External"/><Relationship Id="rId871" Type="http://schemas.openxmlformats.org/officeDocument/2006/relationships/hyperlink" Target="https://finance.yahoo.com/quote/AAPL260116C00140000/" TargetMode="External"/><Relationship Id="rId2345" Type="http://schemas.openxmlformats.org/officeDocument/2006/relationships/hyperlink" Target="https://finance.yahoo.com/quote/AAPL260918P00160000/" TargetMode="External"/><Relationship Id="rId2552" Type="http://schemas.openxmlformats.org/officeDocument/2006/relationships/hyperlink" Target="https://finance.yahoo.com/quote/AAPL/options/?straddle=false&amp;strike=40&amp;type=all" TargetMode="External"/><Relationship Id="rId3603" Type="http://schemas.openxmlformats.org/officeDocument/2006/relationships/hyperlink" Target="https://finance.yahoo.com/quote/AAPL251010C00250000/" TargetMode="External"/><Relationship Id="rId317" Type="http://schemas.openxmlformats.org/officeDocument/2006/relationships/hyperlink" Target="https://finance.yahoo.com/quote/AAPL251024C00305000/" TargetMode="External"/><Relationship Id="rId524" Type="http://schemas.openxmlformats.org/officeDocument/2006/relationships/hyperlink" Target="https://finance.yahoo.com/quote/AAPL/options/?straddle=false&amp;strike=265&amp;type=all" TargetMode="External"/><Relationship Id="rId731" Type="http://schemas.openxmlformats.org/officeDocument/2006/relationships/hyperlink" Target="https://finance.yahoo.com/quote/AAPL251121P00110000/" TargetMode="External"/><Relationship Id="rId1154" Type="http://schemas.openxmlformats.org/officeDocument/2006/relationships/hyperlink" Target="https://finance.yahoo.com/quote/AAPL/options/?straddle=false&amp;strike=240&amp;type=all" TargetMode="External"/><Relationship Id="rId1361" Type="http://schemas.openxmlformats.org/officeDocument/2006/relationships/hyperlink" Target="https://finance.yahoo.com/quote/AAPL260320C00370000/" TargetMode="External"/><Relationship Id="rId2205" Type="http://schemas.openxmlformats.org/officeDocument/2006/relationships/hyperlink" Target="https://finance.yahoo.com/quote/AAPL260918C00115000/" TargetMode="External"/><Relationship Id="rId2412" Type="http://schemas.openxmlformats.org/officeDocument/2006/relationships/hyperlink" Target="https://finance.yahoo.com/quote/AAPL/options/?straddle=false&amp;strike=400&amp;type=all" TargetMode="External"/><Relationship Id="rId1014" Type="http://schemas.openxmlformats.org/officeDocument/2006/relationships/hyperlink" Target="https://finance.yahoo.com/quote/AAPL/options/?straddle=false&amp;strike=140&amp;type=all" TargetMode="External"/><Relationship Id="rId1221" Type="http://schemas.openxmlformats.org/officeDocument/2006/relationships/hyperlink" Target="https://finance.yahoo.com/quote/AAPL260220P00155000/" TargetMode="External"/><Relationship Id="rId3186" Type="http://schemas.openxmlformats.org/officeDocument/2006/relationships/hyperlink" Target="https://finance.yahoo.com/quote/AAPL/options/?straddle=false&amp;strike=210&amp;type=all" TargetMode="External"/><Relationship Id="rId3393" Type="http://schemas.openxmlformats.org/officeDocument/2006/relationships/hyperlink" Target="https://finance.yahoo.com/quote/AAPL271217P00350000/" TargetMode="External"/><Relationship Id="rId3046" Type="http://schemas.openxmlformats.org/officeDocument/2006/relationships/hyperlink" Target="https://finance.yahoo.com/quote/AAPL/options/?straddle=false&amp;strike=135&amp;type=all" TargetMode="External"/><Relationship Id="rId3253" Type="http://schemas.openxmlformats.org/officeDocument/2006/relationships/hyperlink" Target="https://finance.yahoo.com/quote/AAPL271217C00380000/" TargetMode="External"/><Relationship Id="rId3460" Type="http://schemas.openxmlformats.org/officeDocument/2006/relationships/hyperlink" Target="https://finance.yahoo.com/quote/AAPL/options/?straddle=false&amp;strike=330&amp;type=all" TargetMode="External"/><Relationship Id="rId174" Type="http://schemas.openxmlformats.org/officeDocument/2006/relationships/hyperlink" Target="https://finance.yahoo.com/quote/AAPL/options/?straddle=false&amp;strike=195&amp;type=all" TargetMode="External"/><Relationship Id="rId381" Type="http://schemas.openxmlformats.org/officeDocument/2006/relationships/hyperlink" Target="https://finance.yahoo.com/quote/AAPL251024P00260000/" TargetMode="External"/><Relationship Id="rId2062" Type="http://schemas.openxmlformats.org/officeDocument/2006/relationships/hyperlink" Target="https://finance.yahoo.com/quote/AAPL/options/?straddle=false&amp;strike=150&amp;type=all" TargetMode="External"/><Relationship Id="rId3113" Type="http://schemas.openxmlformats.org/officeDocument/2006/relationships/hyperlink" Target="https://finance.yahoo.com/quote/AAPL270617P00420000/" TargetMode="External"/><Relationship Id="rId241" Type="http://schemas.openxmlformats.org/officeDocument/2006/relationships/hyperlink" Target="https://finance.yahoo.com/quote/AAPL251017P00315000/" TargetMode="External"/><Relationship Id="rId3320" Type="http://schemas.openxmlformats.org/officeDocument/2006/relationships/hyperlink" Target="https://finance.yahoo.com/quote/AAPL/options/?straddle=false&amp;strike=150&amp;type=all" TargetMode="External"/><Relationship Id="rId2879" Type="http://schemas.openxmlformats.org/officeDocument/2006/relationships/hyperlink" Target="https://finance.yahoo.com/quote/AAPL270115P00340000/" TargetMode="External"/><Relationship Id="rId101" Type="http://schemas.openxmlformats.org/officeDocument/2006/relationships/hyperlink" Target="https://finance.yahoo.com/quote/AAPL251017C00295000/" TargetMode="External"/><Relationship Id="rId1688" Type="http://schemas.openxmlformats.org/officeDocument/2006/relationships/hyperlink" Target="https://finance.yahoo.com/quote/AAPL/options/?straddle=false&amp;strike=10&amp;type=all" TargetMode="External"/><Relationship Id="rId1895" Type="http://schemas.openxmlformats.org/officeDocument/2006/relationships/hyperlink" Target="https://finance.yahoo.com/quote/AAPL260618C00320000/" TargetMode="External"/><Relationship Id="rId2739" Type="http://schemas.openxmlformats.org/officeDocument/2006/relationships/hyperlink" Target="https://finance.yahoo.com/quote/AAPL270115C00260000/" TargetMode="External"/><Relationship Id="rId2946" Type="http://schemas.openxmlformats.org/officeDocument/2006/relationships/hyperlink" Target="https://finance.yahoo.com/quote/AAPL/options/?straddle=false&amp;strike=165&amp;type=all" TargetMode="External"/><Relationship Id="rId918" Type="http://schemas.openxmlformats.org/officeDocument/2006/relationships/hyperlink" Target="https://finance.yahoo.com/quote/AAPL/options/?straddle=false&amp;strike=255&amp;type=all" TargetMode="External"/><Relationship Id="rId1548" Type="http://schemas.openxmlformats.org/officeDocument/2006/relationships/hyperlink" Target="https://finance.yahoo.com/quote/AAPL/options/?straddle=false&amp;strike=175&amp;type=all" TargetMode="External"/><Relationship Id="rId1755" Type="http://schemas.openxmlformats.org/officeDocument/2006/relationships/hyperlink" Target="https://finance.yahoo.com/quote/AAPL260515P00230000/" TargetMode="External"/><Relationship Id="rId1408" Type="http://schemas.openxmlformats.org/officeDocument/2006/relationships/hyperlink" Target="https://finance.yahoo.com/quote/AAPL/options/?straddle=false&amp;strike=200&amp;type=all" TargetMode="External"/><Relationship Id="rId1962" Type="http://schemas.openxmlformats.org/officeDocument/2006/relationships/hyperlink" Target="https://finance.yahoo.com/quote/AAPL/options/?straddle=false&amp;strike=130&amp;type=all" TargetMode="External"/><Relationship Id="rId2806" Type="http://schemas.openxmlformats.org/officeDocument/2006/relationships/hyperlink" Target="https://finance.yahoo.com/quote/AAPL/options/?straddle=false&amp;strike=85&amp;type=all" TargetMode="External"/><Relationship Id="rId47" Type="http://schemas.openxmlformats.org/officeDocument/2006/relationships/hyperlink" Target="https://finance.yahoo.com/quote/AAPL251017C00217500/" TargetMode="External"/><Relationship Id="rId1615" Type="http://schemas.openxmlformats.org/officeDocument/2006/relationships/hyperlink" Target="https://finance.yahoo.com/quote/AAPL260515C00130000/" TargetMode="External"/><Relationship Id="rId1822" Type="http://schemas.openxmlformats.org/officeDocument/2006/relationships/hyperlink" Target="https://finance.yahoo.com/quote/AAPL/options/?straddle=false&amp;strike=120&amp;type=all" TargetMode="External"/><Relationship Id="rId2389" Type="http://schemas.openxmlformats.org/officeDocument/2006/relationships/hyperlink" Target="https://finance.yahoo.com/quote/AAPL260918P00270000/" TargetMode="External"/><Relationship Id="rId2596" Type="http://schemas.openxmlformats.org/officeDocument/2006/relationships/hyperlink" Target="https://finance.yahoo.com/quote/AAPL/options/?straddle=false&amp;strike=165&amp;type=all" TargetMode="External"/><Relationship Id="rId3647" Type="http://schemas.openxmlformats.org/officeDocument/2006/relationships/hyperlink" Target="https://finance.yahoo.com/quote/AAPL251010P00125000/" TargetMode="External"/><Relationship Id="rId568" Type="http://schemas.openxmlformats.org/officeDocument/2006/relationships/hyperlink" Target="https://finance.yahoo.com/quote/AAPL/options/?straddle=false&amp;strike=265&amp;type=all" TargetMode="External"/><Relationship Id="rId775" Type="http://schemas.openxmlformats.org/officeDocument/2006/relationships/hyperlink" Target="https://finance.yahoo.com/quote/AAPL251121P00220000/" TargetMode="External"/><Relationship Id="rId982" Type="http://schemas.openxmlformats.org/officeDocument/2006/relationships/hyperlink" Target="https://finance.yahoo.com/quote/AAPL/options/?straddle=false&amp;strike=60&amp;type=all" TargetMode="External"/><Relationship Id="rId1198" Type="http://schemas.openxmlformats.org/officeDocument/2006/relationships/hyperlink" Target="https://finance.yahoo.com/quote/AAPL/options/?straddle=false&amp;strike=400&amp;type=all" TargetMode="External"/><Relationship Id="rId2249" Type="http://schemas.openxmlformats.org/officeDocument/2006/relationships/hyperlink" Target="https://finance.yahoo.com/quote/AAPL260918C00225000/" TargetMode="External"/><Relationship Id="rId2456" Type="http://schemas.openxmlformats.org/officeDocument/2006/relationships/hyperlink" Target="https://finance.yahoo.com/quote/AAPL/options/?straddle=false&amp;strike=125&amp;type=all" TargetMode="External"/><Relationship Id="rId2663" Type="http://schemas.openxmlformats.org/officeDocument/2006/relationships/hyperlink" Target="https://finance.yahoo.com/quote/AAPL270115C00025000/" TargetMode="External"/><Relationship Id="rId2870" Type="http://schemas.openxmlformats.org/officeDocument/2006/relationships/hyperlink" Target="https://finance.yahoo.com/quote/AAPL/options/?straddle=false&amp;strike=290&amp;type=all" TargetMode="External"/><Relationship Id="rId3507" Type="http://schemas.openxmlformats.org/officeDocument/2006/relationships/hyperlink" Target="https://finance.yahoo.com/quote/AAPL280121P00180000/" TargetMode="External"/><Relationship Id="rId3714" Type="http://schemas.openxmlformats.org/officeDocument/2006/relationships/hyperlink" Target="https://finance.yahoo.com/quote/AAPL/options/?straddle=false&amp;strike=255&amp;type=all" TargetMode="External"/><Relationship Id="rId428" Type="http://schemas.openxmlformats.org/officeDocument/2006/relationships/hyperlink" Target="https://finance.yahoo.com/quote/AAPL/options/?straddle=false&amp;strike=235&amp;type=all" TargetMode="External"/><Relationship Id="rId635" Type="http://schemas.openxmlformats.org/officeDocument/2006/relationships/hyperlink" Target="https://finance.yahoo.com/quote/AAPL251121C00125000/" TargetMode="External"/><Relationship Id="rId842" Type="http://schemas.openxmlformats.org/officeDocument/2006/relationships/hyperlink" Target="https://finance.yahoo.com/quote/AAPL/options/?straddle=false&amp;strike=65&amp;type=all" TargetMode="External"/><Relationship Id="rId1058" Type="http://schemas.openxmlformats.org/officeDocument/2006/relationships/hyperlink" Target="https://finance.yahoo.com/quote/AAPL/options/?straddle=false&amp;strike=250&amp;type=all" TargetMode="External"/><Relationship Id="rId1265" Type="http://schemas.openxmlformats.org/officeDocument/2006/relationships/hyperlink" Target="https://finance.yahoo.com/quote/AAPL260220P00265000/" TargetMode="External"/><Relationship Id="rId1472" Type="http://schemas.openxmlformats.org/officeDocument/2006/relationships/hyperlink" Target="https://finance.yahoo.com/quote/AAPL/options/?straddle=false&amp;strike=215&amp;type=all" TargetMode="External"/><Relationship Id="rId2109" Type="http://schemas.openxmlformats.org/officeDocument/2006/relationships/hyperlink" Target="https://finance.yahoo.com/quote/AAPL260821C00340000/" TargetMode="External"/><Relationship Id="rId2316" Type="http://schemas.openxmlformats.org/officeDocument/2006/relationships/hyperlink" Target="https://finance.yahoo.com/quote/AAPL/options/?straddle=false&amp;strike=85&amp;type=all" TargetMode="External"/><Relationship Id="rId2523" Type="http://schemas.openxmlformats.org/officeDocument/2006/relationships/hyperlink" Target="https://finance.yahoo.com/quote/AAPL261218C00390000/" TargetMode="External"/><Relationship Id="rId2730" Type="http://schemas.openxmlformats.org/officeDocument/2006/relationships/hyperlink" Target="https://finance.yahoo.com/quote/AAPL/options/?straddle=false&amp;strike=210&amp;type=all" TargetMode="External"/><Relationship Id="rId702" Type="http://schemas.openxmlformats.org/officeDocument/2006/relationships/hyperlink" Target="https://finance.yahoo.com/quote/AAPL/options/?straddle=false&amp;strike=290&amp;type=all" TargetMode="External"/><Relationship Id="rId1125" Type="http://schemas.openxmlformats.org/officeDocument/2006/relationships/hyperlink" Target="https://finance.yahoo.com/quote/AAPL260220C00170000/" TargetMode="External"/><Relationship Id="rId1332" Type="http://schemas.openxmlformats.org/officeDocument/2006/relationships/hyperlink" Target="https://finance.yahoo.com/quote/AAPL/options/?straddle=false&amp;strike=220&amp;type=all" TargetMode="External"/><Relationship Id="rId3297" Type="http://schemas.openxmlformats.org/officeDocument/2006/relationships/hyperlink" Target="https://finance.yahoo.com/quote/AAPL271217P00095000/" TargetMode="External"/><Relationship Id="rId3157" Type="http://schemas.openxmlformats.org/officeDocument/2006/relationships/hyperlink" Target="https://finance.yahoo.com/quote/AAPL271217C00140000/" TargetMode="External"/><Relationship Id="rId285" Type="http://schemas.openxmlformats.org/officeDocument/2006/relationships/hyperlink" Target="https://finance.yahoo.com/quote/AAPL251024C00225000/" TargetMode="External"/><Relationship Id="rId3364" Type="http://schemas.openxmlformats.org/officeDocument/2006/relationships/hyperlink" Target="https://finance.yahoo.com/quote/AAPL/options/?straddle=false&amp;strike=260&amp;type=all" TargetMode="External"/><Relationship Id="rId3571" Type="http://schemas.openxmlformats.org/officeDocument/2006/relationships/hyperlink" Target="https://finance.yahoo.com/quote/AAPL251010C00205000/" TargetMode="External"/><Relationship Id="rId492" Type="http://schemas.openxmlformats.org/officeDocument/2006/relationships/hyperlink" Target="https://finance.yahoo.com/quote/AAPL/options/?straddle=false&amp;strike=185&amp;type=all" TargetMode="External"/><Relationship Id="rId2173" Type="http://schemas.openxmlformats.org/officeDocument/2006/relationships/hyperlink" Target="https://finance.yahoo.com/quote/AAPL260821P00320000/" TargetMode="External"/><Relationship Id="rId2380" Type="http://schemas.openxmlformats.org/officeDocument/2006/relationships/hyperlink" Target="https://finance.yahoo.com/quote/AAPL/options/?straddle=false&amp;strike=245&amp;type=all" TargetMode="External"/><Relationship Id="rId3017" Type="http://schemas.openxmlformats.org/officeDocument/2006/relationships/hyperlink" Target="https://finance.yahoo.com/quote/AAPL270617P00065000/" TargetMode="External"/><Relationship Id="rId3224" Type="http://schemas.openxmlformats.org/officeDocument/2006/relationships/hyperlink" Target="https://finance.yahoo.com/quote/AAPL/options/?straddle=false&amp;strike=305&amp;type=all" TargetMode="External"/><Relationship Id="rId3431" Type="http://schemas.openxmlformats.org/officeDocument/2006/relationships/hyperlink" Target="https://finance.yahoo.com/quote/AAPL280121C00195000/" TargetMode="External"/><Relationship Id="rId145" Type="http://schemas.openxmlformats.org/officeDocument/2006/relationships/hyperlink" Target="https://finance.yahoo.com/quote/AAPL251017P00125000/" TargetMode="External"/><Relationship Id="rId352" Type="http://schemas.openxmlformats.org/officeDocument/2006/relationships/hyperlink" Target="https://finance.yahoo.com/quote/AAPL/options/?straddle=false&amp;strike=185&amp;type=all" TargetMode="External"/><Relationship Id="rId2033" Type="http://schemas.openxmlformats.org/officeDocument/2006/relationships/hyperlink" Target="https://finance.yahoo.com/quote/AAPL260618P00330000/" TargetMode="External"/><Relationship Id="rId2240" Type="http://schemas.openxmlformats.org/officeDocument/2006/relationships/hyperlink" Target="https://finance.yahoo.com/quote/AAPL/options/?straddle=false&amp;strike=200&amp;type=all" TargetMode="External"/><Relationship Id="rId212" Type="http://schemas.openxmlformats.org/officeDocument/2006/relationships/hyperlink" Target="https://finance.yahoo.com/quote/AAPL/options/?straddle=false&amp;strike=252.5&amp;type=all" TargetMode="External"/><Relationship Id="rId1799" Type="http://schemas.openxmlformats.org/officeDocument/2006/relationships/hyperlink" Target="https://finance.yahoo.com/quote/AAPL260618C00065000/" TargetMode="External"/><Relationship Id="rId2100" Type="http://schemas.openxmlformats.org/officeDocument/2006/relationships/hyperlink" Target="https://finance.yahoo.com/quote/AAPL/options/?straddle=false&amp;strike=290&amp;type=all" TargetMode="External"/><Relationship Id="rId1659" Type="http://schemas.openxmlformats.org/officeDocument/2006/relationships/hyperlink" Target="https://finance.yahoo.com/quote/AAPL260515C00280000/" TargetMode="External"/><Relationship Id="rId1866" Type="http://schemas.openxmlformats.org/officeDocument/2006/relationships/hyperlink" Target="https://finance.yahoo.com/quote/AAPL/options/?straddle=false&amp;strike=230&amp;type=all" TargetMode="External"/><Relationship Id="rId2917" Type="http://schemas.openxmlformats.org/officeDocument/2006/relationships/hyperlink" Target="https://finance.yahoo.com/quote/AAPL270617C00095000/" TargetMode="External"/><Relationship Id="rId3081" Type="http://schemas.openxmlformats.org/officeDocument/2006/relationships/hyperlink" Target="https://finance.yahoo.com/quote/AAPL270617P00250000/" TargetMode="External"/><Relationship Id="rId1519" Type="http://schemas.openxmlformats.org/officeDocument/2006/relationships/hyperlink" Target="https://finance.yahoo.com/quote/AAPL260417C00340000/" TargetMode="External"/><Relationship Id="rId1726" Type="http://schemas.openxmlformats.org/officeDocument/2006/relationships/hyperlink" Target="https://finance.yahoo.com/quote/AAPL/options/?straddle=false&amp;strike=140&amp;type=all" TargetMode="External"/><Relationship Id="rId1933" Type="http://schemas.openxmlformats.org/officeDocument/2006/relationships/hyperlink" Target="https://finance.yahoo.com/quote/AAPL260618P00060000/" TargetMode="External"/><Relationship Id="rId18" Type="http://schemas.openxmlformats.org/officeDocument/2006/relationships/hyperlink" Target="https://finance.yahoo.com/quote/AAPL/options/?straddle=false&amp;strike=145&amp;type=all" TargetMode="External"/><Relationship Id="rId679" Type="http://schemas.openxmlformats.org/officeDocument/2006/relationships/hyperlink" Target="https://finance.yahoo.com/quote/AAPL251121C00235000/" TargetMode="External"/><Relationship Id="rId886" Type="http://schemas.openxmlformats.org/officeDocument/2006/relationships/hyperlink" Target="https://finance.yahoo.com/quote/AAPL/options/?straddle=false&amp;strike=175&amp;type=all" TargetMode="External"/><Relationship Id="rId2567" Type="http://schemas.openxmlformats.org/officeDocument/2006/relationships/hyperlink" Target="https://finance.yahoo.com/quote/AAPL261218P00095000/" TargetMode="External"/><Relationship Id="rId2774" Type="http://schemas.openxmlformats.org/officeDocument/2006/relationships/hyperlink" Target="https://finance.yahoo.com/quote/AAPL/options/?straddle=false&amp;strike=430&amp;type=all" TargetMode="External"/><Relationship Id="rId3618" Type="http://schemas.openxmlformats.org/officeDocument/2006/relationships/hyperlink" Target="https://finance.yahoo.com/quote/AAPL/options/?straddle=false&amp;strike=267.5&amp;type=all" TargetMode="External"/><Relationship Id="rId2" Type="http://schemas.openxmlformats.org/officeDocument/2006/relationships/hyperlink" Target="https://finance.yahoo.com/quote/AAPL/options/?straddle=false&amp;strike=105&amp;type=all" TargetMode="External"/><Relationship Id="rId539" Type="http://schemas.openxmlformats.org/officeDocument/2006/relationships/hyperlink" Target="https://finance.yahoo.com/quote/AAPL251031P00310000/" TargetMode="External"/><Relationship Id="rId746" Type="http://schemas.openxmlformats.org/officeDocument/2006/relationships/hyperlink" Target="https://finance.yahoo.com/quote/AAPL/options/?straddle=false&amp;strike=145&amp;type=all" TargetMode="External"/><Relationship Id="rId1169" Type="http://schemas.openxmlformats.org/officeDocument/2006/relationships/hyperlink" Target="https://finance.yahoo.com/quote/AAPL260220C00280000/" TargetMode="External"/><Relationship Id="rId1376" Type="http://schemas.openxmlformats.org/officeDocument/2006/relationships/hyperlink" Target="https://finance.yahoo.com/quote/AAPL/options/?straddle=false&amp;strike=120&amp;type=all" TargetMode="External"/><Relationship Id="rId1583" Type="http://schemas.openxmlformats.org/officeDocument/2006/relationships/hyperlink" Target="https://finance.yahoo.com/quote/AAPL260417P00265000/" TargetMode="External"/><Relationship Id="rId2427" Type="http://schemas.openxmlformats.org/officeDocument/2006/relationships/hyperlink" Target="https://finance.yahoo.com/quote/AAPL261218C00040000/" TargetMode="External"/><Relationship Id="rId2981" Type="http://schemas.openxmlformats.org/officeDocument/2006/relationships/hyperlink" Target="https://finance.yahoo.com/quote/AAPL270617C00310000/" TargetMode="External"/><Relationship Id="rId953" Type="http://schemas.openxmlformats.org/officeDocument/2006/relationships/hyperlink" Target="https://finance.yahoo.com/quote/AAPL260116C00370000/" TargetMode="External"/><Relationship Id="rId1029" Type="http://schemas.openxmlformats.org/officeDocument/2006/relationships/hyperlink" Target="https://finance.yahoo.com/quote/AAPL260116P00180000/" TargetMode="External"/><Relationship Id="rId1236" Type="http://schemas.openxmlformats.org/officeDocument/2006/relationships/hyperlink" Target="https://finance.yahoo.com/quote/AAPL/options/?straddle=false&amp;strike=190&amp;type=all" TargetMode="External"/><Relationship Id="rId1790" Type="http://schemas.openxmlformats.org/officeDocument/2006/relationships/hyperlink" Target="https://finance.yahoo.com/quote/AAPL/options/?straddle=false&amp;strike=40&amp;type=all" TargetMode="External"/><Relationship Id="rId2634" Type="http://schemas.openxmlformats.org/officeDocument/2006/relationships/hyperlink" Target="https://finance.yahoo.com/quote/AAPL/options/?straddle=false&amp;strike=320&amp;type=all" TargetMode="External"/><Relationship Id="rId2841" Type="http://schemas.openxmlformats.org/officeDocument/2006/relationships/hyperlink" Target="https://finance.yahoo.com/quote/AAPL270115P00175000/" TargetMode="External"/><Relationship Id="rId82" Type="http://schemas.openxmlformats.org/officeDocument/2006/relationships/hyperlink" Target="https://finance.yahoo.com/quote/AAPL/options/?straddle=false&amp;strike=260&amp;type=all" TargetMode="External"/><Relationship Id="rId606" Type="http://schemas.openxmlformats.org/officeDocument/2006/relationships/hyperlink" Target="https://finance.yahoo.com/quote/AAPL/options/?straddle=false&amp;strike=220&amp;type=all" TargetMode="External"/><Relationship Id="rId813" Type="http://schemas.openxmlformats.org/officeDocument/2006/relationships/hyperlink" Target="https://finance.yahoo.com/quote/AAPL251121P00335000/" TargetMode="External"/><Relationship Id="rId1443" Type="http://schemas.openxmlformats.org/officeDocument/2006/relationships/hyperlink" Target="https://finance.yahoo.com/quote/AAPL260417C00140000/" TargetMode="External"/><Relationship Id="rId1650" Type="http://schemas.openxmlformats.org/officeDocument/2006/relationships/hyperlink" Target="https://finance.yahoo.com/quote/AAPL/options/?straddle=false&amp;strike=230&amp;type=all" TargetMode="External"/><Relationship Id="rId2701" Type="http://schemas.openxmlformats.org/officeDocument/2006/relationships/hyperlink" Target="https://finance.yahoo.com/quote/AAPL270115C00135000/" TargetMode="External"/><Relationship Id="rId1303" Type="http://schemas.openxmlformats.org/officeDocument/2006/relationships/hyperlink" Target="https://finance.yahoo.com/quote/AAPL260320C00140000/" TargetMode="External"/><Relationship Id="rId1510" Type="http://schemas.openxmlformats.org/officeDocument/2006/relationships/hyperlink" Target="https://finance.yahoo.com/quote/AAPL/options/?straddle=false&amp;strike=310&amp;type=all" TargetMode="External"/><Relationship Id="rId3268" Type="http://schemas.openxmlformats.org/officeDocument/2006/relationships/hyperlink" Target="https://finance.yahoo.com/quote/AAPL/options/?straddle=false&amp;strike=415&amp;type=all" TargetMode="External"/><Relationship Id="rId3475" Type="http://schemas.openxmlformats.org/officeDocument/2006/relationships/hyperlink" Target="https://finance.yahoo.com/quote/AAPL280121C00420000/" TargetMode="External"/><Relationship Id="rId3682" Type="http://schemas.openxmlformats.org/officeDocument/2006/relationships/hyperlink" Target="https://finance.yahoo.com/quote/AAPL/options/?straddle=false&amp;strike=215&amp;type=all" TargetMode="External"/><Relationship Id="rId189" Type="http://schemas.openxmlformats.org/officeDocument/2006/relationships/hyperlink" Target="https://finance.yahoo.com/quote/AAPL251017P00225000/" TargetMode="External"/><Relationship Id="rId396" Type="http://schemas.openxmlformats.org/officeDocument/2006/relationships/hyperlink" Target="https://finance.yahoo.com/quote/AAPL/options/?straddle=false&amp;strike=300&amp;type=all" TargetMode="External"/><Relationship Id="rId2077" Type="http://schemas.openxmlformats.org/officeDocument/2006/relationships/hyperlink" Target="https://finance.yahoo.com/quote/AAPL260821C00190000/" TargetMode="External"/><Relationship Id="rId2284" Type="http://schemas.openxmlformats.org/officeDocument/2006/relationships/hyperlink" Target="https://finance.yahoo.com/quote/AAPL/options/?straddle=false&amp;strike=320&amp;type=all" TargetMode="External"/><Relationship Id="rId2491" Type="http://schemas.openxmlformats.org/officeDocument/2006/relationships/hyperlink" Target="https://finance.yahoo.com/quote/AAPL261218C00230000/" TargetMode="External"/><Relationship Id="rId3128" Type="http://schemas.openxmlformats.org/officeDocument/2006/relationships/hyperlink" Target="https://finance.yahoo.com/quote/AAPL/options/?straddle=false&amp;strike=65&amp;type=all" TargetMode="External"/><Relationship Id="rId3335" Type="http://schemas.openxmlformats.org/officeDocument/2006/relationships/hyperlink" Target="https://finance.yahoo.com/quote/AAPL271217P00190000/" TargetMode="External"/><Relationship Id="rId3542" Type="http://schemas.openxmlformats.org/officeDocument/2006/relationships/hyperlink" Target="https://finance.yahoo.com/quote/AAPL/options/?straddle=false&amp;strike=330&amp;type=all" TargetMode="External"/><Relationship Id="rId256" Type="http://schemas.openxmlformats.org/officeDocument/2006/relationships/hyperlink" Target="https://finance.yahoo.com/quote/AAPL/options/?straddle=false&amp;strike=110&amp;type=all" TargetMode="External"/><Relationship Id="rId463" Type="http://schemas.openxmlformats.org/officeDocument/2006/relationships/hyperlink" Target="https://finance.yahoo.com/quote/AAPL251031C00325000/" TargetMode="External"/><Relationship Id="rId670" Type="http://schemas.openxmlformats.org/officeDocument/2006/relationships/hyperlink" Target="https://finance.yahoo.com/quote/AAPL/options/?straddle=false&amp;strike=210&amp;type=all" TargetMode="External"/><Relationship Id="rId1093" Type="http://schemas.openxmlformats.org/officeDocument/2006/relationships/hyperlink" Target="https://finance.yahoo.com/quote/AAPL260116P00360000/" TargetMode="External"/><Relationship Id="rId2144" Type="http://schemas.openxmlformats.org/officeDocument/2006/relationships/hyperlink" Target="https://finance.yahoo.com/quote/AAPL/options/?straddle=false&amp;strike=185&amp;type=all" TargetMode="External"/><Relationship Id="rId2351" Type="http://schemas.openxmlformats.org/officeDocument/2006/relationships/hyperlink" Target="https://finance.yahoo.com/quote/AAPL260918P00175000/" TargetMode="External"/><Relationship Id="rId3402" Type="http://schemas.openxmlformats.org/officeDocument/2006/relationships/hyperlink" Target="https://finance.yahoo.com/quote/AAPL/options/?straddle=false&amp;strike=435&amp;type=all" TargetMode="External"/><Relationship Id="rId116" Type="http://schemas.openxmlformats.org/officeDocument/2006/relationships/hyperlink" Target="https://finance.yahoo.com/quote/AAPL/options/?straddle=false&amp;strike=330&amp;type=all" TargetMode="External"/><Relationship Id="rId323" Type="http://schemas.openxmlformats.org/officeDocument/2006/relationships/hyperlink" Target="https://finance.yahoo.com/quote/AAPL251024C00320000/" TargetMode="External"/><Relationship Id="rId530" Type="http://schemas.openxmlformats.org/officeDocument/2006/relationships/hyperlink" Target="https://finance.yahoo.com/quote/AAPL/options/?straddle=false&amp;strike=280&amp;type=all" TargetMode="External"/><Relationship Id="rId1160" Type="http://schemas.openxmlformats.org/officeDocument/2006/relationships/hyperlink" Target="https://finance.yahoo.com/quote/AAPL/options/?straddle=false&amp;strike=255&amp;type=all" TargetMode="External"/><Relationship Id="rId2004" Type="http://schemas.openxmlformats.org/officeDocument/2006/relationships/hyperlink" Target="https://finance.yahoo.com/quote/AAPL/options/?straddle=false&amp;strike=235&amp;type=all" TargetMode="External"/><Relationship Id="rId2211" Type="http://schemas.openxmlformats.org/officeDocument/2006/relationships/hyperlink" Target="https://finance.yahoo.com/quote/AAPL260918C00130000/" TargetMode="External"/><Relationship Id="rId1020" Type="http://schemas.openxmlformats.org/officeDocument/2006/relationships/hyperlink" Target="https://finance.yahoo.com/quote/AAPL/options/?straddle=false&amp;strike=155&amp;type=all" TargetMode="External"/><Relationship Id="rId1977" Type="http://schemas.openxmlformats.org/officeDocument/2006/relationships/hyperlink" Target="https://finance.yahoo.com/quote/AAPL260618P00170000/" TargetMode="External"/><Relationship Id="rId1837" Type="http://schemas.openxmlformats.org/officeDocument/2006/relationships/hyperlink" Target="https://finance.yahoo.com/quote/AAPL260618C00160000/" TargetMode="External"/><Relationship Id="rId3192" Type="http://schemas.openxmlformats.org/officeDocument/2006/relationships/hyperlink" Target="https://finance.yahoo.com/quote/AAPL/options/?straddle=false&amp;strike=225&amp;type=all" TargetMode="External"/><Relationship Id="rId3052" Type="http://schemas.openxmlformats.org/officeDocument/2006/relationships/hyperlink" Target="https://finance.yahoo.com/quote/AAPL/options/?straddle=false&amp;strike=150&amp;type=all" TargetMode="External"/><Relationship Id="rId180" Type="http://schemas.openxmlformats.org/officeDocument/2006/relationships/hyperlink" Target="https://finance.yahoo.com/quote/AAPL/options/?straddle=false&amp;strike=210&amp;type=all" TargetMode="External"/><Relationship Id="rId1904" Type="http://schemas.openxmlformats.org/officeDocument/2006/relationships/hyperlink" Target="https://finance.yahoo.com/quote/AAPL/options/?straddle=false&amp;strike=360&amp;type=all" TargetMode="External"/><Relationship Id="rId997" Type="http://schemas.openxmlformats.org/officeDocument/2006/relationships/hyperlink" Target="https://finance.yahoo.com/quote/AAPL260116P00100000/" TargetMode="External"/><Relationship Id="rId2678" Type="http://schemas.openxmlformats.org/officeDocument/2006/relationships/hyperlink" Target="https://finance.yahoo.com/quote/AAPL/options/?straddle=false&amp;strike=70&amp;type=all" TargetMode="External"/><Relationship Id="rId2885" Type="http://schemas.openxmlformats.org/officeDocument/2006/relationships/hyperlink" Target="https://finance.yahoo.com/quote/AAPL270115P00390000/" TargetMode="External"/><Relationship Id="rId3729" Type="http://schemas.openxmlformats.org/officeDocument/2006/relationships/hyperlink" Target="https://finance.yahoo.com/quote/AAPL251010P00275000/" TargetMode="External"/><Relationship Id="rId857" Type="http://schemas.openxmlformats.org/officeDocument/2006/relationships/hyperlink" Target="https://finance.yahoo.com/quote/AAPL260116C00105000/" TargetMode="External"/><Relationship Id="rId1487" Type="http://schemas.openxmlformats.org/officeDocument/2006/relationships/hyperlink" Target="https://finance.yahoo.com/quote/AAPL260417C00255000/" TargetMode="External"/><Relationship Id="rId1694" Type="http://schemas.openxmlformats.org/officeDocument/2006/relationships/hyperlink" Target="https://finance.yahoo.com/quote/AAPL/options/?straddle=false&amp;strike=45&amp;type=all" TargetMode="External"/><Relationship Id="rId2538" Type="http://schemas.openxmlformats.org/officeDocument/2006/relationships/hyperlink" Target="https://finance.yahoo.com/quote/AAPL/options/?straddle=false&amp;strike=5&amp;type=all" TargetMode="External"/><Relationship Id="rId2745" Type="http://schemas.openxmlformats.org/officeDocument/2006/relationships/hyperlink" Target="https://finance.yahoo.com/quote/AAPL270115C00290000/" TargetMode="External"/><Relationship Id="rId2952" Type="http://schemas.openxmlformats.org/officeDocument/2006/relationships/hyperlink" Target="https://finance.yahoo.com/quote/AAPL/options/?straddle=false&amp;strike=180&amp;type=all" TargetMode="External"/><Relationship Id="rId717" Type="http://schemas.openxmlformats.org/officeDocument/2006/relationships/hyperlink" Target="https://finance.yahoo.com/quote/AAPL251121C00330000/" TargetMode="External"/><Relationship Id="rId924" Type="http://schemas.openxmlformats.org/officeDocument/2006/relationships/hyperlink" Target="https://finance.yahoo.com/quote/AAPL/options/?straddle=false&amp;strike=270&amp;type=all" TargetMode="External"/><Relationship Id="rId1347" Type="http://schemas.openxmlformats.org/officeDocument/2006/relationships/hyperlink" Target="https://finance.yahoo.com/quote/AAPL260320C00300000/" TargetMode="External"/><Relationship Id="rId1554" Type="http://schemas.openxmlformats.org/officeDocument/2006/relationships/hyperlink" Target="https://finance.yahoo.com/quote/AAPL/options/?straddle=false&amp;strike=190&amp;type=all" TargetMode="External"/><Relationship Id="rId1761" Type="http://schemas.openxmlformats.org/officeDocument/2006/relationships/hyperlink" Target="https://finance.yahoo.com/quote/AAPL260515P00260000/" TargetMode="External"/><Relationship Id="rId2605" Type="http://schemas.openxmlformats.org/officeDocument/2006/relationships/hyperlink" Target="https://finance.yahoo.com/quote/AAPL261218P00190000/" TargetMode="External"/><Relationship Id="rId2812" Type="http://schemas.openxmlformats.org/officeDocument/2006/relationships/hyperlink" Target="https://finance.yahoo.com/quote/AAPL/options/?straddle=false&amp;strike=100&amp;type=all" TargetMode="External"/><Relationship Id="rId53" Type="http://schemas.openxmlformats.org/officeDocument/2006/relationships/hyperlink" Target="https://finance.yahoo.com/quote/AAPL251017C00225000/" TargetMode="External"/><Relationship Id="rId1207" Type="http://schemas.openxmlformats.org/officeDocument/2006/relationships/hyperlink" Target="https://finance.yahoo.com/quote/AAPL260220P00120000/" TargetMode="External"/><Relationship Id="rId1414" Type="http://schemas.openxmlformats.org/officeDocument/2006/relationships/hyperlink" Target="https://finance.yahoo.com/quote/AAPL/options/?straddle=false&amp;strike=230&amp;type=all" TargetMode="External"/><Relationship Id="rId1621" Type="http://schemas.openxmlformats.org/officeDocument/2006/relationships/hyperlink" Target="https://finance.yahoo.com/quote/AAPL260515C00145000/" TargetMode="External"/><Relationship Id="rId3379" Type="http://schemas.openxmlformats.org/officeDocument/2006/relationships/hyperlink" Target="https://finance.yahoo.com/quote/AAPL271217P00300000/" TargetMode="External"/><Relationship Id="rId3586" Type="http://schemas.openxmlformats.org/officeDocument/2006/relationships/hyperlink" Target="https://finance.yahoo.com/quote/AAPL/options/?straddle=false&amp;strike=227.5&amp;type=all" TargetMode="External"/><Relationship Id="rId2188" Type="http://schemas.openxmlformats.org/officeDocument/2006/relationships/hyperlink" Target="https://finance.yahoo.com/quote/AAPL/options/?straddle=false&amp;strike=70&amp;type=all" TargetMode="External"/><Relationship Id="rId2395" Type="http://schemas.openxmlformats.org/officeDocument/2006/relationships/hyperlink" Target="https://finance.yahoo.com/quote/AAPL260918P00285000/" TargetMode="External"/><Relationship Id="rId3239" Type="http://schemas.openxmlformats.org/officeDocument/2006/relationships/hyperlink" Target="https://finance.yahoo.com/quote/AAPL271217C00345000/" TargetMode="External"/><Relationship Id="rId3446" Type="http://schemas.openxmlformats.org/officeDocument/2006/relationships/hyperlink" Target="https://finance.yahoo.com/quote/AAPL/options/?straddle=false&amp;strike=260&amp;type=all" TargetMode="External"/><Relationship Id="rId367" Type="http://schemas.openxmlformats.org/officeDocument/2006/relationships/hyperlink" Target="https://finance.yahoo.com/quote/AAPL251024P00225000/" TargetMode="External"/><Relationship Id="rId574" Type="http://schemas.openxmlformats.org/officeDocument/2006/relationships/hyperlink" Target="https://finance.yahoo.com/quote/AAPL/options/?straddle=false&amp;strike=280&amp;type=all" TargetMode="External"/><Relationship Id="rId2048" Type="http://schemas.openxmlformats.org/officeDocument/2006/relationships/hyperlink" Target="https://finance.yahoo.com/quote/AAPL/options/?straddle=false&amp;strike=115&amp;type=all" TargetMode="External"/><Relationship Id="rId2255" Type="http://schemas.openxmlformats.org/officeDocument/2006/relationships/hyperlink" Target="https://finance.yahoo.com/quote/AAPL260918C00240000/" TargetMode="External"/><Relationship Id="rId3653" Type="http://schemas.openxmlformats.org/officeDocument/2006/relationships/hyperlink" Target="https://finance.yahoo.com/quote/AAPL251010P00145000/" TargetMode="External"/><Relationship Id="rId227" Type="http://schemas.openxmlformats.org/officeDocument/2006/relationships/hyperlink" Target="https://finance.yahoo.com/quote/AAPL251017P00275000/" TargetMode="External"/><Relationship Id="rId781" Type="http://schemas.openxmlformats.org/officeDocument/2006/relationships/hyperlink" Target="https://finance.yahoo.com/quote/AAPL251121P00235000/" TargetMode="External"/><Relationship Id="rId2462" Type="http://schemas.openxmlformats.org/officeDocument/2006/relationships/hyperlink" Target="https://finance.yahoo.com/quote/AAPL/options/?straddle=false&amp;strike=140&amp;type=all" TargetMode="External"/><Relationship Id="rId3306" Type="http://schemas.openxmlformats.org/officeDocument/2006/relationships/hyperlink" Target="https://finance.yahoo.com/quote/AAPL/options/?straddle=false&amp;strike=115&amp;type=all" TargetMode="External"/><Relationship Id="rId3513" Type="http://schemas.openxmlformats.org/officeDocument/2006/relationships/hyperlink" Target="https://finance.yahoo.com/quote/AAPL280121P00195000/" TargetMode="External"/><Relationship Id="rId3720" Type="http://schemas.openxmlformats.org/officeDocument/2006/relationships/hyperlink" Target="https://finance.yahoo.com/quote/AAPL/options/?straddle=false&amp;strike=262.5&amp;type=all" TargetMode="External"/><Relationship Id="rId434" Type="http://schemas.openxmlformats.org/officeDocument/2006/relationships/hyperlink" Target="https://finance.yahoo.com/quote/AAPL/options/?straddle=false&amp;strike=250&amp;type=all" TargetMode="External"/><Relationship Id="rId641" Type="http://schemas.openxmlformats.org/officeDocument/2006/relationships/hyperlink" Target="https://finance.yahoo.com/quote/AAPL251121C00140000/" TargetMode="External"/><Relationship Id="rId1064" Type="http://schemas.openxmlformats.org/officeDocument/2006/relationships/hyperlink" Target="https://finance.yahoo.com/quote/AAPL/options/?straddle=false&amp;strike=265&amp;type=all" TargetMode="External"/><Relationship Id="rId1271" Type="http://schemas.openxmlformats.org/officeDocument/2006/relationships/hyperlink" Target="https://finance.yahoo.com/quote/AAPL260220P00280000/" TargetMode="External"/><Relationship Id="rId2115" Type="http://schemas.openxmlformats.org/officeDocument/2006/relationships/hyperlink" Target="https://finance.yahoo.com/quote/AAPL260821P00115000/" TargetMode="External"/><Relationship Id="rId2322" Type="http://schemas.openxmlformats.org/officeDocument/2006/relationships/hyperlink" Target="https://finance.yahoo.com/quote/AAPL/options/?straddle=false&amp;strike=100&amp;type=all" TargetMode="External"/><Relationship Id="rId501" Type="http://schemas.openxmlformats.org/officeDocument/2006/relationships/hyperlink" Target="https://finance.yahoo.com/quote/AAPL251031P00210000/" TargetMode="External"/><Relationship Id="rId1131" Type="http://schemas.openxmlformats.org/officeDocument/2006/relationships/hyperlink" Target="https://finance.yahoo.com/quote/AAPL260220C00185000/" TargetMode="External"/><Relationship Id="rId3096" Type="http://schemas.openxmlformats.org/officeDocument/2006/relationships/hyperlink" Target="https://finance.yahoo.com/quote/AAPL/options/?straddle=false&amp;strike=320&amp;type=all" TargetMode="External"/><Relationship Id="rId1948" Type="http://schemas.openxmlformats.org/officeDocument/2006/relationships/hyperlink" Target="https://finance.yahoo.com/quote/AAPL/options/?straddle=false&amp;strike=95&amp;type=all" TargetMode="External"/><Relationship Id="rId3163" Type="http://schemas.openxmlformats.org/officeDocument/2006/relationships/hyperlink" Target="https://finance.yahoo.com/quote/AAPL271217C00155000/" TargetMode="External"/><Relationship Id="rId3370" Type="http://schemas.openxmlformats.org/officeDocument/2006/relationships/hyperlink" Target="https://finance.yahoo.com/quote/AAPL/options/?straddle=false&amp;strike=275&amp;type=all" TargetMode="External"/><Relationship Id="rId291" Type="http://schemas.openxmlformats.org/officeDocument/2006/relationships/hyperlink" Target="https://finance.yahoo.com/quote/AAPL251024C00240000/" TargetMode="External"/><Relationship Id="rId1808" Type="http://schemas.openxmlformats.org/officeDocument/2006/relationships/hyperlink" Target="https://finance.yahoo.com/quote/AAPL/options/?straddle=false&amp;strike=85&amp;type=all" TargetMode="External"/><Relationship Id="rId3023" Type="http://schemas.openxmlformats.org/officeDocument/2006/relationships/hyperlink" Target="https://finance.yahoo.com/quote/AAPL270617P00080000/" TargetMode="External"/><Relationship Id="rId151" Type="http://schemas.openxmlformats.org/officeDocument/2006/relationships/hyperlink" Target="https://finance.yahoo.com/quote/AAPL251017P00140000/" TargetMode="External"/><Relationship Id="rId3230" Type="http://schemas.openxmlformats.org/officeDocument/2006/relationships/hyperlink" Target="https://finance.yahoo.com/quote/AAPL/options/?straddle=false&amp;strike=320&amp;type=all" TargetMode="External"/><Relationship Id="rId2789" Type="http://schemas.openxmlformats.org/officeDocument/2006/relationships/hyperlink" Target="https://finance.yahoo.com/quote/AAPL270115P00030000/" TargetMode="External"/><Relationship Id="rId2996" Type="http://schemas.openxmlformats.org/officeDocument/2006/relationships/hyperlink" Target="https://finance.yahoo.com/quote/AAPL/options/?straddle=false&amp;strike=380&amp;type=all" TargetMode="External"/><Relationship Id="rId968" Type="http://schemas.openxmlformats.org/officeDocument/2006/relationships/hyperlink" Target="https://finance.yahoo.com/quote/AAPL/options/?straddle=false&amp;strike=25&amp;type=all" TargetMode="External"/><Relationship Id="rId1598" Type="http://schemas.openxmlformats.org/officeDocument/2006/relationships/hyperlink" Target="https://finance.yahoo.com/quote/AAPL/options/?straddle=false&amp;strike=305&amp;type=all" TargetMode="External"/><Relationship Id="rId2649" Type="http://schemas.openxmlformats.org/officeDocument/2006/relationships/hyperlink" Target="https://finance.yahoo.com/quote/AAPL261218P00410000/" TargetMode="External"/><Relationship Id="rId2856" Type="http://schemas.openxmlformats.org/officeDocument/2006/relationships/hyperlink" Target="https://finance.yahoo.com/quote/AAPL/options/?straddle=false&amp;strike=220&amp;type=all" TargetMode="External"/><Relationship Id="rId97" Type="http://schemas.openxmlformats.org/officeDocument/2006/relationships/hyperlink" Target="https://finance.yahoo.com/quote/AAPL251017C00285000/" TargetMode="External"/><Relationship Id="rId828" Type="http://schemas.openxmlformats.org/officeDocument/2006/relationships/hyperlink" Target="https://finance.yahoo.com/quote/AAPL/options/?straddle=false&amp;strike=30&amp;type=all" TargetMode="External"/><Relationship Id="rId1458" Type="http://schemas.openxmlformats.org/officeDocument/2006/relationships/hyperlink" Target="https://finance.yahoo.com/quote/AAPL/options/?straddle=false&amp;strike=180&amp;type=all" TargetMode="External"/><Relationship Id="rId1665" Type="http://schemas.openxmlformats.org/officeDocument/2006/relationships/hyperlink" Target="https://finance.yahoo.com/quote/AAPL260515C00310000/" TargetMode="External"/><Relationship Id="rId1872" Type="http://schemas.openxmlformats.org/officeDocument/2006/relationships/hyperlink" Target="https://finance.yahoo.com/quote/AAPL/options/?straddle=false&amp;strike=245&amp;type=all" TargetMode="External"/><Relationship Id="rId2509" Type="http://schemas.openxmlformats.org/officeDocument/2006/relationships/hyperlink" Target="https://finance.yahoo.com/quote/AAPL261218C00320000/" TargetMode="External"/><Relationship Id="rId2716" Type="http://schemas.openxmlformats.org/officeDocument/2006/relationships/hyperlink" Target="https://finance.yahoo.com/quote/AAPL/options/?straddle=false&amp;strike=170&amp;type=all" TargetMode="External"/><Relationship Id="rId1318" Type="http://schemas.openxmlformats.org/officeDocument/2006/relationships/hyperlink" Target="https://finance.yahoo.com/quote/AAPL/options/?straddle=false&amp;strike=175&amp;type=all" TargetMode="External"/><Relationship Id="rId1525" Type="http://schemas.openxmlformats.org/officeDocument/2006/relationships/hyperlink" Target="https://finance.yahoo.com/quote/AAPL260417P00120000/" TargetMode="External"/><Relationship Id="rId2923" Type="http://schemas.openxmlformats.org/officeDocument/2006/relationships/hyperlink" Target="https://finance.yahoo.com/quote/AAPL270617C00110000/" TargetMode="External"/><Relationship Id="rId1732" Type="http://schemas.openxmlformats.org/officeDocument/2006/relationships/hyperlink" Target="https://finance.yahoo.com/quote/AAPL/options/?straddle=false&amp;strike=155&amp;type=all" TargetMode="External"/><Relationship Id="rId24" Type="http://schemas.openxmlformats.org/officeDocument/2006/relationships/hyperlink" Target="https://finance.yahoo.com/quote/AAPL/options/?straddle=false&amp;strike=160&amp;type=all" TargetMode="External"/><Relationship Id="rId2299" Type="http://schemas.openxmlformats.org/officeDocument/2006/relationships/hyperlink" Target="https://finance.yahoo.com/quote/AAPL260918C00400000/" TargetMode="External"/><Relationship Id="rId3697" Type="http://schemas.openxmlformats.org/officeDocument/2006/relationships/hyperlink" Target="https://finance.yahoo.com/quote/AAPL251010P00235000/" TargetMode="External"/><Relationship Id="rId3557" Type="http://schemas.openxmlformats.org/officeDocument/2006/relationships/hyperlink" Target="https://finance.yahoo.com/quote/AAPL251010C00170000/" TargetMode="External"/><Relationship Id="rId478" Type="http://schemas.openxmlformats.org/officeDocument/2006/relationships/hyperlink" Target="https://finance.yahoo.com/quote/AAPL/options/?straddle=false&amp;strike=150&amp;type=all" TargetMode="External"/><Relationship Id="rId685" Type="http://schemas.openxmlformats.org/officeDocument/2006/relationships/hyperlink" Target="https://finance.yahoo.com/quote/AAPL251121C00250000/" TargetMode="External"/><Relationship Id="rId892" Type="http://schemas.openxmlformats.org/officeDocument/2006/relationships/hyperlink" Target="https://finance.yahoo.com/quote/AAPL/options/?straddle=false&amp;strike=190&amp;type=all" TargetMode="External"/><Relationship Id="rId2159" Type="http://schemas.openxmlformats.org/officeDocument/2006/relationships/hyperlink" Target="https://finance.yahoo.com/quote/AAPL260821P00250000/" TargetMode="External"/><Relationship Id="rId2366" Type="http://schemas.openxmlformats.org/officeDocument/2006/relationships/hyperlink" Target="https://finance.yahoo.com/quote/AAPL/options/?straddle=false&amp;strike=210&amp;type=all" TargetMode="External"/><Relationship Id="rId2573" Type="http://schemas.openxmlformats.org/officeDocument/2006/relationships/hyperlink" Target="https://finance.yahoo.com/quote/AAPL261218P00110000/" TargetMode="External"/><Relationship Id="rId2780" Type="http://schemas.openxmlformats.org/officeDocument/2006/relationships/hyperlink" Target="https://finance.yahoo.com/quote/AAPL/options/?straddle=false&amp;strike=5&amp;type=all" TargetMode="External"/><Relationship Id="rId3417" Type="http://schemas.openxmlformats.org/officeDocument/2006/relationships/hyperlink" Target="https://finance.yahoo.com/quote/AAPL280121C00155000/" TargetMode="External"/><Relationship Id="rId3624" Type="http://schemas.openxmlformats.org/officeDocument/2006/relationships/hyperlink" Target="https://finance.yahoo.com/quote/AAPL/options/?straddle=false&amp;strike=275&amp;type=all" TargetMode="External"/><Relationship Id="rId338" Type="http://schemas.openxmlformats.org/officeDocument/2006/relationships/hyperlink" Target="https://finance.yahoo.com/quote/AAPL/options/?straddle=false&amp;strike=150&amp;type=all" TargetMode="External"/><Relationship Id="rId545" Type="http://schemas.openxmlformats.org/officeDocument/2006/relationships/hyperlink" Target="https://finance.yahoo.com/quote/AAPL251107C00200000/" TargetMode="External"/><Relationship Id="rId752" Type="http://schemas.openxmlformats.org/officeDocument/2006/relationships/hyperlink" Target="https://finance.yahoo.com/quote/AAPL/options/?straddle=false&amp;strike=160&amp;type=all" TargetMode="External"/><Relationship Id="rId1175" Type="http://schemas.openxmlformats.org/officeDocument/2006/relationships/hyperlink" Target="https://finance.yahoo.com/quote/AAPL260220C00295000/" TargetMode="External"/><Relationship Id="rId1382" Type="http://schemas.openxmlformats.org/officeDocument/2006/relationships/hyperlink" Target="https://finance.yahoo.com/quote/AAPL/options/?straddle=false&amp;strike=135&amp;type=all" TargetMode="External"/><Relationship Id="rId2019" Type="http://schemas.openxmlformats.org/officeDocument/2006/relationships/hyperlink" Target="https://finance.yahoo.com/quote/AAPL260618P00275000/" TargetMode="External"/><Relationship Id="rId2226" Type="http://schemas.openxmlformats.org/officeDocument/2006/relationships/hyperlink" Target="https://finance.yahoo.com/quote/AAPL/options/?straddle=false&amp;strike=165&amp;type=all" TargetMode="External"/><Relationship Id="rId2433" Type="http://schemas.openxmlformats.org/officeDocument/2006/relationships/hyperlink" Target="https://finance.yahoo.com/quote/AAPL261218C00060000/" TargetMode="External"/><Relationship Id="rId2640" Type="http://schemas.openxmlformats.org/officeDocument/2006/relationships/hyperlink" Target="https://finance.yahoo.com/quote/AAPL/options/?straddle=false&amp;strike=350&amp;type=all" TargetMode="External"/><Relationship Id="rId405" Type="http://schemas.openxmlformats.org/officeDocument/2006/relationships/hyperlink" Target="https://finance.yahoo.com/quote/AAPL251031C00180000/" TargetMode="External"/><Relationship Id="rId612" Type="http://schemas.openxmlformats.org/officeDocument/2006/relationships/hyperlink" Target="https://finance.yahoo.com/quote/AAPL/options/?straddle=false&amp;strike=235&amp;type=all" TargetMode="External"/><Relationship Id="rId1035" Type="http://schemas.openxmlformats.org/officeDocument/2006/relationships/hyperlink" Target="https://finance.yahoo.com/quote/AAPL260116P00195000/" TargetMode="External"/><Relationship Id="rId1242" Type="http://schemas.openxmlformats.org/officeDocument/2006/relationships/hyperlink" Target="https://finance.yahoo.com/quote/AAPL/options/?straddle=false&amp;strike=205&amp;type=all" TargetMode="External"/><Relationship Id="rId2500" Type="http://schemas.openxmlformats.org/officeDocument/2006/relationships/hyperlink" Target="https://finance.yahoo.com/quote/AAPL/options/?straddle=false&amp;strike=270&amp;type=all" TargetMode="External"/><Relationship Id="rId1102" Type="http://schemas.openxmlformats.org/officeDocument/2006/relationships/hyperlink" Target="https://finance.yahoo.com/quote/AAPL/options/?straddle=false&amp;strike=105&amp;type=all" TargetMode="External"/><Relationship Id="rId3067" Type="http://schemas.openxmlformats.org/officeDocument/2006/relationships/hyperlink" Target="https://finance.yahoo.com/quote/AAPL270617P00190000/" TargetMode="External"/><Relationship Id="rId3274" Type="http://schemas.openxmlformats.org/officeDocument/2006/relationships/hyperlink" Target="https://finance.yahoo.com/quote/AAPL/options/?straddle=false&amp;strike=430&amp;type=all" TargetMode="External"/><Relationship Id="rId195" Type="http://schemas.openxmlformats.org/officeDocument/2006/relationships/hyperlink" Target="https://finance.yahoo.com/quote/AAPL251017P00232500/" TargetMode="External"/><Relationship Id="rId1919" Type="http://schemas.openxmlformats.org/officeDocument/2006/relationships/hyperlink" Target="https://finance.yahoo.com/quote/AAPL260618P00025000/" TargetMode="External"/><Relationship Id="rId3481" Type="http://schemas.openxmlformats.org/officeDocument/2006/relationships/hyperlink" Target="https://finance.yahoo.com/quote/AAPL280121P00060000/" TargetMode="External"/><Relationship Id="rId2083" Type="http://schemas.openxmlformats.org/officeDocument/2006/relationships/hyperlink" Target="https://finance.yahoo.com/quote/AAPL260821C00210000/" TargetMode="External"/><Relationship Id="rId2290" Type="http://schemas.openxmlformats.org/officeDocument/2006/relationships/hyperlink" Target="https://finance.yahoo.com/quote/AAPL/options/?straddle=false&amp;strike=350&amp;type=all" TargetMode="External"/><Relationship Id="rId3134" Type="http://schemas.openxmlformats.org/officeDocument/2006/relationships/hyperlink" Target="https://finance.yahoo.com/quote/AAPL/options/?straddle=false&amp;strike=80&amp;type=all" TargetMode="External"/><Relationship Id="rId3341" Type="http://schemas.openxmlformats.org/officeDocument/2006/relationships/hyperlink" Target="https://finance.yahoo.com/quote/AAPL271217P00205000/" TargetMode="External"/><Relationship Id="rId262" Type="http://schemas.openxmlformats.org/officeDocument/2006/relationships/hyperlink" Target="https://finance.yahoo.com/quote/AAPL/options/?straddle=false&amp;strike=165&amp;type=all" TargetMode="External"/><Relationship Id="rId2150" Type="http://schemas.openxmlformats.org/officeDocument/2006/relationships/hyperlink" Target="https://finance.yahoo.com/quote/AAPL/options/?straddle=false&amp;strike=200&amp;type=all" TargetMode="External"/><Relationship Id="rId3201" Type="http://schemas.openxmlformats.org/officeDocument/2006/relationships/hyperlink" Target="https://finance.yahoo.com/quote/AAPL271217C00250000/" TargetMode="External"/><Relationship Id="rId122" Type="http://schemas.openxmlformats.org/officeDocument/2006/relationships/hyperlink" Target="https://finance.yahoo.com/quote/AAPL/options/?straddle=false&amp;strike=345&amp;type=all" TargetMode="External"/><Relationship Id="rId2010" Type="http://schemas.openxmlformats.org/officeDocument/2006/relationships/hyperlink" Target="https://finance.yahoo.com/quote/AAPL/options/?straddle=false&amp;strike=250&amp;type=all" TargetMode="External"/><Relationship Id="rId1569" Type="http://schemas.openxmlformats.org/officeDocument/2006/relationships/hyperlink" Target="https://finance.yahoo.com/quote/AAPL260417P00230000/" TargetMode="External"/><Relationship Id="rId2967" Type="http://schemas.openxmlformats.org/officeDocument/2006/relationships/hyperlink" Target="https://finance.yahoo.com/quote/AAPL270617C00240000/" TargetMode="External"/><Relationship Id="rId939" Type="http://schemas.openxmlformats.org/officeDocument/2006/relationships/hyperlink" Target="https://finance.yahoo.com/quote/AAPL260116C00310000/" TargetMode="External"/><Relationship Id="rId1776" Type="http://schemas.openxmlformats.org/officeDocument/2006/relationships/hyperlink" Target="https://finance.yahoo.com/quote/AAPL/options/?straddle=false&amp;strike=5&amp;type=all" TargetMode="External"/><Relationship Id="rId1983" Type="http://schemas.openxmlformats.org/officeDocument/2006/relationships/hyperlink" Target="https://finance.yahoo.com/quote/AAPL260618P00185000/" TargetMode="External"/><Relationship Id="rId2827" Type="http://schemas.openxmlformats.org/officeDocument/2006/relationships/hyperlink" Target="https://finance.yahoo.com/quote/AAPL270115P00140000/" TargetMode="External"/><Relationship Id="rId68" Type="http://schemas.openxmlformats.org/officeDocument/2006/relationships/hyperlink" Target="https://finance.yahoo.com/quote/AAPL/options/?straddle=false&amp;strike=242.5&amp;type=all" TargetMode="External"/><Relationship Id="rId1429" Type="http://schemas.openxmlformats.org/officeDocument/2006/relationships/hyperlink" Target="https://finance.yahoo.com/quote/AAPL260320P00310000/" TargetMode="External"/><Relationship Id="rId1636" Type="http://schemas.openxmlformats.org/officeDocument/2006/relationships/hyperlink" Target="https://finance.yahoo.com/quote/AAPL/options/?straddle=false&amp;strike=180&amp;type=all" TargetMode="External"/><Relationship Id="rId1843" Type="http://schemas.openxmlformats.org/officeDocument/2006/relationships/hyperlink" Target="https://finance.yahoo.com/quote/AAPL260618C00175000/" TargetMode="External"/><Relationship Id="rId1703" Type="http://schemas.openxmlformats.org/officeDocument/2006/relationships/hyperlink" Target="https://finance.yahoo.com/quote/AAPL260515P00085000/" TargetMode="External"/><Relationship Id="rId1910" Type="http://schemas.openxmlformats.org/officeDocument/2006/relationships/hyperlink" Target="https://finance.yahoo.com/quote/AAPL/options/?straddle=false&amp;strike=390&amp;type=all" TargetMode="External"/><Relationship Id="rId3668" Type="http://schemas.openxmlformats.org/officeDocument/2006/relationships/hyperlink" Target="https://finance.yahoo.com/quote/AAPL/options/?straddle=false&amp;strike=180&amp;type=all" TargetMode="External"/><Relationship Id="rId589" Type="http://schemas.openxmlformats.org/officeDocument/2006/relationships/hyperlink" Target="https://finance.yahoo.com/quote/AAPL251107P00180000/" TargetMode="External"/><Relationship Id="rId796" Type="http://schemas.openxmlformats.org/officeDocument/2006/relationships/hyperlink" Target="https://finance.yahoo.com/quote/AAPL/options/?straddle=false&amp;strike=270&amp;type=all" TargetMode="External"/><Relationship Id="rId2477" Type="http://schemas.openxmlformats.org/officeDocument/2006/relationships/hyperlink" Target="https://finance.yahoo.com/quote/AAPL261218C00180000/" TargetMode="External"/><Relationship Id="rId2684" Type="http://schemas.openxmlformats.org/officeDocument/2006/relationships/hyperlink" Target="https://finance.yahoo.com/quote/AAPL/options/?straddle=false&amp;strike=90&amp;type=all" TargetMode="External"/><Relationship Id="rId3528" Type="http://schemas.openxmlformats.org/officeDocument/2006/relationships/hyperlink" Target="https://finance.yahoo.com/quote/AAPL/options/?straddle=false&amp;strike=260&amp;type=all" TargetMode="External"/><Relationship Id="rId3735" Type="http://schemas.openxmlformats.org/officeDocument/2006/relationships/hyperlink" Target="https://finance.yahoo.com/quote/AAPL251010P00295000/" TargetMode="External"/><Relationship Id="rId449" Type="http://schemas.openxmlformats.org/officeDocument/2006/relationships/hyperlink" Target="https://finance.yahoo.com/quote/AAPL251031C00290000/" TargetMode="External"/><Relationship Id="rId656" Type="http://schemas.openxmlformats.org/officeDocument/2006/relationships/hyperlink" Target="https://finance.yahoo.com/quote/AAPL/options/?straddle=false&amp;strike=175&amp;type=all" TargetMode="External"/><Relationship Id="rId863" Type="http://schemas.openxmlformats.org/officeDocument/2006/relationships/hyperlink" Target="https://finance.yahoo.com/quote/AAPL260116C00120000/" TargetMode="External"/><Relationship Id="rId1079" Type="http://schemas.openxmlformats.org/officeDocument/2006/relationships/hyperlink" Target="https://finance.yahoo.com/quote/AAPL260116P00305000/" TargetMode="External"/><Relationship Id="rId1286" Type="http://schemas.openxmlformats.org/officeDocument/2006/relationships/hyperlink" Target="https://finance.yahoo.com/quote/AAPL/options/?straddle=false&amp;strike=95&amp;type=all" TargetMode="External"/><Relationship Id="rId1493" Type="http://schemas.openxmlformats.org/officeDocument/2006/relationships/hyperlink" Target="https://finance.yahoo.com/quote/AAPL260417C00270000/" TargetMode="External"/><Relationship Id="rId2337" Type="http://schemas.openxmlformats.org/officeDocument/2006/relationships/hyperlink" Target="https://finance.yahoo.com/quote/AAPL260918P00140000/" TargetMode="External"/><Relationship Id="rId2544" Type="http://schemas.openxmlformats.org/officeDocument/2006/relationships/hyperlink" Target="https://finance.yahoo.com/quote/AAPL/options/?straddle=false&amp;strike=20&amp;type=all" TargetMode="External"/><Relationship Id="rId2891" Type="http://schemas.openxmlformats.org/officeDocument/2006/relationships/hyperlink" Target="https://finance.yahoo.com/quote/AAPL270115P00420000/" TargetMode="External"/><Relationship Id="rId309" Type="http://schemas.openxmlformats.org/officeDocument/2006/relationships/hyperlink" Target="https://finance.yahoo.com/quote/AAPL251024C00285000/" TargetMode="External"/><Relationship Id="rId516" Type="http://schemas.openxmlformats.org/officeDocument/2006/relationships/hyperlink" Target="https://finance.yahoo.com/quote/AAPL/options/?straddle=false&amp;strike=245&amp;type=all" TargetMode="External"/><Relationship Id="rId1146" Type="http://schemas.openxmlformats.org/officeDocument/2006/relationships/hyperlink" Target="https://finance.yahoo.com/quote/AAPL/options/?straddle=false&amp;strike=220&amp;type=all" TargetMode="External"/><Relationship Id="rId2751" Type="http://schemas.openxmlformats.org/officeDocument/2006/relationships/hyperlink" Target="https://finance.yahoo.com/quote/AAPL270115C00320000/" TargetMode="External"/><Relationship Id="rId723" Type="http://schemas.openxmlformats.org/officeDocument/2006/relationships/hyperlink" Target="https://finance.yahoo.com/quote/AAPL251121C00345000/" TargetMode="External"/><Relationship Id="rId930" Type="http://schemas.openxmlformats.org/officeDocument/2006/relationships/hyperlink" Target="https://finance.yahoo.com/quote/AAPL/options/?straddle=false&amp;strike=285&amp;type=all" TargetMode="External"/><Relationship Id="rId1006" Type="http://schemas.openxmlformats.org/officeDocument/2006/relationships/hyperlink" Target="https://finance.yahoo.com/quote/AAPL/options/?straddle=false&amp;strike=120&amp;type=all" TargetMode="External"/><Relationship Id="rId1353" Type="http://schemas.openxmlformats.org/officeDocument/2006/relationships/hyperlink" Target="https://finance.yahoo.com/quote/AAPL260320C00330000/" TargetMode="External"/><Relationship Id="rId1560" Type="http://schemas.openxmlformats.org/officeDocument/2006/relationships/hyperlink" Target="https://finance.yahoo.com/quote/AAPL/options/?straddle=false&amp;strike=205&amp;type=all" TargetMode="External"/><Relationship Id="rId2404" Type="http://schemas.openxmlformats.org/officeDocument/2006/relationships/hyperlink" Target="https://finance.yahoo.com/quote/AAPL/options/?straddle=false&amp;strike=310&amp;type=all" TargetMode="External"/><Relationship Id="rId2611" Type="http://schemas.openxmlformats.org/officeDocument/2006/relationships/hyperlink" Target="https://finance.yahoo.com/quote/AAPL261218P00210000/" TargetMode="External"/><Relationship Id="rId1213" Type="http://schemas.openxmlformats.org/officeDocument/2006/relationships/hyperlink" Target="https://finance.yahoo.com/quote/AAPL260220P00135000/" TargetMode="External"/><Relationship Id="rId1420" Type="http://schemas.openxmlformats.org/officeDocument/2006/relationships/hyperlink" Target="https://finance.yahoo.com/quote/AAPL/options/?straddle=false&amp;strike=260&amp;type=all" TargetMode="External"/><Relationship Id="rId3178" Type="http://schemas.openxmlformats.org/officeDocument/2006/relationships/hyperlink" Target="https://finance.yahoo.com/quote/AAPL/options/?straddle=false&amp;strike=190&amp;type=all" TargetMode="External"/><Relationship Id="rId3385" Type="http://schemas.openxmlformats.org/officeDocument/2006/relationships/hyperlink" Target="https://finance.yahoo.com/quote/AAPL271217P00315000/" TargetMode="External"/><Relationship Id="rId3592" Type="http://schemas.openxmlformats.org/officeDocument/2006/relationships/hyperlink" Target="https://finance.yahoo.com/quote/AAPL/options/?straddle=false&amp;strike=235&amp;type=all" TargetMode="External"/><Relationship Id="rId2194" Type="http://schemas.openxmlformats.org/officeDocument/2006/relationships/hyperlink" Target="https://finance.yahoo.com/quote/AAPL/options/?straddle=false&amp;strike=85&amp;type=all" TargetMode="External"/><Relationship Id="rId3038" Type="http://schemas.openxmlformats.org/officeDocument/2006/relationships/hyperlink" Target="https://finance.yahoo.com/quote/AAPL/options/?straddle=false&amp;strike=115&amp;type=all" TargetMode="External"/><Relationship Id="rId3245" Type="http://schemas.openxmlformats.org/officeDocument/2006/relationships/hyperlink" Target="https://finance.yahoo.com/quote/AAPL271217C00360000/" TargetMode="External"/><Relationship Id="rId3452" Type="http://schemas.openxmlformats.org/officeDocument/2006/relationships/hyperlink" Target="https://finance.yahoo.com/quote/AAPL/options/?straddle=false&amp;strike=290&amp;type=all" TargetMode="External"/><Relationship Id="rId166" Type="http://schemas.openxmlformats.org/officeDocument/2006/relationships/hyperlink" Target="https://finance.yahoo.com/quote/AAPL/options/?straddle=false&amp;strike=175&amp;type=all" TargetMode="External"/><Relationship Id="rId373" Type="http://schemas.openxmlformats.org/officeDocument/2006/relationships/hyperlink" Target="https://finance.yahoo.com/quote/AAPL251024P00240000/" TargetMode="External"/><Relationship Id="rId580" Type="http://schemas.openxmlformats.org/officeDocument/2006/relationships/hyperlink" Target="https://finance.yahoo.com/quote/AAPL/options/?straddle=false&amp;strike=295&amp;type=all" TargetMode="External"/><Relationship Id="rId2054" Type="http://schemas.openxmlformats.org/officeDocument/2006/relationships/hyperlink" Target="https://finance.yahoo.com/quote/AAPL/options/?straddle=false&amp;strike=130&amp;type=all" TargetMode="External"/><Relationship Id="rId2261" Type="http://schemas.openxmlformats.org/officeDocument/2006/relationships/hyperlink" Target="https://finance.yahoo.com/quote/AAPL260918C00255000/" TargetMode="External"/><Relationship Id="rId3105" Type="http://schemas.openxmlformats.org/officeDocument/2006/relationships/hyperlink" Target="https://finance.yahoo.com/quote/AAPL270617P00380000/" TargetMode="External"/><Relationship Id="rId3312" Type="http://schemas.openxmlformats.org/officeDocument/2006/relationships/hyperlink" Target="https://finance.yahoo.com/quote/AAPL/options/?straddle=false&amp;strike=130&amp;type=all" TargetMode="External"/><Relationship Id="rId233" Type="http://schemas.openxmlformats.org/officeDocument/2006/relationships/hyperlink" Target="https://finance.yahoo.com/quote/AAPL251017P00290000/" TargetMode="External"/><Relationship Id="rId440" Type="http://schemas.openxmlformats.org/officeDocument/2006/relationships/hyperlink" Target="https://finance.yahoo.com/quote/AAPL/options/?straddle=false&amp;strike=265&amp;type=all" TargetMode="External"/><Relationship Id="rId1070" Type="http://schemas.openxmlformats.org/officeDocument/2006/relationships/hyperlink" Target="https://finance.yahoo.com/quote/AAPL/options/?straddle=false&amp;strike=280&amp;type=all" TargetMode="External"/><Relationship Id="rId2121" Type="http://schemas.openxmlformats.org/officeDocument/2006/relationships/hyperlink" Target="https://finance.yahoo.com/quote/AAPL260821P00130000/" TargetMode="External"/><Relationship Id="rId300" Type="http://schemas.openxmlformats.org/officeDocument/2006/relationships/hyperlink" Target="https://finance.yahoo.com/quote/AAPL/options/?straddle=false&amp;strike=260&amp;type=all" TargetMode="External"/><Relationship Id="rId1887" Type="http://schemas.openxmlformats.org/officeDocument/2006/relationships/hyperlink" Target="https://finance.yahoo.com/quote/AAPL260618C00285000/" TargetMode="External"/><Relationship Id="rId2938" Type="http://schemas.openxmlformats.org/officeDocument/2006/relationships/hyperlink" Target="https://finance.yahoo.com/quote/AAPL/options/?straddle=false&amp;strike=145&amp;type=all" TargetMode="External"/><Relationship Id="rId1747" Type="http://schemas.openxmlformats.org/officeDocument/2006/relationships/hyperlink" Target="https://finance.yahoo.com/quote/AAPL260515P00195000/" TargetMode="External"/><Relationship Id="rId1954" Type="http://schemas.openxmlformats.org/officeDocument/2006/relationships/hyperlink" Target="https://finance.yahoo.com/quote/AAPL/options/?straddle=false&amp;strike=110&amp;type=all" TargetMode="External"/><Relationship Id="rId39" Type="http://schemas.openxmlformats.org/officeDocument/2006/relationships/hyperlink" Target="https://finance.yahoo.com/quote/AAPL251017C00200000/" TargetMode="External"/><Relationship Id="rId1607" Type="http://schemas.openxmlformats.org/officeDocument/2006/relationships/hyperlink" Target="https://finance.yahoo.com/quote/AAPL260515C00095000/" TargetMode="External"/><Relationship Id="rId1814" Type="http://schemas.openxmlformats.org/officeDocument/2006/relationships/hyperlink" Target="https://finance.yahoo.com/quote/AAPL/options/?straddle=false&amp;strike=100&amp;type=all" TargetMode="External"/><Relationship Id="rId2588" Type="http://schemas.openxmlformats.org/officeDocument/2006/relationships/hyperlink" Target="https://finance.yahoo.com/quote/AAPL/options/?straddle=false&amp;strike=145&amp;type=all" TargetMode="External"/><Relationship Id="rId1397" Type="http://schemas.openxmlformats.org/officeDocument/2006/relationships/hyperlink" Target="https://finance.yahoo.com/quote/AAPL260320P00175000/" TargetMode="External"/><Relationship Id="rId2795" Type="http://schemas.openxmlformats.org/officeDocument/2006/relationships/hyperlink" Target="https://finance.yahoo.com/quote/AAPL270115P00045000/" TargetMode="External"/><Relationship Id="rId3639" Type="http://schemas.openxmlformats.org/officeDocument/2006/relationships/hyperlink" Target="https://finance.yahoo.com/quote/AAPL251010C00315000/" TargetMode="External"/><Relationship Id="rId767" Type="http://schemas.openxmlformats.org/officeDocument/2006/relationships/hyperlink" Target="https://finance.yahoo.com/quote/AAPL251121P00200000/" TargetMode="External"/><Relationship Id="rId974" Type="http://schemas.openxmlformats.org/officeDocument/2006/relationships/hyperlink" Target="https://finance.yahoo.com/quote/AAPL/options/?straddle=false&amp;strike=40&amp;type=all" TargetMode="External"/><Relationship Id="rId2448" Type="http://schemas.openxmlformats.org/officeDocument/2006/relationships/hyperlink" Target="https://finance.yahoo.com/quote/AAPL/options/?straddle=false&amp;strike=105&amp;type=all" TargetMode="External"/><Relationship Id="rId2655" Type="http://schemas.openxmlformats.org/officeDocument/2006/relationships/hyperlink" Target="https://finance.yahoo.com/quote/AAPL270115C00005000/" TargetMode="External"/><Relationship Id="rId2862" Type="http://schemas.openxmlformats.org/officeDocument/2006/relationships/hyperlink" Target="https://finance.yahoo.com/quote/AAPL/options/?straddle=false&amp;strike=250&amp;type=all" TargetMode="External"/><Relationship Id="rId3706" Type="http://schemas.openxmlformats.org/officeDocument/2006/relationships/hyperlink" Target="https://finance.yahoo.com/quote/AAPL/options/?straddle=false&amp;strike=245&amp;type=all" TargetMode="External"/><Relationship Id="rId627" Type="http://schemas.openxmlformats.org/officeDocument/2006/relationships/hyperlink" Target="https://finance.yahoo.com/quote/AAPL251121C00105000/" TargetMode="External"/><Relationship Id="rId834" Type="http://schemas.openxmlformats.org/officeDocument/2006/relationships/hyperlink" Target="https://finance.yahoo.com/quote/AAPL/options/?straddle=false&amp;strike=45&amp;type=all" TargetMode="External"/><Relationship Id="rId1257" Type="http://schemas.openxmlformats.org/officeDocument/2006/relationships/hyperlink" Target="https://finance.yahoo.com/quote/AAPL260220P00245000/" TargetMode="External"/><Relationship Id="rId1464" Type="http://schemas.openxmlformats.org/officeDocument/2006/relationships/hyperlink" Target="https://finance.yahoo.com/quote/AAPL/options/?straddle=false&amp;strike=195&amp;type=all" TargetMode="External"/><Relationship Id="rId1671" Type="http://schemas.openxmlformats.org/officeDocument/2006/relationships/hyperlink" Target="https://finance.yahoo.com/quote/AAPL260515C00340000/" TargetMode="External"/><Relationship Id="rId2308" Type="http://schemas.openxmlformats.org/officeDocument/2006/relationships/hyperlink" Target="https://finance.yahoo.com/quote/AAPL/options/?straddle=false&amp;strike=65&amp;type=all" TargetMode="External"/><Relationship Id="rId2515" Type="http://schemas.openxmlformats.org/officeDocument/2006/relationships/hyperlink" Target="https://finance.yahoo.com/quote/AAPL261218C00350000/" TargetMode="External"/><Relationship Id="rId2722" Type="http://schemas.openxmlformats.org/officeDocument/2006/relationships/hyperlink" Target="https://finance.yahoo.com/quote/AAPL/options/?straddle=false&amp;strike=185&amp;type=all" TargetMode="External"/><Relationship Id="rId901" Type="http://schemas.openxmlformats.org/officeDocument/2006/relationships/hyperlink" Target="https://finance.yahoo.com/quote/AAPL260116C00215000/" TargetMode="External"/><Relationship Id="rId1117" Type="http://schemas.openxmlformats.org/officeDocument/2006/relationships/hyperlink" Target="https://finance.yahoo.com/quote/AAPL260220C00150000/" TargetMode="External"/><Relationship Id="rId1324" Type="http://schemas.openxmlformats.org/officeDocument/2006/relationships/hyperlink" Target="https://finance.yahoo.com/quote/AAPL/options/?straddle=false&amp;strike=190&amp;type=all" TargetMode="External"/><Relationship Id="rId1531" Type="http://schemas.openxmlformats.org/officeDocument/2006/relationships/hyperlink" Target="https://finance.yahoo.com/quote/AAPL260417P00135000/" TargetMode="External"/><Relationship Id="rId30" Type="http://schemas.openxmlformats.org/officeDocument/2006/relationships/hyperlink" Target="https://finance.yahoo.com/quote/AAPL/options/?straddle=false&amp;strike=175&amp;type=all" TargetMode="External"/><Relationship Id="rId3289" Type="http://schemas.openxmlformats.org/officeDocument/2006/relationships/hyperlink" Target="https://finance.yahoo.com/quote/AAPL271217P00075000/" TargetMode="External"/><Relationship Id="rId3496" Type="http://schemas.openxmlformats.org/officeDocument/2006/relationships/hyperlink" Target="https://finance.yahoo.com/quote/AAPL/options/?straddle=false&amp;strike=140&amp;type=all" TargetMode="External"/><Relationship Id="rId2098" Type="http://schemas.openxmlformats.org/officeDocument/2006/relationships/hyperlink" Target="https://finance.yahoo.com/quote/AAPL/options/?straddle=false&amp;strike=280&amp;type=all" TargetMode="External"/><Relationship Id="rId3149" Type="http://schemas.openxmlformats.org/officeDocument/2006/relationships/hyperlink" Target="https://finance.yahoo.com/quote/AAPL271217C00120000/" TargetMode="External"/><Relationship Id="rId3356" Type="http://schemas.openxmlformats.org/officeDocument/2006/relationships/hyperlink" Target="https://finance.yahoo.com/quote/AAPL/options/?straddle=false&amp;strike=240&amp;type=all" TargetMode="External"/><Relationship Id="rId3563" Type="http://schemas.openxmlformats.org/officeDocument/2006/relationships/hyperlink" Target="https://finance.yahoo.com/quote/AAPL251010C00185000/" TargetMode="External"/><Relationship Id="rId277" Type="http://schemas.openxmlformats.org/officeDocument/2006/relationships/hyperlink" Target="https://finance.yahoo.com/quote/AAPL251024C00205000/" TargetMode="External"/><Relationship Id="rId484" Type="http://schemas.openxmlformats.org/officeDocument/2006/relationships/hyperlink" Target="https://finance.yahoo.com/quote/AAPL/options/?straddle=false&amp;strike=165&amp;type=all" TargetMode="External"/><Relationship Id="rId2165" Type="http://schemas.openxmlformats.org/officeDocument/2006/relationships/hyperlink" Target="https://finance.yahoo.com/quote/AAPL260821P00280000/" TargetMode="External"/><Relationship Id="rId3009" Type="http://schemas.openxmlformats.org/officeDocument/2006/relationships/hyperlink" Target="https://finance.yahoo.com/quote/AAPL270617C00450000/" TargetMode="External"/><Relationship Id="rId3216" Type="http://schemas.openxmlformats.org/officeDocument/2006/relationships/hyperlink" Target="https://finance.yahoo.com/quote/AAPL/options/?straddle=false&amp;strike=285&amp;type=all" TargetMode="External"/><Relationship Id="rId137" Type="http://schemas.openxmlformats.org/officeDocument/2006/relationships/hyperlink" Target="https://finance.yahoo.com/quote/AAPL251017P00105000/" TargetMode="External"/><Relationship Id="rId344" Type="http://schemas.openxmlformats.org/officeDocument/2006/relationships/hyperlink" Target="https://finance.yahoo.com/quote/AAPL/options/?straddle=false&amp;strike=165&amp;type=all" TargetMode="External"/><Relationship Id="rId691" Type="http://schemas.openxmlformats.org/officeDocument/2006/relationships/hyperlink" Target="https://finance.yahoo.com/quote/AAPL251121C00265000/" TargetMode="External"/><Relationship Id="rId2025" Type="http://schemas.openxmlformats.org/officeDocument/2006/relationships/hyperlink" Target="https://finance.yahoo.com/quote/AAPL260618P00290000/" TargetMode="External"/><Relationship Id="rId2372" Type="http://schemas.openxmlformats.org/officeDocument/2006/relationships/hyperlink" Target="https://finance.yahoo.com/quote/AAPL/options/?straddle=false&amp;strike=225&amp;type=all" TargetMode="External"/><Relationship Id="rId3423" Type="http://schemas.openxmlformats.org/officeDocument/2006/relationships/hyperlink" Target="https://finance.yahoo.com/quote/AAPL280121C00175000/" TargetMode="External"/><Relationship Id="rId3630" Type="http://schemas.openxmlformats.org/officeDocument/2006/relationships/hyperlink" Target="https://finance.yahoo.com/quote/AAPL/options/?straddle=false&amp;strike=290&amp;type=all" TargetMode="External"/><Relationship Id="rId551" Type="http://schemas.openxmlformats.org/officeDocument/2006/relationships/hyperlink" Target="https://finance.yahoo.com/quote/AAPL251107C00225000/" TargetMode="External"/><Relationship Id="rId1181" Type="http://schemas.openxmlformats.org/officeDocument/2006/relationships/hyperlink" Target="https://finance.yahoo.com/quote/AAPL260220C00320000/" TargetMode="External"/><Relationship Id="rId2232" Type="http://schemas.openxmlformats.org/officeDocument/2006/relationships/hyperlink" Target="https://finance.yahoo.com/quote/AAPL/options/?straddle=false&amp;strike=180&amp;type=all" TargetMode="External"/><Relationship Id="rId204" Type="http://schemas.openxmlformats.org/officeDocument/2006/relationships/hyperlink" Target="https://finance.yahoo.com/quote/AAPL/options/?straddle=false&amp;strike=242.5&amp;type=all" TargetMode="External"/><Relationship Id="rId411" Type="http://schemas.openxmlformats.org/officeDocument/2006/relationships/hyperlink" Target="https://finance.yahoo.com/quote/AAPL251031C00195000/" TargetMode="External"/><Relationship Id="rId1041" Type="http://schemas.openxmlformats.org/officeDocument/2006/relationships/hyperlink" Target="https://finance.yahoo.com/quote/AAPL260116P00210000/" TargetMode="External"/><Relationship Id="rId1998" Type="http://schemas.openxmlformats.org/officeDocument/2006/relationships/hyperlink" Target="https://finance.yahoo.com/quote/AAPL/options/?straddle=false&amp;strike=220&amp;type=all" TargetMode="External"/><Relationship Id="rId1858" Type="http://schemas.openxmlformats.org/officeDocument/2006/relationships/hyperlink" Target="https://finance.yahoo.com/quote/AAPL/options/?straddle=false&amp;strike=210&amp;type=all" TargetMode="External"/><Relationship Id="rId2909" Type="http://schemas.openxmlformats.org/officeDocument/2006/relationships/hyperlink" Target="https://finance.yahoo.com/quote/AAPL270617C00075000/" TargetMode="External"/><Relationship Id="rId3073" Type="http://schemas.openxmlformats.org/officeDocument/2006/relationships/hyperlink" Target="https://finance.yahoo.com/quote/AAPL270617P00210000/" TargetMode="External"/><Relationship Id="rId3280" Type="http://schemas.openxmlformats.org/officeDocument/2006/relationships/hyperlink" Target="https://finance.yahoo.com/quote/AAPL/options/?straddle=false&amp;strike=50&amp;type=all" TargetMode="External"/><Relationship Id="rId1718" Type="http://schemas.openxmlformats.org/officeDocument/2006/relationships/hyperlink" Target="https://finance.yahoo.com/quote/AAPL/options/?straddle=false&amp;strike=120&amp;type=all" TargetMode="External"/><Relationship Id="rId1925" Type="http://schemas.openxmlformats.org/officeDocument/2006/relationships/hyperlink" Target="https://finance.yahoo.com/quote/AAPL260618P00040000/" TargetMode="External"/><Relationship Id="rId3140" Type="http://schemas.openxmlformats.org/officeDocument/2006/relationships/hyperlink" Target="https://finance.yahoo.com/quote/AAPL/options/?straddle=false&amp;strike=95&amp;type=all" TargetMode="External"/><Relationship Id="rId2699" Type="http://schemas.openxmlformats.org/officeDocument/2006/relationships/hyperlink" Target="https://finance.yahoo.com/quote/AAPL270115C00130000/" TargetMode="External"/><Relationship Id="rId3000" Type="http://schemas.openxmlformats.org/officeDocument/2006/relationships/hyperlink" Target="https://finance.yahoo.com/quote/AAPL/options/?straddle=false&amp;strike=400&amp;type=all" TargetMode="External"/><Relationship Id="rId878" Type="http://schemas.openxmlformats.org/officeDocument/2006/relationships/hyperlink" Target="https://finance.yahoo.com/quote/AAPL/options/?straddle=false&amp;strike=155&amp;type=all" TargetMode="External"/><Relationship Id="rId2559" Type="http://schemas.openxmlformats.org/officeDocument/2006/relationships/hyperlink" Target="https://finance.yahoo.com/quote/AAPL261218P00070000/" TargetMode="External"/><Relationship Id="rId2766" Type="http://schemas.openxmlformats.org/officeDocument/2006/relationships/hyperlink" Target="https://finance.yahoo.com/quote/AAPL/options/?straddle=false&amp;strike=390&amp;type=all" TargetMode="External"/><Relationship Id="rId2973" Type="http://schemas.openxmlformats.org/officeDocument/2006/relationships/hyperlink" Target="https://finance.yahoo.com/quote/AAPL270617C00270000/" TargetMode="External"/><Relationship Id="rId738" Type="http://schemas.openxmlformats.org/officeDocument/2006/relationships/hyperlink" Target="https://finance.yahoo.com/quote/AAPL/options/?straddle=false&amp;strike=125&amp;type=all" TargetMode="External"/><Relationship Id="rId945" Type="http://schemas.openxmlformats.org/officeDocument/2006/relationships/hyperlink" Target="https://finance.yahoo.com/quote/AAPL260116C00330000/" TargetMode="External"/><Relationship Id="rId1368" Type="http://schemas.openxmlformats.org/officeDocument/2006/relationships/hyperlink" Target="https://finance.yahoo.com/quote/AAPL/options/?straddle=false&amp;strike=100&amp;type=all" TargetMode="External"/><Relationship Id="rId1575" Type="http://schemas.openxmlformats.org/officeDocument/2006/relationships/hyperlink" Target="https://finance.yahoo.com/quote/AAPL260417P00245000/" TargetMode="External"/><Relationship Id="rId1782" Type="http://schemas.openxmlformats.org/officeDocument/2006/relationships/hyperlink" Target="https://finance.yahoo.com/quote/AAPL/options/?straddle=false&amp;strike=20&amp;type=all" TargetMode="External"/><Relationship Id="rId2419" Type="http://schemas.openxmlformats.org/officeDocument/2006/relationships/hyperlink" Target="https://finance.yahoo.com/quote/AAPL261218C00020000/" TargetMode="External"/><Relationship Id="rId2626" Type="http://schemas.openxmlformats.org/officeDocument/2006/relationships/hyperlink" Target="https://finance.yahoo.com/quote/AAPL/options/?straddle=false&amp;strike=280&amp;type=all" TargetMode="External"/><Relationship Id="rId2833" Type="http://schemas.openxmlformats.org/officeDocument/2006/relationships/hyperlink" Target="https://finance.yahoo.com/quote/AAPL270115P00155000/" TargetMode="External"/><Relationship Id="rId74" Type="http://schemas.openxmlformats.org/officeDocument/2006/relationships/hyperlink" Target="https://finance.yahoo.com/quote/AAPL/options/?straddle=false&amp;strike=250&amp;type=all" TargetMode="External"/><Relationship Id="rId805" Type="http://schemas.openxmlformats.org/officeDocument/2006/relationships/hyperlink" Target="https://finance.yahoo.com/quote/AAPL251121P00300000/" TargetMode="External"/><Relationship Id="rId1228" Type="http://schemas.openxmlformats.org/officeDocument/2006/relationships/hyperlink" Target="https://finance.yahoo.com/quote/AAPL/options/?straddle=false&amp;strike=170&amp;type=all" TargetMode="External"/><Relationship Id="rId1435" Type="http://schemas.openxmlformats.org/officeDocument/2006/relationships/hyperlink" Target="https://finance.yahoo.com/quote/AAPL260320P00360000/" TargetMode="External"/><Relationship Id="rId1642" Type="http://schemas.openxmlformats.org/officeDocument/2006/relationships/hyperlink" Target="https://finance.yahoo.com/quote/AAPL/options/?straddle=false&amp;strike=195&amp;type=all" TargetMode="External"/><Relationship Id="rId2900" Type="http://schemas.openxmlformats.org/officeDocument/2006/relationships/hyperlink" Target="https://finance.yahoo.com/quote/AAPL/options/?straddle=false&amp;strike=50&amp;type=all" TargetMode="External"/><Relationship Id="rId1502" Type="http://schemas.openxmlformats.org/officeDocument/2006/relationships/hyperlink" Target="https://finance.yahoo.com/quote/AAPL/options/?straddle=false&amp;strike=290&amp;type=all" TargetMode="External"/><Relationship Id="rId388" Type="http://schemas.openxmlformats.org/officeDocument/2006/relationships/hyperlink" Target="https://finance.yahoo.com/quote/AAPL/options/?straddle=false&amp;strike=275&amp;type=all" TargetMode="External"/><Relationship Id="rId2069" Type="http://schemas.openxmlformats.org/officeDocument/2006/relationships/hyperlink" Target="https://finance.yahoo.com/quote/AAPL260821C00170000/" TargetMode="External"/><Relationship Id="rId3467" Type="http://schemas.openxmlformats.org/officeDocument/2006/relationships/hyperlink" Target="https://finance.yahoo.com/quote/AAPL280121C00370000/" TargetMode="External"/><Relationship Id="rId3674" Type="http://schemas.openxmlformats.org/officeDocument/2006/relationships/hyperlink" Target="https://finance.yahoo.com/quote/AAPL/options/?straddle=false&amp;strike=195&amp;type=all" TargetMode="External"/><Relationship Id="rId595" Type="http://schemas.openxmlformats.org/officeDocument/2006/relationships/hyperlink" Target="https://finance.yahoo.com/quote/AAPL251107P00195000/" TargetMode="External"/><Relationship Id="rId2276" Type="http://schemas.openxmlformats.org/officeDocument/2006/relationships/hyperlink" Target="https://finance.yahoo.com/quote/AAPL/options/?straddle=false&amp;strike=290&amp;type=all" TargetMode="External"/><Relationship Id="rId2483" Type="http://schemas.openxmlformats.org/officeDocument/2006/relationships/hyperlink" Target="https://finance.yahoo.com/quote/AAPL261218C00195000/" TargetMode="External"/><Relationship Id="rId2690" Type="http://schemas.openxmlformats.org/officeDocument/2006/relationships/hyperlink" Target="https://finance.yahoo.com/quote/AAPL/options/?straddle=false&amp;strike=105&amp;type=all" TargetMode="External"/><Relationship Id="rId3327" Type="http://schemas.openxmlformats.org/officeDocument/2006/relationships/hyperlink" Target="https://finance.yahoo.com/quote/AAPL271217P00170000/" TargetMode="External"/><Relationship Id="rId3534" Type="http://schemas.openxmlformats.org/officeDocument/2006/relationships/hyperlink" Target="https://finance.yahoo.com/quote/AAPL/options/?straddle=false&amp;strike=290&amp;type=all" TargetMode="External"/><Relationship Id="rId3741" Type="http://schemas.openxmlformats.org/officeDocument/2006/relationships/drawing" Target="../drawings/drawing1.xml"/><Relationship Id="rId248" Type="http://schemas.openxmlformats.org/officeDocument/2006/relationships/hyperlink" Target="https://finance.yahoo.com/quote/AAPL/options/?straddle=false&amp;strike=335&amp;type=all" TargetMode="External"/><Relationship Id="rId455" Type="http://schemas.openxmlformats.org/officeDocument/2006/relationships/hyperlink" Target="https://finance.yahoo.com/quote/AAPL251031C00305000/" TargetMode="External"/><Relationship Id="rId662" Type="http://schemas.openxmlformats.org/officeDocument/2006/relationships/hyperlink" Target="https://finance.yahoo.com/quote/AAPL/options/?straddle=false&amp;strike=190&amp;type=all" TargetMode="External"/><Relationship Id="rId1085" Type="http://schemas.openxmlformats.org/officeDocument/2006/relationships/hyperlink" Target="https://finance.yahoo.com/quote/AAPL260116P00320000/" TargetMode="External"/><Relationship Id="rId1292" Type="http://schemas.openxmlformats.org/officeDocument/2006/relationships/hyperlink" Target="https://finance.yahoo.com/quote/AAPL/options/?straddle=false&amp;strike=110&amp;type=all" TargetMode="External"/><Relationship Id="rId2136" Type="http://schemas.openxmlformats.org/officeDocument/2006/relationships/hyperlink" Target="https://finance.yahoo.com/quote/AAPL/options/?straddle=false&amp;strike=165&amp;type=all" TargetMode="External"/><Relationship Id="rId2343" Type="http://schemas.openxmlformats.org/officeDocument/2006/relationships/hyperlink" Target="https://finance.yahoo.com/quote/AAPL260918P00155000/" TargetMode="External"/><Relationship Id="rId2550" Type="http://schemas.openxmlformats.org/officeDocument/2006/relationships/hyperlink" Target="https://finance.yahoo.com/quote/AAPL/options/?straddle=false&amp;strike=35&amp;type=all" TargetMode="External"/><Relationship Id="rId3601" Type="http://schemas.openxmlformats.org/officeDocument/2006/relationships/hyperlink" Target="https://finance.yahoo.com/quote/AAPL251010C00247500/" TargetMode="External"/><Relationship Id="rId108" Type="http://schemas.openxmlformats.org/officeDocument/2006/relationships/hyperlink" Target="https://finance.yahoo.com/quote/AAPL/options/?straddle=false&amp;strike=310&amp;type=all" TargetMode="External"/><Relationship Id="rId315" Type="http://schemas.openxmlformats.org/officeDocument/2006/relationships/hyperlink" Target="https://finance.yahoo.com/quote/AAPL251024C00300000/" TargetMode="External"/><Relationship Id="rId522" Type="http://schemas.openxmlformats.org/officeDocument/2006/relationships/hyperlink" Target="https://finance.yahoo.com/quote/AAPL/options/?straddle=false&amp;strike=260&amp;type=all" TargetMode="External"/><Relationship Id="rId1152" Type="http://schemas.openxmlformats.org/officeDocument/2006/relationships/hyperlink" Target="https://finance.yahoo.com/quote/AAPL/options/?straddle=false&amp;strike=235&amp;type=all" TargetMode="External"/><Relationship Id="rId2203" Type="http://schemas.openxmlformats.org/officeDocument/2006/relationships/hyperlink" Target="https://finance.yahoo.com/quote/AAPL260918C00110000/" TargetMode="External"/><Relationship Id="rId2410" Type="http://schemas.openxmlformats.org/officeDocument/2006/relationships/hyperlink" Target="https://finance.yahoo.com/quote/AAPL/options/?straddle=false&amp;strike=360&amp;type=all" TargetMode="External"/><Relationship Id="rId1012" Type="http://schemas.openxmlformats.org/officeDocument/2006/relationships/hyperlink" Target="https://finance.yahoo.com/quote/AAPL/options/?straddle=false&amp;strike=135&amp;type=all" TargetMode="External"/><Relationship Id="rId1969" Type="http://schemas.openxmlformats.org/officeDocument/2006/relationships/hyperlink" Target="https://finance.yahoo.com/quote/AAPL260618P00150000/" TargetMode="External"/><Relationship Id="rId3184" Type="http://schemas.openxmlformats.org/officeDocument/2006/relationships/hyperlink" Target="https://finance.yahoo.com/quote/AAPL/options/?straddle=false&amp;strike=205&amp;type=all" TargetMode="External"/><Relationship Id="rId1829" Type="http://schemas.openxmlformats.org/officeDocument/2006/relationships/hyperlink" Target="https://finance.yahoo.com/quote/AAPL260618C00140000/" TargetMode="External"/><Relationship Id="rId3391" Type="http://schemas.openxmlformats.org/officeDocument/2006/relationships/hyperlink" Target="https://finance.yahoo.com/quote/AAPL271217P00330000/" TargetMode="External"/><Relationship Id="rId3044" Type="http://schemas.openxmlformats.org/officeDocument/2006/relationships/hyperlink" Target="https://finance.yahoo.com/quote/AAPL/options/?straddle=false&amp;strike=130&amp;type=all" TargetMode="External"/><Relationship Id="rId3251" Type="http://schemas.openxmlformats.org/officeDocument/2006/relationships/hyperlink" Target="https://finance.yahoo.com/quote/AAPL271217C00375000/" TargetMode="External"/><Relationship Id="rId172" Type="http://schemas.openxmlformats.org/officeDocument/2006/relationships/hyperlink" Target="https://finance.yahoo.com/quote/AAPL/options/?straddle=false&amp;strike=190&amp;type=all" TargetMode="External"/><Relationship Id="rId2060" Type="http://schemas.openxmlformats.org/officeDocument/2006/relationships/hyperlink" Target="https://finance.yahoo.com/quote/AAPL/options/?straddle=false&amp;strike=145&amp;type=all" TargetMode="External"/><Relationship Id="rId3111" Type="http://schemas.openxmlformats.org/officeDocument/2006/relationships/hyperlink" Target="https://finance.yahoo.com/quote/AAPL270617P00410000/" TargetMode="External"/><Relationship Id="rId989" Type="http://schemas.openxmlformats.org/officeDocument/2006/relationships/hyperlink" Target="https://finance.yahoo.com/quote/AAPL260116P00080000/" TargetMode="External"/><Relationship Id="rId2877" Type="http://schemas.openxmlformats.org/officeDocument/2006/relationships/hyperlink" Target="https://finance.yahoo.com/quote/AAPL270115P00330000/" TargetMode="External"/><Relationship Id="rId849" Type="http://schemas.openxmlformats.org/officeDocument/2006/relationships/hyperlink" Target="https://finance.yahoo.com/quote/AAPL260116C00085000/" TargetMode="External"/><Relationship Id="rId1479" Type="http://schemas.openxmlformats.org/officeDocument/2006/relationships/hyperlink" Target="https://finance.yahoo.com/quote/AAPL260417C00235000/" TargetMode="External"/><Relationship Id="rId1686" Type="http://schemas.openxmlformats.org/officeDocument/2006/relationships/hyperlink" Target="https://finance.yahoo.com/quote/AAPL/options/?straddle=false&amp;strike=5&amp;type=all" TargetMode="External"/><Relationship Id="rId1339" Type="http://schemas.openxmlformats.org/officeDocument/2006/relationships/hyperlink" Target="https://finance.yahoo.com/quote/AAPL260320C00260000/" TargetMode="External"/><Relationship Id="rId1893" Type="http://schemas.openxmlformats.org/officeDocument/2006/relationships/hyperlink" Target="https://finance.yahoo.com/quote/AAPL260618C00310000/" TargetMode="External"/><Relationship Id="rId2737" Type="http://schemas.openxmlformats.org/officeDocument/2006/relationships/hyperlink" Target="https://finance.yahoo.com/quote/AAPL270115C00250000/" TargetMode="External"/><Relationship Id="rId2944" Type="http://schemas.openxmlformats.org/officeDocument/2006/relationships/hyperlink" Target="https://finance.yahoo.com/quote/AAPL/options/?straddle=false&amp;strike=160&amp;type=all" TargetMode="External"/><Relationship Id="rId709" Type="http://schemas.openxmlformats.org/officeDocument/2006/relationships/hyperlink" Target="https://finance.yahoo.com/quote/AAPL251121C00310000/" TargetMode="External"/><Relationship Id="rId916" Type="http://schemas.openxmlformats.org/officeDocument/2006/relationships/hyperlink" Target="https://finance.yahoo.com/quote/AAPL/options/?straddle=false&amp;strike=250&amp;type=all" TargetMode="External"/><Relationship Id="rId1546" Type="http://schemas.openxmlformats.org/officeDocument/2006/relationships/hyperlink" Target="https://finance.yahoo.com/quote/AAPL/options/?straddle=false&amp;strike=170&amp;type=all" TargetMode="External"/><Relationship Id="rId1753" Type="http://schemas.openxmlformats.org/officeDocument/2006/relationships/hyperlink" Target="https://finance.yahoo.com/quote/AAPL260515P00220000/" TargetMode="External"/><Relationship Id="rId1960" Type="http://schemas.openxmlformats.org/officeDocument/2006/relationships/hyperlink" Target="https://finance.yahoo.com/quote/AAPL/options/?straddle=false&amp;strike=125&amp;type=all" TargetMode="External"/><Relationship Id="rId2804" Type="http://schemas.openxmlformats.org/officeDocument/2006/relationships/hyperlink" Target="https://finance.yahoo.com/quote/AAPL/options/?straddle=false&amp;strike=80&amp;type=all" TargetMode="External"/><Relationship Id="rId45" Type="http://schemas.openxmlformats.org/officeDocument/2006/relationships/hyperlink" Target="https://finance.yahoo.com/quote/AAPL251017C00215000/" TargetMode="External"/><Relationship Id="rId1406" Type="http://schemas.openxmlformats.org/officeDocument/2006/relationships/hyperlink" Target="https://finance.yahoo.com/quote/AAPL/options/?straddle=false&amp;strike=195&amp;type=all" TargetMode="External"/><Relationship Id="rId1613" Type="http://schemas.openxmlformats.org/officeDocument/2006/relationships/hyperlink" Target="https://finance.yahoo.com/quote/AAPL260515C00125000/" TargetMode="External"/><Relationship Id="rId1820" Type="http://schemas.openxmlformats.org/officeDocument/2006/relationships/hyperlink" Target="https://finance.yahoo.com/quote/AAPL/options/?straddle=false&amp;strike=115&amp;type=all" TargetMode="External"/><Relationship Id="rId3578" Type="http://schemas.openxmlformats.org/officeDocument/2006/relationships/hyperlink" Target="https://finance.yahoo.com/quote/AAPL/options/?straddle=false&amp;strike=217.5&amp;type=all" TargetMode="External"/><Relationship Id="rId499" Type="http://schemas.openxmlformats.org/officeDocument/2006/relationships/hyperlink" Target="https://finance.yahoo.com/quote/AAPL251031P00205000/" TargetMode="External"/><Relationship Id="rId2387" Type="http://schemas.openxmlformats.org/officeDocument/2006/relationships/hyperlink" Target="https://finance.yahoo.com/quote/AAPL260918P00265000/" TargetMode="External"/><Relationship Id="rId2594" Type="http://schemas.openxmlformats.org/officeDocument/2006/relationships/hyperlink" Target="https://finance.yahoo.com/quote/AAPL/options/?straddle=false&amp;strike=160&amp;type=all" TargetMode="External"/><Relationship Id="rId3438" Type="http://schemas.openxmlformats.org/officeDocument/2006/relationships/hyperlink" Target="https://finance.yahoo.com/quote/AAPL/options/?straddle=false&amp;strike=220&amp;type=all" TargetMode="External"/><Relationship Id="rId3645" Type="http://schemas.openxmlformats.org/officeDocument/2006/relationships/hyperlink" Target="https://finance.yahoo.com/quote/AAPL251010P00120000/" TargetMode="External"/><Relationship Id="rId359" Type="http://schemas.openxmlformats.org/officeDocument/2006/relationships/hyperlink" Target="https://finance.yahoo.com/quote/AAPL251024P00205000/" TargetMode="External"/><Relationship Id="rId566" Type="http://schemas.openxmlformats.org/officeDocument/2006/relationships/hyperlink" Target="https://finance.yahoo.com/quote/AAPL/options/?straddle=false&amp;strike=260&amp;type=all" TargetMode="External"/><Relationship Id="rId773" Type="http://schemas.openxmlformats.org/officeDocument/2006/relationships/hyperlink" Target="https://finance.yahoo.com/quote/AAPL251121P00215000/" TargetMode="External"/><Relationship Id="rId1196" Type="http://schemas.openxmlformats.org/officeDocument/2006/relationships/hyperlink" Target="https://finance.yahoo.com/quote/AAPL/options/?straddle=false&amp;strike=390&amp;type=all" TargetMode="External"/><Relationship Id="rId2247" Type="http://schemas.openxmlformats.org/officeDocument/2006/relationships/hyperlink" Target="https://finance.yahoo.com/quote/AAPL260918C00220000/" TargetMode="External"/><Relationship Id="rId2454" Type="http://schemas.openxmlformats.org/officeDocument/2006/relationships/hyperlink" Target="https://finance.yahoo.com/quote/AAPL/options/?straddle=false&amp;strike=120&amp;type=all" TargetMode="External"/><Relationship Id="rId3505" Type="http://schemas.openxmlformats.org/officeDocument/2006/relationships/hyperlink" Target="https://finance.yahoo.com/quote/AAPL280121P00175000/" TargetMode="External"/><Relationship Id="rId219" Type="http://schemas.openxmlformats.org/officeDocument/2006/relationships/hyperlink" Target="https://finance.yahoo.com/quote/AAPL251017P00262500/" TargetMode="External"/><Relationship Id="rId426" Type="http://schemas.openxmlformats.org/officeDocument/2006/relationships/hyperlink" Target="https://finance.yahoo.com/quote/AAPL/options/?straddle=false&amp;strike=230&amp;type=all" TargetMode="External"/><Relationship Id="rId633" Type="http://schemas.openxmlformats.org/officeDocument/2006/relationships/hyperlink" Target="https://finance.yahoo.com/quote/AAPL251121C00120000/" TargetMode="External"/><Relationship Id="rId980" Type="http://schemas.openxmlformats.org/officeDocument/2006/relationships/hyperlink" Target="https://finance.yahoo.com/quote/AAPL/options/?straddle=false&amp;strike=55&amp;type=all" TargetMode="External"/><Relationship Id="rId1056" Type="http://schemas.openxmlformats.org/officeDocument/2006/relationships/hyperlink" Target="https://finance.yahoo.com/quote/AAPL/options/?straddle=false&amp;strike=245&amp;type=all" TargetMode="External"/><Relationship Id="rId1263" Type="http://schemas.openxmlformats.org/officeDocument/2006/relationships/hyperlink" Target="https://finance.yahoo.com/quote/AAPL260220P00260000/" TargetMode="External"/><Relationship Id="rId2107" Type="http://schemas.openxmlformats.org/officeDocument/2006/relationships/hyperlink" Target="https://finance.yahoo.com/quote/AAPL260821C00330000/" TargetMode="External"/><Relationship Id="rId2314" Type="http://schemas.openxmlformats.org/officeDocument/2006/relationships/hyperlink" Target="https://finance.yahoo.com/quote/AAPL/options/?straddle=false&amp;strike=80&amp;type=all" TargetMode="External"/><Relationship Id="rId2661" Type="http://schemas.openxmlformats.org/officeDocument/2006/relationships/hyperlink" Target="https://finance.yahoo.com/quote/AAPL270115C00020000/" TargetMode="External"/><Relationship Id="rId3712" Type="http://schemas.openxmlformats.org/officeDocument/2006/relationships/hyperlink" Target="https://finance.yahoo.com/quote/AAPL/options/?straddle=false&amp;strike=252.5&amp;type=all" TargetMode="External"/><Relationship Id="rId840" Type="http://schemas.openxmlformats.org/officeDocument/2006/relationships/hyperlink" Target="https://finance.yahoo.com/quote/AAPL/options/?straddle=false&amp;strike=60&amp;type=all" TargetMode="External"/><Relationship Id="rId1470" Type="http://schemas.openxmlformats.org/officeDocument/2006/relationships/hyperlink" Target="https://finance.yahoo.com/quote/AAPL/options/?straddle=false&amp;strike=210&amp;type=all" TargetMode="External"/><Relationship Id="rId2521" Type="http://schemas.openxmlformats.org/officeDocument/2006/relationships/hyperlink" Target="https://finance.yahoo.com/quote/AAPL261218C00380000/" TargetMode="External"/><Relationship Id="rId700" Type="http://schemas.openxmlformats.org/officeDocument/2006/relationships/hyperlink" Target="https://finance.yahoo.com/quote/AAPL/options/?straddle=false&amp;strike=285&amp;type=all" TargetMode="External"/><Relationship Id="rId1123" Type="http://schemas.openxmlformats.org/officeDocument/2006/relationships/hyperlink" Target="https://finance.yahoo.com/quote/AAPL260220C00165000/" TargetMode="External"/><Relationship Id="rId1330" Type="http://schemas.openxmlformats.org/officeDocument/2006/relationships/hyperlink" Target="https://finance.yahoo.com/quote/AAPL/options/?straddle=false&amp;strike=210&amp;type=all" TargetMode="External"/><Relationship Id="rId3088" Type="http://schemas.openxmlformats.org/officeDocument/2006/relationships/hyperlink" Target="https://finance.yahoo.com/quote/AAPL/options/?straddle=false&amp;strike=280&amp;type=all" TargetMode="External"/><Relationship Id="rId3295" Type="http://schemas.openxmlformats.org/officeDocument/2006/relationships/hyperlink" Target="https://finance.yahoo.com/quote/AAPL271217P00090000/" TargetMode="External"/><Relationship Id="rId3155" Type="http://schemas.openxmlformats.org/officeDocument/2006/relationships/hyperlink" Target="https://finance.yahoo.com/quote/AAPL271217C00135000/" TargetMode="External"/><Relationship Id="rId3362" Type="http://schemas.openxmlformats.org/officeDocument/2006/relationships/hyperlink" Target="https://finance.yahoo.com/quote/AAPL/options/?straddle=false&amp;strike=255&amp;type=all" TargetMode="External"/><Relationship Id="rId283" Type="http://schemas.openxmlformats.org/officeDocument/2006/relationships/hyperlink" Target="https://finance.yahoo.com/quote/AAPL251024C00220000/" TargetMode="External"/><Relationship Id="rId490" Type="http://schemas.openxmlformats.org/officeDocument/2006/relationships/hyperlink" Target="https://finance.yahoo.com/quote/AAPL/options/?straddle=false&amp;strike=180&amp;type=all" TargetMode="External"/><Relationship Id="rId2171" Type="http://schemas.openxmlformats.org/officeDocument/2006/relationships/hyperlink" Target="https://finance.yahoo.com/quote/AAPL260821P00310000/" TargetMode="External"/><Relationship Id="rId3015" Type="http://schemas.openxmlformats.org/officeDocument/2006/relationships/hyperlink" Target="https://finance.yahoo.com/quote/AAPL270617P00060000/" TargetMode="External"/><Relationship Id="rId3222" Type="http://schemas.openxmlformats.org/officeDocument/2006/relationships/hyperlink" Target="https://finance.yahoo.com/quote/AAPL/options/?straddle=false&amp;strike=300&amp;type=all" TargetMode="External"/><Relationship Id="rId143" Type="http://schemas.openxmlformats.org/officeDocument/2006/relationships/hyperlink" Target="https://finance.yahoo.com/quote/AAPL251017P00120000/" TargetMode="External"/><Relationship Id="rId350" Type="http://schemas.openxmlformats.org/officeDocument/2006/relationships/hyperlink" Target="https://finance.yahoo.com/quote/AAPL/options/?straddle=false&amp;strike=180&amp;type=all" TargetMode="External"/><Relationship Id="rId2031" Type="http://schemas.openxmlformats.org/officeDocument/2006/relationships/hyperlink" Target="https://finance.yahoo.com/quote/AAPL260618P00320000/" TargetMode="External"/><Relationship Id="rId9" Type="http://schemas.openxmlformats.org/officeDocument/2006/relationships/hyperlink" Target="https://finance.yahoo.com/quote/AAPL251017C00125000/" TargetMode="External"/><Relationship Id="rId210" Type="http://schemas.openxmlformats.org/officeDocument/2006/relationships/hyperlink" Target="https://finance.yahoo.com/quote/AAPL/options/?straddle=false&amp;strike=250&amp;type=all" TargetMode="External"/><Relationship Id="rId2988" Type="http://schemas.openxmlformats.org/officeDocument/2006/relationships/hyperlink" Target="https://finance.yahoo.com/quote/AAPL/options/?straddle=false&amp;strike=340&amp;type=all" TargetMode="External"/><Relationship Id="rId1797" Type="http://schemas.openxmlformats.org/officeDocument/2006/relationships/hyperlink" Target="https://finance.yahoo.com/quote/AAPL260618C00060000/" TargetMode="External"/><Relationship Id="rId2848" Type="http://schemas.openxmlformats.org/officeDocument/2006/relationships/hyperlink" Target="https://finance.yahoo.com/quote/AAPL/options/?straddle=false&amp;strike=190&amp;type=all" TargetMode="External"/><Relationship Id="rId89" Type="http://schemas.openxmlformats.org/officeDocument/2006/relationships/hyperlink" Target="https://finance.yahoo.com/quote/AAPL251017C00270000/" TargetMode="External"/><Relationship Id="rId1657" Type="http://schemas.openxmlformats.org/officeDocument/2006/relationships/hyperlink" Target="https://finance.yahoo.com/quote/AAPL260515C00270000/" TargetMode="External"/><Relationship Id="rId1864" Type="http://schemas.openxmlformats.org/officeDocument/2006/relationships/hyperlink" Target="https://finance.yahoo.com/quote/AAPL/options/?straddle=false&amp;strike=225&amp;type=all" TargetMode="External"/><Relationship Id="rId2708" Type="http://schemas.openxmlformats.org/officeDocument/2006/relationships/hyperlink" Target="https://finance.yahoo.com/quote/AAPL/options/?straddle=false&amp;strike=150&amp;type=all" TargetMode="External"/><Relationship Id="rId2915" Type="http://schemas.openxmlformats.org/officeDocument/2006/relationships/hyperlink" Target="https://finance.yahoo.com/quote/AAPL270617C00090000/" TargetMode="External"/><Relationship Id="rId1517" Type="http://schemas.openxmlformats.org/officeDocument/2006/relationships/hyperlink" Target="https://finance.yahoo.com/quote/AAPL260417C00330000/" TargetMode="External"/><Relationship Id="rId1724" Type="http://schemas.openxmlformats.org/officeDocument/2006/relationships/hyperlink" Target="https://finance.yahoo.com/quote/AAPL/options/?straddle=false&amp;strike=135&amp;type=all" TargetMode="External"/><Relationship Id="rId16" Type="http://schemas.openxmlformats.org/officeDocument/2006/relationships/hyperlink" Target="https://finance.yahoo.com/quote/AAPL/options/?straddle=false&amp;strike=140&amp;type=all" TargetMode="External"/><Relationship Id="rId1931" Type="http://schemas.openxmlformats.org/officeDocument/2006/relationships/hyperlink" Target="https://finance.yahoo.com/quote/AAPL260618P00055000/" TargetMode="External"/><Relationship Id="rId3689" Type="http://schemas.openxmlformats.org/officeDocument/2006/relationships/hyperlink" Target="https://finance.yahoo.com/quote/AAPL251010P00225000/" TargetMode="External"/><Relationship Id="rId2498" Type="http://schemas.openxmlformats.org/officeDocument/2006/relationships/hyperlink" Target="https://finance.yahoo.com/quote/AAPL/options/?straddle=false&amp;strike=260&amp;type=all" TargetMode="External"/><Relationship Id="rId3549" Type="http://schemas.openxmlformats.org/officeDocument/2006/relationships/hyperlink" Target="https://finance.yahoo.com/quote/AAPL251010C00140000/" TargetMode="External"/><Relationship Id="rId677" Type="http://schemas.openxmlformats.org/officeDocument/2006/relationships/hyperlink" Target="https://finance.yahoo.com/quote/AAPL251121C00230000/" TargetMode="External"/><Relationship Id="rId2358" Type="http://schemas.openxmlformats.org/officeDocument/2006/relationships/hyperlink" Target="https://finance.yahoo.com/quote/AAPL/options/?straddle=false&amp;strike=190&amp;type=all" TargetMode="External"/><Relationship Id="rId884" Type="http://schemas.openxmlformats.org/officeDocument/2006/relationships/hyperlink" Target="https://finance.yahoo.com/quote/AAPL/options/?straddle=false&amp;strike=170&amp;type=all" TargetMode="External"/><Relationship Id="rId2565" Type="http://schemas.openxmlformats.org/officeDocument/2006/relationships/hyperlink" Target="https://finance.yahoo.com/quote/AAPL261218P00090000/" TargetMode="External"/><Relationship Id="rId2772" Type="http://schemas.openxmlformats.org/officeDocument/2006/relationships/hyperlink" Target="https://finance.yahoo.com/quote/AAPL/options/?straddle=false&amp;strike=420&amp;type=all" TargetMode="External"/><Relationship Id="rId3409" Type="http://schemas.openxmlformats.org/officeDocument/2006/relationships/hyperlink" Target="https://finance.yahoo.com/quote/AAPL280121C00110000/" TargetMode="External"/><Relationship Id="rId3616" Type="http://schemas.openxmlformats.org/officeDocument/2006/relationships/hyperlink" Target="https://finance.yahoo.com/quote/AAPL/options/?straddle=false&amp;strike=265&amp;type=all" TargetMode="External"/><Relationship Id="rId537" Type="http://schemas.openxmlformats.org/officeDocument/2006/relationships/hyperlink" Target="https://finance.yahoo.com/quote/AAPL251031P00300000/" TargetMode="External"/><Relationship Id="rId744" Type="http://schemas.openxmlformats.org/officeDocument/2006/relationships/hyperlink" Target="https://finance.yahoo.com/quote/AAPL/options/?straddle=false&amp;strike=140&amp;type=all" TargetMode="External"/><Relationship Id="rId951" Type="http://schemas.openxmlformats.org/officeDocument/2006/relationships/hyperlink" Target="https://finance.yahoo.com/quote/AAPL260116C00360000/" TargetMode="External"/><Relationship Id="rId1167" Type="http://schemas.openxmlformats.org/officeDocument/2006/relationships/hyperlink" Target="https://finance.yahoo.com/quote/AAPL260220C00275000/" TargetMode="External"/><Relationship Id="rId1374" Type="http://schemas.openxmlformats.org/officeDocument/2006/relationships/hyperlink" Target="https://finance.yahoo.com/quote/AAPL/options/?straddle=false&amp;strike=115&amp;type=all" TargetMode="External"/><Relationship Id="rId1581" Type="http://schemas.openxmlformats.org/officeDocument/2006/relationships/hyperlink" Target="https://finance.yahoo.com/quote/AAPL260417P00260000/" TargetMode="External"/><Relationship Id="rId2218" Type="http://schemas.openxmlformats.org/officeDocument/2006/relationships/hyperlink" Target="https://finance.yahoo.com/quote/AAPL/options/?straddle=false&amp;strike=145&amp;type=all" TargetMode="External"/><Relationship Id="rId2425" Type="http://schemas.openxmlformats.org/officeDocument/2006/relationships/hyperlink" Target="https://finance.yahoo.com/quote/AAPL261218C00035000/" TargetMode="External"/><Relationship Id="rId2632" Type="http://schemas.openxmlformats.org/officeDocument/2006/relationships/hyperlink" Target="https://finance.yahoo.com/quote/AAPL/options/?straddle=false&amp;strike=310&amp;type=a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C3914-89EB-47CA-8C9E-D66FBD61748A}">
  <dimension ref="A1:P1871"/>
  <sheetViews>
    <sheetView tabSelected="1" topLeftCell="A13" zoomScale="109" workbookViewId="0">
      <selection activeCell="I13" sqref="I13"/>
    </sheetView>
  </sheetViews>
  <sheetFormatPr defaultRowHeight="14.25" x14ac:dyDescent="0.45"/>
  <cols>
    <col min="1" max="1" width="19.9296875" bestFit="1" customWidth="1"/>
    <col min="2" max="2" width="19.19921875" bestFit="1" customWidth="1"/>
    <col min="3" max="3" width="5.73046875" bestFit="1" customWidth="1"/>
    <col min="4" max="4" width="7.53125" bestFit="1" customWidth="1"/>
    <col min="5" max="6" width="6.73046875" bestFit="1" customWidth="1"/>
    <col min="7" max="7" width="6.3984375" bestFit="1" customWidth="1"/>
    <col min="8" max="8" width="12.6640625" bestFit="1" customWidth="1"/>
    <col min="9" max="9" width="6.86328125" bestFit="1" customWidth="1"/>
    <col min="10" max="10" width="10.6640625" bestFit="1" customWidth="1"/>
    <col min="11" max="11" width="13.46484375" bestFit="1" customWidth="1"/>
    <col min="12" max="12" width="10.1328125" style="26" bestFit="1" customWidth="1"/>
    <col min="13" max="13" width="4.06640625" style="26" bestFit="1" customWidth="1"/>
    <col min="14" max="14" width="9.9296875" style="26" bestFit="1" customWidth="1"/>
    <col min="15" max="15" width="10.265625" style="26" bestFit="1" customWidth="1"/>
    <col min="16" max="16" width="6.73046875" bestFit="1" customWidth="1"/>
  </cols>
  <sheetData>
    <row r="1" spans="1:16" x14ac:dyDescent="0.45">
      <c r="A1" t="s">
        <v>128</v>
      </c>
      <c r="B1" s="25" t="s">
        <v>0</v>
      </c>
      <c r="C1" t="s">
        <v>119</v>
      </c>
      <c r="D1" t="s">
        <v>120</v>
      </c>
      <c r="E1" t="s">
        <v>121</v>
      </c>
      <c r="F1" t="s">
        <v>122</v>
      </c>
      <c r="G1" t="s">
        <v>123</v>
      </c>
      <c r="H1" t="s">
        <v>124</v>
      </c>
      <c r="I1" t="s">
        <v>125</v>
      </c>
      <c r="J1" t="s">
        <v>126</v>
      </c>
      <c r="K1" t="s">
        <v>127</v>
      </c>
      <c r="L1" s="26" t="s">
        <v>118</v>
      </c>
      <c r="M1" s="26" t="s">
        <v>129</v>
      </c>
      <c r="N1" s="27" t="s">
        <v>281</v>
      </c>
      <c r="O1" s="26" t="s">
        <v>282</v>
      </c>
      <c r="P1">
        <v>258.02</v>
      </c>
    </row>
    <row r="2" spans="1:16" x14ac:dyDescent="0.45">
      <c r="A2" s="1" t="s">
        <v>1</v>
      </c>
      <c r="B2" s="2">
        <v>45939.404166666667</v>
      </c>
      <c r="C2" s="3">
        <v>110</v>
      </c>
      <c r="D2" s="4">
        <v>120.04</v>
      </c>
      <c r="E2" s="4">
        <v>147.30000000000001</v>
      </c>
      <c r="F2" s="4">
        <v>148.9</v>
      </c>
      <c r="G2" s="4">
        <v>0</v>
      </c>
      <c r="H2" s="5">
        <v>0</v>
      </c>
      <c r="I2" s="4">
        <v>0</v>
      </c>
      <c r="J2" s="4">
        <v>1</v>
      </c>
      <c r="K2" s="5">
        <v>2.5547</v>
      </c>
      <c r="L2" s="26" t="b">
        <f>IF(M2="call",C2&lt;$P$1,C2&gt;$P$1)</f>
        <v>1</v>
      </c>
      <c r="M2" s="26" t="str">
        <f>IF(MID(A2,11,1)="C","call","put")</f>
        <v>call</v>
      </c>
      <c r="N2" s="28">
        <f t="shared" ref="N2:N61" si="0">DATE(MID(A2,5,2)+2000,MID(A2,7,2),MID(A2,9,2))</f>
        <v>45940</v>
      </c>
      <c r="O2" s="29">
        <f>N2-DATE(2025,10,5)</f>
        <v>5</v>
      </c>
    </row>
    <row r="3" spans="1:16" x14ac:dyDescent="0.45">
      <c r="A3" s="1" t="s">
        <v>2</v>
      </c>
      <c r="B3" s="4" t="s">
        <v>3</v>
      </c>
      <c r="C3" s="3">
        <v>120</v>
      </c>
      <c r="D3" s="4">
        <v>136.1</v>
      </c>
      <c r="E3" s="4">
        <v>137.35</v>
      </c>
      <c r="F3" s="4">
        <v>138.9</v>
      </c>
      <c r="G3" s="6">
        <v>0</v>
      </c>
      <c r="H3" s="7">
        <v>0</v>
      </c>
      <c r="I3" s="4">
        <v>0</v>
      </c>
      <c r="J3" s="4">
        <v>7</v>
      </c>
      <c r="K3" s="5">
        <v>2.3828</v>
      </c>
      <c r="L3" s="26" t="b">
        <f t="shared" ref="L3:L63" si="1">IF(M3="call",C3&lt;$P$1,C3&gt;$P$1)</f>
        <v>1</v>
      </c>
      <c r="M3" s="26" t="str">
        <f t="shared" ref="M3:M62" si="2">IF(MID(A3,11,1)="C","call","put")</f>
        <v>call</v>
      </c>
      <c r="N3" s="28">
        <f t="shared" si="0"/>
        <v>45940</v>
      </c>
      <c r="O3" s="29">
        <f t="shared" ref="O3:O63" si="3">N3-DATE(2025,10,5)</f>
        <v>5</v>
      </c>
    </row>
    <row r="4" spans="1:16" x14ac:dyDescent="0.45">
      <c r="A4" s="1" t="s">
        <v>4</v>
      </c>
      <c r="B4" s="4" t="s">
        <v>5</v>
      </c>
      <c r="C4" s="3">
        <v>135</v>
      </c>
      <c r="D4" s="4">
        <v>120.55</v>
      </c>
      <c r="E4" s="4">
        <v>122.3</v>
      </c>
      <c r="F4" s="4">
        <v>123.95</v>
      </c>
      <c r="G4" s="4">
        <v>0</v>
      </c>
      <c r="H4" s="5">
        <v>0</v>
      </c>
      <c r="I4" s="4">
        <v>0</v>
      </c>
      <c r="J4" s="4">
        <v>2</v>
      </c>
      <c r="K4" s="5">
        <v>2.0390999999999999</v>
      </c>
      <c r="L4" s="26" t="b">
        <f t="shared" si="1"/>
        <v>1</v>
      </c>
      <c r="M4" s="26" t="str">
        <f t="shared" si="2"/>
        <v>call</v>
      </c>
      <c r="N4" s="28">
        <f t="shared" si="0"/>
        <v>45940</v>
      </c>
      <c r="O4" s="29">
        <f t="shared" si="3"/>
        <v>5</v>
      </c>
    </row>
    <row r="5" spans="1:16" x14ac:dyDescent="0.45">
      <c r="A5" s="1" t="s">
        <v>6</v>
      </c>
      <c r="B5" s="2">
        <v>45667.519444444442</v>
      </c>
      <c r="C5" s="3">
        <v>140</v>
      </c>
      <c r="D5" s="4">
        <v>116.35</v>
      </c>
      <c r="E5" s="4">
        <v>117.35</v>
      </c>
      <c r="F5" s="4">
        <v>118.9</v>
      </c>
      <c r="G5" s="6">
        <v>0</v>
      </c>
      <c r="H5" s="7">
        <v>0</v>
      </c>
      <c r="I5" s="4">
        <v>1</v>
      </c>
      <c r="J5" s="4">
        <v>4</v>
      </c>
      <c r="K5" s="5">
        <v>1.9336</v>
      </c>
      <c r="L5" s="26" t="b">
        <f t="shared" si="1"/>
        <v>1</v>
      </c>
      <c r="M5" s="26" t="str">
        <f t="shared" si="2"/>
        <v>call</v>
      </c>
      <c r="N5" s="28">
        <f t="shared" si="0"/>
        <v>45940</v>
      </c>
      <c r="O5" s="29">
        <f t="shared" si="3"/>
        <v>5</v>
      </c>
    </row>
    <row r="6" spans="1:16" x14ac:dyDescent="0.45">
      <c r="A6" s="1" t="s">
        <v>7</v>
      </c>
      <c r="B6" s="4" t="s">
        <v>8</v>
      </c>
      <c r="C6" s="3">
        <v>150</v>
      </c>
      <c r="D6" s="4">
        <v>87.76</v>
      </c>
      <c r="E6" s="4">
        <v>107.35</v>
      </c>
      <c r="F6" s="4">
        <v>108.95</v>
      </c>
      <c r="G6" s="4">
        <v>0</v>
      </c>
      <c r="H6" s="5">
        <v>0</v>
      </c>
      <c r="I6" s="4">
        <v>0</v>
      </c>
      <c r="J6" s="4">
        <v>1</v>
      </c>
      <c r="K6" s="5">
        <v>1.7793000000000001</v>
      </c>
      <c r="L6" s="26" t="b">
        <f t="shared" si="1"/>
        <v>1</v>
      </c>
      <c r="M6" s="26" t="str">
        <f t="shared" si="2"/>
        <v>call</v>
      </c>
      <c r="N6" s="28">
        <f t="shared" si="0"/>
        <v>45940</v>
      </c>
      <c r="O6" s="29">
        <f t="shared" si="3"/>
        <v>5</v>
      </c>
    </row>
    <row r="7" spans="1:16" x14ac:dyDescent="0.45">
      <c r="A7" s="1" t="s">
        <v>9</v>
      </c>
      <c r="B7" s="4" t="s">
        <v>10</v>
      </c>
      <c r="C7" s="3">
        <v>160</v>
      </c>
      <c r="D7" s="4">
        <v>93.91</v>
      </c>
      <c r="E7" s="4">
        <v>97.4</v>
      </c>
      <c r="F7" s="4">
        <v>98.95</v>
      </c>
      <c r="G7" s="4">
        <v>0</v>
      </c>
      <c r="H7" s="5">
        <v>0</v>
      </c>
      <c r="I7" s="4">
        <v>1</v>
      </c>
      <c r="J7" s="4">
        <v>6</v>
      </c>
      <c r="K7" s="5">
        <v>1.6211</v>
      </c>
      <c r="L7" s="26" t="b">
        <f t="shared" si="1"/>
        <v>1</v>
      </c>
      <c r="M7" s="26" t="str">
        <f t="shared" si="2"/>
        <v>call</v>
      </c>
      <c r="N7" s="28">
        <f t="shared" si="0"/>
        <v>45940</v>
      </c>
      <c r="O7" s="29">
        <f t="shared" si="3"/>
        <v>5</v>
      </c>
    </row>
    <row r="8" spans="1:16" x14ac:dyDescent="0.45">
      <c r="A8" s="1" t="s">
        <v>11</v>
      </c>
      <c r="B8" s="2">
        <v>45667.565972222219</v>
      </c>
      <c r="C8" s="3">
        <v>165</v>
      </c>
      <c r="D8" s="4">
        <v>91.99</v>
      </c>
      <c r="E8" s="4">
        <v>92.35</v>
      </c>
      <c r="F8" s="4">
        <v>93.95</v>
      </c>
      <c r="G8" s="4">
        <v>0</v>
      </c>
      <c r="H8" s="5">
        <v>0</v>
      </c>
      <c r="I8" s="4">
        <v>1</v>
      </c>
      <c r="J8" s="4">
        <v>0</v>
      </c>
      <c r="K8" s="5">
        <v>1.4922</v>
      </c>
      <c r="L8" s="26" t="b">
        <f t="shared" si="1"/>
        <v>1</v>
      </c>
      <c r="M8" s="26" t="str">
        <f t="shared" si="2"/>
        <v>call</v>
      </c>
      <c r="N8" s="28">
        <f t="shared" si="0"/>
        <v>45940</v>
      </c>
      <c r="O8" s="29">
        <f t="shared" si="3"/>
        <v>5</v>
      </c>
    </row>
    <row r="9" spans="1:16" x14ac:dyDescent="0.45">
      <c r="A9" s="1" t="s">
        <v>12</v>
      </c>
      <c r="B9" s="2">
        <v>45698.643750000003</v>
      </c>
      <c r="C9" s="3">
        <v>170</v>
      </c>
      <c r="D9" s="4">
        <v>87.87</v>
      </c>
      <c r="E9" s="4">
        <v>87.4</v>
      </c>
      <c r="F9" s="4">
        <v>88.95</v>
      </c>
      <c r="G9" s="4">
        <v>0</v>
      </c>
      <c r="H9" s="5">
        <v>0</v>
      </c>
      <c r="I9" s="4">
        <v>2</v>
      </c>
      <c r="J9" s="4">
        <v>3</v>
      </c>
      <c r="K9" s="5">
        <v>1.4355</v>
      </c>
      <c r="L9" s="26" t="b">
        <f t="shared" si="1"/>
        <v>1</v>
      </c>
      <c r="M9" s="26" t="str">
        <f t="shared" si="2"/>
        <v>call</v>
      </c>
      <c r="N9" s="28">
        <f t="shared" si="0"/>
        <v>45940</v>
      </c>
      <c r="O9" s="29">
        <f t="shared" si="3"/>
        <v>5</v>
      </c>
    </row>
    <row r="10" spans="1:16" x14ac:dyDescent="0.45">
      <c r="A10" s="1" t="s">
        <v>13</v>
      </c>
      <c r="B10" s="2">
        <v>45726.567361111112</v>
      </c>
      <c r="C10" s="3">
        <v>175</v>
      </c>
      <c r="D10" s="4">
        <v>83.05</v>
      </c>
      <c r="E10" s="4">
        <v>82.35</v>
      </c>
      <c r="F10" s="4">
        <v>84</v>
      </c>
      <c r="G10" s="6">
        <v>1.88</v>
      </c>
      <c r="H10" s="7">
        <v>2.3199999999999998E-2</v>
      </c>
      <c r="I10" s="4">
        <v>2</v>
      </c>
      <c r="J10" s="4">
        <v>4</v>
      </c>
      <c r="K10" s="5">
        <v>1.3456999999999999</v>
      </c>
      <c r="L10" s="26" t="b">
        <f t="shared" si="1"/>
        <v>1</v>
      </c>
      <c r="M10" s="26" t="str">
        <f t="shared" si="2"/>
        <v>call</v>
      </c>
      <c r="N10" s="28">
        <f t="shared" si="0"/>
        <v>45940</v>
      </c>
      <c r="O10" s="29">
        <f t="shared" si="3"/>
        <v>5</v>
      </c>
    </row>
    <row r="11" spans="1:16" x14ac:dyDescent="0.45">
      <c r="A11" s="1" t="s">
        <v>14</v>
      </c>
      <c r="B11" s="4" t="s">
        <v>15</v>
      </c>
      <c r="C11" s="3">
        <v>180</v>
      </c>
      <c r="D11" s="4">
        <v>74.95</v>
      </c>
      <c r="E11" s="4">
        <v>77.400000000000006</v>
      </c>
      <c r="F11" s="4">
        <v>78.95</v>
      </c>
      <c r="G11" s="4">
        <v>0</v>
      </c>
      <c r="H11" s="5">
        <v>0</v>
      </c>
      <c r="I11" s="4">
        <v>2</v>
      </c>
      <c r="J11" s="4">
        <v>45</v>
      </c>
      <c r="K11" s="5">
        <v>1.2578</v>
      </c>
      <c r="L11" s="26" t="b">
        <f t="shared" si="1"/>
        <v>1</v>
      </c>
      <c r="M11" s="26" t="str">
        <f t="shared" si="2"/>
        <v>call</v>
      </c>
      <c r="N11" s="28">
        <f t="shared" si="0"/>
        <v>45940</v>
      </c>
      <c r="O11" s="29">
        <f t="shared" si="3"/>
        <v>5</v>
      </c>
    </row>
    <row r="12" spans="1:16" x14ac:dyDescent="0.45">
      <c r="A12" s="1" t="s">
        <v>16</v>
      </c>
      <c r="B12" s="2">
        <v>45698.458333333336</v>
      </c>
      <c r="C12" s="3">
        <v>185</v>
      </c>
      <c r="D12" s="4">
        <v>71.47</v>
      </c>
      <c r="E12" s="4">
        <v>72.349999999999994</v>
      </c>
      <c r="F12" s="4">
        <v>74</v>
      </c>
      <c r="G12" s="4">
        <v>0</v>
      </c>
      <c r="H12" s="5">
        <v>0</v>
      </c>
      <c r="I12" s="4">
        <v>1</v>
      </c>
      <c r="J12" s="4">
        <v>5</v>
      </c>
      <c r="K12" s="5">
        <v>1.1738</v>
      </c>
      <c r="L12" s="26" t="b">
        <f t="shared" si="1"/>
        <v>1</v>
      </c>
      <c r="M12" s="26" t="str">
        <f t="shared" si="2"/>
        <v>call</v>
      </c>
      <c r="N12" s="28">
        <f t="shared" si="0"/>
        <v>45940</v>
      </c>
      <c r="O12" s="29">
        <f t="shared" si="3"/>
        <v>5</v>
      </c>
    </row>
    <row r="13" spans="1:16" x14ac:dyDescent="0.45">
      <c r="A13" s="1" t="s">
        <v>17</v>
      </c>
      <c r="B13" s="2">
        <v>45726.578472222223</v>
      </c>
      <c r="C13" s="3">
        <v>190</v>
      </c>
      <c r="D13" s="4">
        <v>67.430000000000007</v>
      </c>
      <c r="E13" s="4">
        <v>67.650000000000006</v>
      </c>
      <c r="F13" s="4">
        <v>69</v>
      </c>
      <c r="G13" s="4">
        <v>-0.87</v>
      </c>
      <c r="H13" s="5">
        <v>-1.2699999999999999E-2</v>
      </c>
      <c r="I13" s="4">
        <v>1</v>
      </c>
      <c r="J13" s="4">
        <v>25</v>
      </c>
      <c r="K13" s="5">
        <v>1.2051000000000001</v>
      </c>
      <c r="L13" s="26" t="b">
        <f t="shared" si="1"/>
        <v>1</v>
      </c>
      <c r="M13" s="26" t="str">
        <f t="shared" si="2"/>
        <v>call</v>
      </c>
      <c r="N13" s="28">
        <f t="shared" si="0"/>
        <v>45940</v>
      </c>
      <c r="O13" s="29">
        <f t="shared" si="3"/>
        <v>5</v>
      </c>
    </row>
    <row r="14" spans="1:16" x14ac:dyDescent="0.45">
      <c r="A14" s="1" t="s">
        <v>18</v>
      </c>
      <c r="B14" s="2">
        <v>45726.598611111112</v>
      </c>
      <c r="C14" s="3">
        <v>195</v>
      </c>
      <c r="D14" s="4">
        <v>63.37</v>
      </c>
      <c r="E14" s="4">
        <v>62.4</v>
      </c>
      <c r="F14" s="4">
        <v>63.75</v>
      </c>
      <c r="G14" s="6">
        <v>0.63</v>
      </c>
      <c r="H14" s="7">
        <v>0.01</v>
      </c>
      <c r="I14" s="4">
        <v>2</v>
      </c>
      <c r="J14" s="4">
        <v>109</v>
      </c>
      <c r="K14" s="5">
        <v>0.88280000000000003</v>
      </c>
      <c r="L14" s="26" t="b">
        <f t="shared" si="1"/>
        <v>1</v>
      </c>
      <c r="M14" s="26" t="str">
        <f t="shared" si="2"/>
        <v>call</v>
      </c>
      <c r="N14" s="28">
        <f t="shared" si="0"/>
        <v>45940</v>
      </c>
      <c r="O14" s="29">
        <f t="shared" si="3"/>
        <v>5</v>
      </c>
    </row>
    <row r="15" spans="1:16" x14ac:dyDescent="0.45">
      <c r="A15" s="1" t="s">
        <v>19</v>
      </c>
      <c r="B15" s="2">
        <v>45726.535416666666</v>
      </c>
      <c r="C15" s="3">
        <v>200</v>
      </c>
      <c r="D15" s="4">
        <v>58.95</v>
      </c>
      <c r="E15" s="4">
        <v>57.45</v>
      </c>
      <c r="F15" s="4">
        <v>58.7</v>
      </c>
      <c r="G15" s="8">
        <v>0.67</v>
      </c>
      <c r="H15" s="9">
        <v>1.15E-2</v>
      </c>
      <c r="I15" s="4">
        <v>79</v>
      </c>
      <c r="J15" s="4">
        <v>148</v>
      </c>
      <c r="K15" s="5">
        <v>0.80859999999999999</v>
      </c>
      <c r="L15" s="26" t="b">
        <f t="shared" si="1"/>
        <v>1</v>
      </c>
      <c r="M15" s="26" t="str">
        <f t="shared" si="2"/>
        <v>call</v>
      </c>
      <c r="N15" s="28">
        <f t="shared" si="0"/>
        <v>45940</v>
      </c>
      <c r="O15" s="29">
        <f t="shared" si="3"/>
        <v>5</v>
      </c>
    </row>
    <row r="16" spans="1:16" x14ac:dyDescent="0.45">
      <c r="A16" s="1" t="s">
        <v>20</v>
      </c>
      <c r="B16" s="2">
        <v>45726.660416666666</v>
      </c>
      <c r="C16" s="3">
        <v>205</v>
      </c>
      <c r="D16" s="4">
        <v>52.97</v>
      </c>
      <c r="E16" s="4">
        <v>52.7</v>
      </c>
      <c r="F16" s="4">
        <v>54</v>
      </c>
      <c r="G16" s="6">
        <v>0.25</v>
      </c>
      <c r="H16" s="7">
        <v>4.7000000000000002E-3</v>
      </c>
      <c r="I16" s="4">
        <v>6</v>
      </c>
      <c r="J16" s="4">
        <v>66</v>
      </c>
      <c r="K16" s="5">
        <v>0.95609999999999995</v>
      </c>
      <c r="L16" s="26" t="b">
        <f t="shared" si="1"/>
        <v>1</v>
      </c>
      <c r="M16" s="26" t="str">
        <f t="shared" si="2"/>
        <v>call</v>
      </c>
      <c r="N16" s="28">
        <f t="shared" si="0"/>
        <v>45940</v>
      </c>
      <c r="O16" s="29">
        <f t="shared" si="3"/>
        <v>5</v>
      </c>
    </row>
    <row r="17" spans="1:15" x14ac:dyDescent="0.45">
      <c r="A17" s="1" t="s">
        <v>21</v>
      </c>
      <c r="B17" s="2">
        <v>45726.622916666667</v>
      </c>
      <c r="C17" s="3">
        <v>210</v>
      </c>
      <c r="D17" s="4">
        <v>48.66</v>
      </c>
      <c r="E17" s="4">
        <v>47.4</v>
      </c>
      <c r="F17" s="4">
        <v>48.6</v>
      </c>
      <c r="G17" s="6">
        <v>1.1499999999999999</v>
      </c>
      <c r="H17" s="7">
        <v>2.4199999999999999E-2</v>
      </c>
      <c r="I17" s="4">
        <v>105</v>
      </c>
      <c r="J17" s="4">
        <v>195</v>
      </c>
      <c r="K17" s="5">
        <v>0.96730000000000005</v>
      </c>
      <c r="L17" s="26" t="b">
        <f t="shared" si="1"/>
        <v>1</v>
      </c>
      <c r="M17" s="26" t="str">
        <f t="shared" si="2"/>
        <v>call</v>
      </c>
      <c r="N17" s="28">
        <f t="shared" si="0"/>
        <v>45940</v>
      </c>
      <c r="O17" s="29">
        <f t="shared" si="3"/>
        <v>5</v>
      </c>
    </row>
    <row r="18" spans="1:15" x14ac:dyDescent="0.45">
      <c r="A18" s="1" t="s">
        <v>22</v>
      </c>
      <c r="B18" s="2">
        <v>45726.645138888889</v>
      </c>
      <c r="C18" s="3">
        <v>215</v>
      </c>
      <c r="D18" s="4">
        <v>43.1</v>
      </c>
      <c r="E18" s="4">
        <v>42.4</v>
      </c>
      <c r="F18" s="4">
        <v>44.05</v>
      </c>
      <c r="G18" s="6">
        <v>0.35</v>
      </c>
      <c r="H18" s="7">
        <v>8.2000000000000007E-3</v>
      </c>
      <c r="I18" s="4">
        <v>25</v>
      </c>
      <c r="J18" s="4">
        <v>334</v>
      </c>
      <c r="K18" s="5">
        <v>0.72460000000000002</v>
      </c>
      <c r="L18" s="26" t="b">
        <f t="shared" si="1"/>
        <v>1</v>
      </c>
      <c r="M18" s="26" t="str">
        <f t="shared" si="2"/>
        <v>call</v>
      </c>
      <c r="N18" s="28">
        <f t="shared" si="0"/>
        <v>45940</v>
      </c>
      <c r="O18" s="29">
        <f t="shared" si="3"/>
        <v>5</v>
      </c>
    </row>
    <row r="19" spans="1:15" x14ac:dyDescent="0.45">
      <c r="A19" s="1" t="s">
        <v>23</v>
      </c>
      <c r="B19" s="2">
        <v>45726.517361111109</v>
      </c>
      <c r="C19" s="3">
        <v>217.5</v>
      </c>
      <c r="D19" s="4">
        <v>40.78</v>
      </c>
      <c r="E19" s="4">
        <v>40.049999999999997</v>
      </c>
      <c r="F19" s="4">
        <v>41.2</v>
      </c>
      <c r="G19" s="6">
        <v>0.93</v>
      </c>
      <c r="H19" s="7">
        <v>2.3300000000000001E-2</v>
      </c>
      <c r="I19" s="4">
        <v>101</v>
      </c>
      <c r="J19" s="4">
        <v>11</v>
      </c>
      <c r="K19" s="5">
        <v>0.61909999999999998</v>
      </c>
      <c r="L19" s="26" t="b">
        <f t="shared" si="1"/>
        <v>1</v>
      </c>
      <c r="M19" s="26" t="str">
        <f t="shared" si="2"/>
        <v>call</v>
      </c>
      <c r="N19" s="28">
        <f t="shared" si="0"/>
        <v>45940</v>
      </c>
      <c r="O19" s="29">
        <f t="shared" si="3"/>
        <v>5</v>
      </c>
    </row>
    <row r="20" spans="1:15" x14ac:dyDescent="0.45">
      <c r="A20" s="1" t="s">
        <v>24</v>
      </c>
      <c r="B20" s="2">
        <v>45726.661805555559</v>
      </c>
      <c r="C20" s="3">
        <v>220</v>
      </c>
      <c r="D20" s="4">
        <v>38.1</v>
      </c>
      <c r="E20" s="4">
        <v>37.75</v>
      </c>
      <c r="F20" s="4">
        <v>38.450000000000003</v>
      </c>
      <c r="G20" s="6">
        <v>0</v>
      </c>
      <c r="H20" s="7">
        <v>0</v>
      </c>
      <c r="I20" s="4">
        <v>409</v>
      </c>
      <c r="J20" s="4">
        <v>925</v>
      </c>
      <c r="K20" s="5">
        <v>0.56059999999999999</v>
      </c>
      <c r="L20" s="26" t="b">
        <f t="shared" si="1"/>
        <v>1</v>
      </c>
      <c r="M20" s="26" t="str">
        <f t="shared" si="2"/>
        <v>call</v>
      </c>
      <c r="N20" s="28">
        <f t="shared" si="0"/>
        <v>45940</v>
      </c>
      <c r="O20" s="29">
        <f t="shared" si="3"/>
        <v>5</v>
      </c>
    </row>
    <row r="21" spans="1:15" x14ac:dyDescent="0.45">
      <c r="A21" s="1" t="s">
        <v>25</v>
      </c>
      <c r="B21" s="2">
        <v>45726.662499999999</v>
      </c>
      <c r="C21" s="3">
        <v>222.5</v>
      </c>
      <c r="D21" s="4">
        <v>35.22</v>
      </c>
      <c r="E21" s="4">
        <v>35.1</v>
      </c>
      <c r="F21" s="4">
        <v>36.25</v>
      </c>
      <c r="G21" s="6">
        <v>-0.08</v>
      </c>
      <c r="H21" s="7">
        <v>-2.3E-3</v>
      </c>
      <c r="I21" s="4">
        <v>271</v>
      </c>
      <c r="J21" s="4">
        <v>51</v>
      </c>
      <c r="K21" s="5">
        <v>0.58009999999999995</v>
      </c>
      <c r="L21" s="26" t="b">
        <f t="shared" si="1"/>
        <v>1</v>
      </c>
      <c r="M21" s="26" t="str">
        <f t="shared" si="2"/>
        <v>call</v>
      </c>
      <c r="N21" s="28">
        <f t="shared" si="0"/>
        <v>45940</v>
      </c>
      <c r="O21" s="29">
        <f t="shared" si="3"/>
        <v>5</v>
      </c>
    </row>
    <row r="22" spans="1:15" x14ac:dyDescent="0.45">
      <c r="A22" s="1" t="s">
        <v>26</v>
      </c>
      <c r="B22" s="2">
        <v>45726.658333333333</v>
      </c>
      <c r="C22" s="3">
        <v>225</v>
      </c>
      <c r="D22" s="4">
        <v>33.049999999999997</v>
      </c>
      <c r="E22" s="4">
        <v>32.65</v>
      </c>
      <c r="F22" s="4">
        <v>33.799999999999997</v>
      </c>
      <c r="G22" s="8">
        <v>0.1</v>
      </c>
      <c r="H22" s="9">
        <v>3.0000000000000001E-3</v>
      </c>
      <c r="I22" s="4">
        <v>245</v>
      </c>
      <c r="J22" s="4">
        <v>710</v>
      </c>
      <c r="K22" s="5">
        <v>0.56840000000000002</v>
      </c>
      <c r="L22" s="26" t="b">
        <f t="shared" si="1"/>
        <v>1</v>
      </c>
      <c r="M22" s="26" t="str">
        <f t="shared" si="2"/>
        <v>call</v>
      </c>
      <c r="N22" s="28">
        <f t="shared" si="0"/>
        <v>45940</v>
      </c>
      <c r="O22" s="29">
        <f t="shared" si="3"/>
        <v>5</v>
      </c>
    </row>
    <row r="23" spans="1:15" x14ac:dyDescent="0.45">
      <c r="A23" s="1" t="s">
        <v>27</v>
      </c>
      <c r="B23" s="2">
        <v>45726.649305555555</v>
      </c>
      <c r="C23" s="3">
        <v>227.5</v>
      </c>
      <c r="D23" s="4">
        <v>30.86</v>
      </c>
      <c r="E23" s="4">
        <v>30.45</v>
      </c>
      <c r="F23" s="4">
        <v>31.05</v>
      </c>
      <c r="G23" s="6">
        <v>0.41</v>
      </c>
      <c r="H23" s="7">
        <v>1.35E-2</v>
      </c>
      <c r="I23" s="10">
        <v>1303</v>
      </c>
      <c r="J23" s="4">
        <v>237</v>
      </c>
      <c r="K23" s="5">
        <v>0.54</v>
      </c>
      <c r="L23" s="26" t="b">
        <f t="shared" si="1"/>
        <v>1</v>
      </c>
      <c r="M23" s="26" t="str">
        <f t="shared" si="2"/>
        <v>call</v>
      </c>
      <c r="N23" s="28">
        <f t="shared" si="0"/>
        <v>45940</v>
      </c>
      <c r="O23" s="29">
        <f t="shared" si="3"/>
        <v>5</v>
      </c>
    </row>
    <row r="24" spans="1:15" x14ac:dyDescent="0.45">
      <c r="A24" s="1" t="s">
        <v>28</v>
      </c>
      <c r="B24" s="2">
        <v>45726.662499999999</v>
      </c>
      <c r="C24" s="3">
        <v>230</v>
      </c>
      <c r="D24" s="4">
        <v>27.79</v>
      </c>
      <c r="E24" s="4">
        <v>28.1</v>
      </c>
      <c r="F24" s="4">
        <v>28.5</v>
      </c>
      <c r="G24" s="6">
        <v>0.14000000000000001</v>
      </c>
      <c r="H24" s="7">
        <v>5.1000000000000004E-3</v>
      </c>
      <c r="I24" s="10">
        <v>1350</v>
      </c>
      <c r="J24" s="10">
        <v>1541</v>
      </c>
      <c r="K24" s="5">
        <v>0.52</v>
      </c>
      <c r="L24" s="26" t="b">
        <f t="shared" si="1"/>
        <v>1</v>
      </c>
      <c r="M24" s="26" t="str">
        <f t="shared" si="2"/>
        <v>call</v>
      </c>
      <c r="N24" s="28">
        <f t="shared" si="0"/>
        <v>45940</v>
      </c>
      <c r="O24" s="29">
        <f t="shared" si="3"/>
        <v>5</v>
      </c>
    </row>
    <row r="25" spans="1:15" x14ac:dyDescent="0.45">
      <c r="A25" s="1" t="s">
        <v>29</v>
      </c>
      <c r="B25" s="2">
        <v>45726.663888888892</v>
      </c>
      <c r="C25" s="3">
        <v>232.5</v>
      </c>
      <c r="D25" s="4">
        <v>25.41</v>
      </c>
      <c r="E25" s="4">
        <v>25.45</v>
      </c>
      <c r="F25" s="4">
        <v>26.35</v>
      </c>
      <c r="G25" s="8">
        <v>-0.39</v>
      </c>
      <c r="H25" s="9">
        <v>-1.5100000000000001E-2</v>
      </c>
      <c r="I25" s="4">
        <v>47</v>
      </c>
      <c r="J25" s="4">
        <v>295</v>
      </c>
      <c r="K25" s="5">
        <v>0.51029999999999998</v>
      </c>
      <c r="L25" s="26" t="b">
        <f t="shared" si="1"/>
        <v>1</v>
      </c>
      <c r="M25" s="26" t="str">
        <f t="shared" si="2"/>
        <v>call</v>
      </c>
      <c r="N25" s="28">
        <f t="shared" si="0"/>
        <v>45940</v>
      </c>
      <c r="O25" s="29">
        <f t="shared" si="3"/>
        <v>5</v>
      </c>
    </row>
    <row r="26" spans="1:15" x14ac:dyDescent="0.45">
      <c r="A26" s="1" t="s">
        <v>30</v>
      </c>
      <c r="B26" s="2">
        <v>45726.664583333331</v>
      </c>
      <c r="C26" s="3">
        <v>235</v>
      </c>
      <c r="D26" s="4">
        <v>22.96</v>
      </c>
      <c r="E26" s="4">
        <v>22.5</v>
      </c>
      <c r="F26" s="4">
        <v>23.5</v>
      </c>
      <c r="G26" s="6">
        <v>0.34</v>
      </c>
      <c r="H26" s="7">
        <v>1.4999999999999999E-2</v>
      </c>
      <c r="I26" s="4">
        <v>116</v>
      </c>
      <c r="J26" s="10">
        <v>2370</v>
      </c>
      <c r="K26" s="5">
        <v>0.49320000000000003</v>
      </c>
      <c r="L26" s="26" t="b">
        <f t="shared" si="1"/>
        <v>1</v>
      </c>
      <c r="M26" s="26" t="str">
        <f t="shared" si="2"/>
        <v>call</v>
      </c>
      <c r="N26" s="28">
        <f t="shared" si="0"/>
        <v>45940</v>
      </c>
      <c r="O26" s="29">
        <f t="shared" si="3"/>
        <v>5</v>
      </c>
    </row>
    <row r="27" spans="1:15" x14ac:dyDescent="0.45">
      <c r="A27" s="1" t="s">
        <v>31</v>
      </c>
      <c r="B27" s="2">
        <v>45726.662499999999</v>
      </c>
      <c r="C27" s="3">
        <v>237.5</v>
      </c>
      <c r="D27" s="4">
        <v>20.61</v>
      </c>
      <c r="E27" s="4">
        <v>20.149999999999999</v>
      </c>
      <c r="F27" s="4">
        <v>21.2</v>
      </c>
      <c r="G27" s="8">
        <v>-0.17</v>
      </c>
      <c r="H27" s="9">
        <v>-8.2000000000000007E-3</v>
      </c>
      <c r="I27" s="4">
        <v>260</v>
      </c>
      <c r="J27" s="4">
        <v>127</v>
      </c>
      <c r="K27" s="5">
        <v>0.49</v>
      </c>
      <c r="L27" s="26" t="b">
        <f t="shared" si="1"/>
        <v>1</v>
      </c>
      <c r="M27" s="26" t="str">
        <f t="shared" si="2"/>
        <v>call</v>
      </c>
      <c r="N27" s="28">
        <f t="shared" si="0"/>
        <v>45940</v>
      </c>
      <c r="O27" s="29">
        <f t="shared" si="3"/>
        <v>5</v>
      </c>
    </row>
    <row r="28" spans="1:15" x14ac:dyDescent="0.45">
      <c r="A28" s="1" t="s">
        <v>32</v>
      </c>
      <c r="B28" s="2">
        <v>45726.664583333331</v>
      </c>
      <c r="C28" s="3">
        <v>240</v>
      </c>
      <c r="D28" s="4">
        <v>18.28</v>
      </c>
      <c r="E28" s="4">
        <v>18.2</v>
      </c>
      <c r="F28" s="4">
        <v>18.600000000000001</v>
      </c>
      <c r="G28" s="6">
        <v>0.71</v>
      </c>
      <c r="H28" s="7">
        <v>4.0399999999999998E-2</v>
      </c>
      <c r="I28" s="4">
        <v>547</v>
      </c>
      <c r="J28" s="10">
        <v>2474</v>
      </c>
      <c r="K28" s="5">
        <v>0.42480000000000001</v>
      </c>
      <c r="L28" s="26" t="b">
        <f t="shared" si="1"/>
        <v>1</v>
      </c>
      <c r="M28" s="26" t="str">
        <f t="shared" si="2"/>
        <v>call</v>
      </c>
      <c r="N28" s="28">
        <f t="shared" si="0"/>
        <v>45940</v>
      </c>
      <c r="O28" s="29">
        <f t="shared" si="3"/>
        <v>5</v>
      </c>
    </row>
    <row r="29" spans="1:15" x14ac:dyDescent="0.45">
      <c r="A29" s="1" t="s">
        <v>33</v>
      </c>
      <c r="B29" s="2">
        <v>45726.660416666666</v>
      </c>
      <c r="C29" s="3">
        <v>242.5</v>
      </c>
      <c r="D29" s="4">
        <v>15.52</v>
      </c>
      <c r="E29" s="4">
        <v>15.65</v>
      </c>
      <c r="F29" s="4">
        <v>16.25</v>
      </c>
      <c r="G29" s="8">
        <v>-0.14000000000000001</v>
      </c>
      <c r="H29" s="9">
        <v>-8.8999999999999999E-3</v>
      </c>
      <c r="I29" s="4">
        <v>136</v>
      </c>
      <c r="J29" s="10">
        <v>1815</v>
      </c>
      <c r="K29" s="5">
        <v>0.40379999999999999</v>
      </c>
      <c r="L29" s="26" t="b">
        <f t="shared" si="1"/>
        <v>1</v>
      </c>
      <c r="M29" s="26" t="str">
        <f t="shared" si="2"/>
        <v>call</v>
      </c>
      <c r="N29" s="28">
        <f t="shared" si="0"/>
        <v>45940</v>
      </c>
      <c r="O29" s="29">
        <f t="shared" si="3"/>
        <v>5</v>
      </c>
    </row>
    <row r="30" spans="1:15" x14ac:dyDescent="0.45">
      <c r="A30" s="1" t="s">
        <v>34</v>
      </c>
      <c r="B30" s="2">
        <v>45726.665972222225</v>
      </c>
      <c r="C30" s="3">
        <v>245</v>
      </c>
      <c r="D30" s="4">
        <v>13.4</v>
      </c>
      <c r="E30" s="4">
        <v>13.4</v>
      </c>
      <c r="F30" s="4">
        <v>13.6</v>
      </c>
      <c r="G30" s="6">
        <v>0.54</v>
      </c>
      <c r="H30" s="7">
        <v>4.2000000000000003E-2</v>
      </c>
      <c r="I30" s="4">
        <v>789</v>
      </c>
      <c r="J30" s="10">
        <v>5219</v>
      </c>
      <c r="K30" s="5">
        <v>0.33200000000000002</v>
      </c>
      <c r="L30" s="26" t="b">
        <f t="shared" si="1"/>
        <v>1</v>
      </c>
      <c r="M30" s="26" t="str">
        <f t="shared" si="2"/>
        <v>call</v>
      </c>
      <c r="N30" s="28">
        <f t="shared" si="0"/>
        <v>45940</v>
      </c>
      <c r="O30" s="29">
        <f t="shared" si="3"/>
        <v>5</v>
      </c>
    </row>
    <row r="31" spans="1:15" x14ac:dyDescent="0.45">
      <c r="A31" s="1" t="s">
        <v>35</v>
      </c>
      <c r="B31" s="2">
        <v>45726.663888888892</v>
      </c>
      <c r="C31" s="3">
        <v>247.5</v>
      </c>
      <c r="D31" s="4">
        <v>11.11</v>
      </c>
      <c r="E31" s="4">
        <v>11.05</v>
      </c>
      <c r="F31" s="4">
        <v>11.3</v>
      </c>
      <c r="G31" s="6">
        <v>0.51</v>
      </c>
      <c r="H31" s="7">
        <v>4.8099999999999997E-2</v>
      </c>
      <c r="I31" s="10">
        <v>5551</v>
      </c>
      <c r="J31" s="4">
        <v>918</v>
      </c>
      <c r="K31" s="5">
        <v>0.312</v>
      </c>
      <c r="L31" s="26" t="b">
        <f t="shared" si="1"/>
        <v>1</v>
      </c>
      <c r="M31" s="26" t="str">
        <f t="shared" si="2"/>
        <v>call</v>
      </c>
      <c r="N31" s="28">
        <f t="shared" si="0"/>
        <v>45940</v>
      </c>
      <c r="O31" s="29">
        <f t="shared" si="3"/>
        <v>5</v>
      </c>
    </row>
    <row r="32" spans="1:15" x14ac:dyDescent="0.45">
      <c r="A32" s="1" t="s">
        <v>36</v>
      </c>
      <c r="B32" s="2">
        <v>45726.665972222225</v>
      </c>
      <c r="C32" s="3">
        <v>250</v>
      </c>
      <c r="D32" s="4">
        <v>8.9</v>
      </c>
      <c r="E32" s="4">
        <v>8.85</v>
      </c>
      <c r="F32" s="4">
        <v>9</v>
      </c>
      <c r="G32" s="6">
        <v>0.47</v>
      </c>
      <c r="H32" s="7">
        <v>5.5800000000000002E-2</v>
      </c>
      <c r="I32" s="10">
        <v>12103</v>
      </c>
      <c r="J32" s="10">
        <v>26207</v>
      </c>
      <c r="K32" s="5">
        <v>0.28320000000000001</v>
      </c>
      <c r="L32" s="26" t="b">
        <f t="shared" si="1"/>
        <v>1</v>
      </c>
      <c r="M32" s="26" t="str">
        <f t="shared" si="2"/>
        <v>call</v>
      </c>
      <c r="N32" s="28">
        <f t="shared" si="0"/>
        <v>45940</v>
      </c>
      <c r="O32" s="29">
        <f t="shared" si="3"/>
        <v>5</v>
      </c>
    </row>
    <row r="33" spans="1:15" x14ac:dyDescent="0.45">
      <c r="A33" s="1" t="s">
        <v>37</v>
      </c>
      <c r="B33" s="2">
        <v>45726.665972222225</v>
      </c>
      <c r="C33" s="3">
        <v>252.5</v>
      </c>
      <c r="D33" s="4">
        <v>6.7</v>
      </c>
      <c r="E33" s="4">
        <v>6.8</v>
      </c>
      <c r="F33" s="4">
        <v>6.9</v>
      </c>
      <c r="G33" s="8">
        <v>0.16</v>
      </c>
      <c r="H33" s="9">
        <v>2.4500000000000001E-2</v>
      </c>
      <c r="I33" s="10">
        <v>2123</v>
      </c>
      <c r="J33" s="10">
        <v>4174</v>
      </c>
      <c r="K33" s="5">
        <v>0.2651</v>
      </c>
      <c r="L33" s="26" t="b">
        <f t="shared" si="1"/>
        <v>1</v>
      </c>
      <c r="M33" s="26" t="str">
        <f t="shared" si="2"/>
        <v>call</v>
      </c>
      <c r="N33" s="28">
        <f t="shared" si="0"/>
        <v>45940</v>
      </c>
      <c r="O33" s="29">
        <f t="shared" si="3"/>
        <v>5</v>
      </c>
    </row>
    <row r="34" spans="1:15" x14ac:dyDescent="0.45">
      <c r="A34" s="1" t="s">
        <v>38</v>
      </c>
      <c r="B34" s="2">
        <v>45726.665972222225</v>
      </c>
      <c r="C34" s="3">
        <v>255</v>
      </c>
      <c r="D34" s="4">
        <v>5.05</v>
      </c>
      <c r="E34" s="4">
        <v>4.9000000000000004</v>
      </c>
      <c r="F34" s="4">
        <v>5.0999999999999996</v>
      </c>
      <c r="G34" s="8">
        <v>0.18</v>
      </c>
      <c r="H34" s="9">
        <v>3.6999999999999998E-2</v>
      </c>
      <c r="I34" s="10">
        <v>14500</v>
      </c>
      <c r="J34" s="10">
        <v>7986</v>
      </c>
      <c r="K34" s="5">
        <v>0.25729999999999997</v>
      </c>
      <c r="L34" s="26" t="b">
        <f t="shared" si="1"/>
        <v>1</v>
      </c>
      <c r="M34" s="26" t="str">
        <f t="shared" si="2"/>
        <v>call</v>
      </c>
      <c r="N34" s="28">
        <f t="shared" si="0"/>
        <v>45940</v>
      </c>
      <c r="O34" s="29">
        <f t="shared" si="3"/>
        <v>5</v>
      </c>
    </row>
    <row r="35" spans="1:15" x14ac:dyDescent="0.45">
      <c r="A35" s="1" t="s">
        <v>39</v>
      </c>
      <c r="B35" s="2">
        <v>45726.665972222225</v>
      </c>
      <c r="C35" s="3">
        <v>257.5</v>
      </c>
      <c r="D35" s="4">
        <v>3.37</v>
      </c>
      <c r="E35" s="4">
        <v>3.35</v>
      </c>
      <c r="F35" s="4">
        <v>3.45</v>
      </c>
      <c r="G35" s="8">
        <v>7.0000000000000007E-2</v>
      </c>
      <c r="H35" s="9">
        <v>2.12E-2</v>
      </c>
      <c r="I35" s="10">
        <v>27191</v>
      </c>
      <c r="J35" s="10">
        <v>6909</v>
      </c>
      <c r="K35" s="5">
        <v>0.24149999999999999</v>
      </c>
      <c r="L35" s="26" t="b">
        <f t="shared" si="1"/>
        <v>1</v>
      </c>
      <c r="M35" s="26" t="str">
        <f t="shared" si="2"/>
        <v>call</v>
      </c>
      <c r="N35" s="28">
        <f t="shared" si="0"/>
        <v>45940</v>
      </c>
      <c r="O35" s="29">
        <f t="shared" si="3"/>
        <v>5</v>
      </c>
    </row>
    <row r="36" spans="1:15" x14ac:dyDescent="0.45">
      <c r="A36" s="11" t="s">
        <v>40</v>
      </c>
      <c r="B36" s="12">
        <v>45726.665972222225</v>
      </c>
      <c r="C36" s="13">
        <v>260</v>
      </c>
      <c r="D36" s="14">
        <v>2.15</v>
      </c>
      <c r="E36" s="14">
        <v>2.14</v>
      </c>
      <c r="F36" s="14">
        <v>2.1800000000000002</v>
      </c>
      <c r="G36" s="14">
        <v>-0.05</v>
      </c>
      <c r="H36" s="18">
        <v>-2.2700000000000001E-2</v>
      </c>
      <c r="I36" s="17">
        <v>61479</v>
      </c>
      <c r="J36" s="17">
        <v>24418</v>
      </c>
      <c r="K36" s="18">
        <v>0.23169999999999999</v>
      </c>
      <c r="L36" s="26" t="b">
        <f t="shared" si="1"/>
        <v>0</v>
      </c>
      <c r="M36" s="26" t="str">
        <f t="shared" si="2"/>
        <v>call</v>
      </c>
      <c r="N36" s="28">
        <f t="shared" si="0"/>
        <v>45940</v>
      </c>
      <c r="O36" s="29">
        <f t="shared" si="3"/>
        <v>5</v>
      </c>
    </row>
    <row r="37" spans="1:15" x14ac:dyDescent="0.45">
      <c r="A37" s="11" t="s">
        <v>41</v>
      </c>
      <c r="B37" s="12">
        <v>45726.665972222225</v>
      </c>
      <c r="C37" s="13">
        <v>262.5</v>
      </c>
      <c r="D37" s="14">
        <v>1.28</v>
      </c>
      <c r="E37" s="14">
        <v>1.26</v>
      </c>
      <c r="F37" s="14">
        <v>1.3</v>
      </c>
      <c r="G37" s="19">
        <v>-0.11</v>
      </c>
      <c r="H37" s="20">
        <v>-7.9100000000000004E-2</v>
      </c>
      <c r="I37" s="17">
        <v>29172</v>
      </c>
      <c r="J37" s="17">
        <v>6330</v>
      </c>
      <c r="K37" s="18">
        <v>0.22739999999999999</v>
      </c>
      <c r="L37" s="26" t="b">
        <f t="shared" si="1"/>
        <v>0</v>
      </c>
      <c r="M37" s="26" t="str">
        <f t="shared" si="2"/>
        <v>call</v>
      </c>
      <c r="N37" s="28">
        <f t="shared" si="0"/>
        <v>45940</v>
      </c>
      <c r="O37" s="29">
        <f t="shared" si="3"/>
        <v>5</v>
      </c>
    </row>
    <row r="38" spans="1:15" x14ac:dyDescent="0.45">
      <c r="A38" s="11" t="s">
        <v>42</v>
      </c>
      <c r="B38" s="12">
        <v>45726.665972222225</v>
      </c>
      <c r="C38" s="13">
        <v>265</v>
      </c>
      <c r="D38" s="14">
        <v>0.73</v>
      </c>
      <c r="E38" s="14">
        <v>0.7</v>
      </c>
      <c r="F38" s="14">
        <v>0.73</v>
      </c>
      <c r="G38" s="14">
        <v>-0.12</v>
      </c>
      <c r="H38" s="18">
        <v>-0.14119999999999999</v>
      </c>
      <c r="I38" s="17">
        <v>22298</v>
      </c>
      <c r="J38" s="17">
        <v>10713</v>
      </c>
      <c r="K38" s="18">
        <v>0.2258</v>
      </c>
      <c r="L38" s="26" t="b">
        <f t="shared" si="1"/>
        <v>0</v>
      </c>
      <c r="M38" s="26" t="str">
        <f t="shared" si="2"/>
        <v>call</v>
      </c>
      <c r="N38" s="28">
        <f t="shared" si="0"/>
        <v>45940</v>
      </c>
      <c r="O38" s="29">
        <f t="shared" si="3"/>
        <v>5</v>
      </c>
    </row>
    <row r="39" spans="1:15" x14ac:dyDescent="0.45">
      <c r="A39" s="11" t="s">
        <v>43</v>
      </c>
      <c r="B39" s="12">
        <v>45726.665972222225</v>
      </c>
      <c r="C39" s="13">
        <v>267.5</v>
      </c>
      <c r="D39" s="14">
        <v>0.4</v>
      </c>
      <c r="E39" s="14">
        <v>0.38</v>
      </c>
      <c r="F39" s="14">
        <v>0.4</v>
      </c>
      <c r="G39" s="15">
        <v>-0.14000000000000001</v>
      </c>
      <c r="H39" s="16">
        <v>-0.25929999999999997</v>
      </c>
      <c r="I39" s="17">
        <v>8427</v>
      </c>
      <c r="J39" s="17">
        <v>2460</v>
      </c>
      <c r="K39" s="18">
        <v>0.2278</v>
      </c>
      <c r="L39" s="26" t="b">
        <f t="shared" si="1"/>
        <v>0</v>
      </c>
      <c r="M39" s="26" t="str">
        <f t="shared" si="2"/>
        <v>call</v>
      </c>
      <c r="N39" s="28">
        <f t="shared" si="0"/>
        <v>45940</v>
      </c>
      <c r="O39" s="29">
        <f t="shared" si="3"/>
        <v>5</v>
      </c>
    </row>
    <row r="40" spans="1:15" x14ac:dyDescent="0.45">
      <c r="A40" s="11" t="s">
        <v>44</v>
      </c>
      <c r="B40" s="12">
        <v>45726.665972222225</v>
      </c>
      <c r="C40" s="13">
        <v>270</v>
      </c>
      <c r="D40" s="14">
        <v>0.2</v>
      </c>
      <c r="E40" s="14">
        <v>0.2</v>
      </c>
      <c r="F40" s="14">
        <v>0.21</v>
      </c>
      <c r="G40" s="15">
        <v>-0.13</v>
      </c>
      <c r="H40" s="16">
        <v>-0.39389999999999997</v>
      </c>
      <c r="I40" s="17">
        <v>35828</v>
      </c>
      <c r="J40" s="17">
        <v>14246</v>
      </c>
      <c r="K40" s="18">
        <v>0.23050000000000001</v>
      </c>
      <c r="L40" s="26" t="b">
        <f t="shared" si="1"/>
        <v>0</v>
      </c>
      <c r="M40" s="26" t="str">
        <f t="shared" si="2"/>
        <v>call</v>
      </c>
      <c r="N40" s="28">
        <f t="shared" si="0"/>
        <v>45940</v>
      </c>
      <c r="O40" s="29">
        <f t="shared" si="3"/>
        <v>5</v>
      </c>
    </row>
    <row r="41" spans="1:15" x14ac:dyDescent="0.45">
      <c r="A41" s="11" t="s">
        <v>45</v>
      </c>
      <c r="B41" s="12">
        <v>45726.665972222225</v>
      </c>
      <c r="C41" s="13">
        <v>272.5</v>
      </c>
      <c r="D41" s="14">
        <v>0.11</v>
      </c>
      <c r="E41" s="14">
        <v>0.1</v>
      </c>
      <c r="F41" s="14">
        <v>0.12</v>
      </c>
      <c r="G41" s="15">
        <v>-0.1</v>
      </c>
      <c r="H41" s="16">
        <v>-0.47620000000000001</v>
      </c>
      <c r="I41" s="17">
        <v>5821</v>
      </c>
      <c r="J41" s="17">
        <v>3957</v>
      </c>
      <c r="K41" s="18">
        <v>0.23830000000000001</v>
      </c>
      <c r="L41" s="26" t="b">
        <f t="shared" si="1"/>
        <v>0</v>
      </c>
      <c r="M41" s="26" t="str">
        <f t="shared" si="2"/>
        <v>call</v>
      </c>
      <c r="N41" s="28">
        <f t="shared" si="0"/>
        <v>45940</v>
      </c>
      <c r="O41" s="29">
        <f t="shared" si="3"/>
        <v>5</v>
      </c>
    </row>
    <row r="42" spans="1:15" x14ac:dyDescent="0.45">
      <c r="A42" s="11" t="s">
        <v>46</v>
      </c>
      <c r="B42" s="12">
        <v>45726.665972222225</v>
      </c>
      <c r="C42" s="13">
        <v>275</v>
      </c>
      <c r="D42" s="14">
        <v>7.0000000000000007E-2</v>
      </c>
      <c r="E42" s="14">
        <v>0.06</v>
      </c>
      <c r="F42" s="14">
        <v>7.0000000000000007E-2</v>
      </c>
      <c r="G42" s="15">
        <v>-0.06</v>
      </c>
      <c r="H42" s="16">
        <v>-0.46150000000000002</v>
      </c>
      <c r="I42" s="17">
        <v>5209</v>
      </c>
      <c r="J42" s="17">
        <v>8179</v>
      </c>
      <c r="K42" s="18">
        <v>0.24709999999999999</v>
      </c>
      <c r="L42" s="26" t="b">
        <f t="shared" si="1"/>
        <v>0</v>
      </c>
      <c r="M42" s="26" t="str">
        <f t="shared" si="2"/>
        <v>call</v>
      </c>
      <c r="N42" s="28">
        <f t="shared" si="0"/>
        <v>45940</v>
      </c>
      <c r="O42" s="29">
        <f t="shared" si="3"/>
        <v>5</v>
      </c>
    </row>
    <row r="43" spans="1:15" x14ac:dyDescent="0.45">
      <c r="A43" s="11" t="s">
        <v>47</v>
      </c>
      <c r="B43" s="12">
        <v>45726.664583333331</v>
      </c>
      <c r="C43" s="13">
        <v>280</v>
      </c>
      <c r="D43" s="14">
        <v>0.02</v>
      </c>
      <c r="E43" s="14">
        <v>0.02</v>
      </c>
      <c r="F43" s="14">
        <v>0.03</v>
      </c>
      <c r="G43" s="15">
        <v>-0.05</v>
      </c>
      <c r="H43" s="16">
        <v>-0.71430000000000005</v>
      </c>
      <c r="I43" s="17">
        <v>1703</v>
      </c>
      <c r="J43" s="17">
        <v>2336</v>
      </c>
      <c r="K43" s="18">
        <v>0.27150000000000002</v>
      </c>
      <c r="L43" s="26" t="b">
        <f t="shared" si="1"/>
        <v>0</v>
      </c>
      <c r="M43" s="26" t="str">
        <f t="shared" si="2"/>
        <v>call</v>
      </c>
      <c r="N43" s="28">
        <f t="shared" si="0"/>
        <v>45940</v>
      </c>
      <c r="O43" s="29">
        <f t="shared" si="3"/>
        <v>5</v>
      </c>
    </row>
    <row r="44" spans="1:15" x14ac:dyDescent="0.45">
      <c r="A44" s="11" t="s">
        <v>48</v>
      </c>
      <c r="B44" s="12">
        <v>45726.663194444445</v>
      </c>
      <c r="C44" s="13">
        <v>285</v>
      </c>
      <c r="D44" s="14">
        <v>0.01</v>
      </c>
      <c r="E44" s="14">
        <v>0.01</v>
      </c>
      <c r="F44" s="14">
        <v>0.02</v>
      </c>
      <c r="G44" s="15">
        <v>-0.03</v>
      </c>
      <c r="H44" s="16">
        <v>-0.75</v>
      </c>
      <c r="I44" s="14">
        <v>976</v>
      </c>
      <c r="J44" s="17">
        <v>1429</v>
      </c>
      <c r="K44" s="18">
        <v>0.30859999999999999</v>
      </c>
      <c r="L44" s="26" t="b">
        <f t="shared" si="1"/>
        <v>0</v>
      </c>
      <c r="M44" s="26" t="str">
        <f t="shared" si="2"/>
        <v>call</v>
      </c>
      <c r="N44" s="28">
        <f t="shared" si="0"/>
        <v>45940</v>
      </c>
      <c r="O44" s="29">
        <f t="shared" si="3"/>
        <v>5</v>
      </c>
    </row>
    <row r="45" spans="1:15" x14ac:dyDescent="0.45">
      <c r="A45" s="11" t="s">
        <v>49</v>
      </c>
      <c r="B45" s="12">
        <v>45726.651388888888</v>
      </c>
      <c r="C45" s="13">
        <v>290</v>
      </c>
      <c r="D45" s="14">
        <v>0.01</v>
      </c>
      <c r="E45" s="14">
        <v>0</v>
      </c>
      <c r="F45" s="14">
        <v>0.02</v>
      </c>
      <c r="G45" s="15">
        <v>-0.01</v>
      </c>
      <c r="H45" s="16">
        <v>-0.5</v>
      </c>
      <c r="I45" s="14">
        <v>171</v>
      </c>
      <c r="J45" s="14">
        <v>871</v>
      </c>
      <c r="K45" s="18">
        <v>0.35549999999999998</v>
      </c>
      <c r="L45" s="26" t="b">
        <f t="shared" si="1"/>
        <v>0</v>
      </c>
      <c r="M45" s="26" t="str">
        <f t="shared" si="2"/>
        <v>call</v>
      </c>
      <c r="N45" s="28">
        <f t="shared" si="0"/>
        <v>45940</v>
      </c>
      <c r="O45" s="29">
        <f t="shared" si="3"/>
        <v>5</v>
      </c>
    </row>
    <row r="46" spans="1:15" x14ac:dyDescent="0.45">
      <c r="A46" s="11" t="s">
        <v>50</v>
      </c>
      <c r="B46" s="12">
        <v>45726.488888888889</v>
      </c>
      <c r="C46" s="13">
        <v>295</v>
      </c>
      <c r="D46" s="14">
        <v>0.01</v>
      </c>
      <c r="E46" s="14">
        <v>0</v>
      </c>
      <c r="F46" s="14">
        <v>0.01</v>
      </c>
      <c r="G46" s="15">
        <v>-0.01</v>
      </c>
      <c r="H46" s="16">
        <v>-0.5</v>
      </c>
      <c r="I46" s="14">
        <v>174</v>
      </c>
      <c r="J46" s="17">
        <v>1351</v>
      </c>
      <c r="K46" s="18">
        <v>0.375</v>
      </c>
      <c r="L46" s="26" t="b">
        <f t="shared" si="1"/>
        <v>0</v>
      </c>
      <c r="M46" s="26" t="str">
        <f t="shared" si="2"/>
        <v>call</v>
      </c>
      <c r="N46" s="28">
        <f t="shared" si="0"/>
        <v>45940</v>
      </c>
      <c r="O46" s="29">
        <f t="shared" si="3"/>
        <v>5</v>
      </c>
    </row>
    <row r="47" spans="1:15" x14ac:dyDescent="0.45">
      <c r="A47" s="11" t="s">
        <v>51</v>
      </c>
      <c r="B47" s="12">
        <v>45726.413194444445</v>
      </c>
      <c r="C47" s="13">
        <v>300</v>
      </c>
      <c r="D47" s="14">
        <v>0.01</v>
      </c>
      <c r="E47" s="14">
        <v>0</v>
      </c>
      <c r="F47" s="14">
        <v>0.01</v>
      </c>
      <c r="G47" s="14">
        <v>0</v>
      </c>
      <c r="H47" s="18">
        <v>0</v>
      </c>
      <c r="I47" s="14">
        <v>143</v>
      </c>
      <c r="J47" s="17">
        <v>1620</v>
      </c>
      <c r="K47" s="18">
        <v>0.41410000000000002</v>
      </c>
      <c r="L47" s="26" t="b">
        <f t="shared" si="1"/>
        <v>0</v>
      </c>
      <c r="M47" s="26" t="str">
        <f t="shared" si="2"/>
        <v>call</v>
      </c>
      <c r="N47" s="28">
        <f t="shared" si="0"/>
        <v>45940</v>
      </c>
      <c r="O47" s="29">
        <f t="shared" si="3"/>
        <v>5</v>
      </c>
    </row>
    <row r="48" spans="1:15" x14ac:dyDescent="0.45">
      <c r="A48" s="11" t="s">
        <v>52</v>
      </c>
      <c r="B48" s="12">
        <v>45698.40902777778</v>
      </c>
      <c r="C48" s="13">
        <v>305</v>
      </c>
      <c r="D48" s="14">
        <v>0.01</v>
      </c>
      <c r="E48" s="14">
        <v>0</v>
      </c>
      <c r="F48" s="14">
        <v>0.01</v>
      </c>
      <c r="G48" s="14">
        <v>0</v>
      </c>
      <c r="H48" s="18">
        <v>0</v>
      </c>
      <c r="I48" s="14">
        <v>1</v>
      </c>
      <c r="J48" s="14">
        <v>297</v>
      </c>
      <c r="K48" s="18">
        <v>0.4531</v>
      </c>
      <c r="L48" s="26" t="b">
        <f t="shared" si="1"/>
        <v>0</v>
      </c>
      <c r="M48" s="26" t="str">
        <f t="shared" si="2"/>
        <v>call</v>
      </c>
      <c r="N48" s="28">
        <f t="shared" si="0"/>
        <v>45940</v>
      </c>
      <c r="O48" s="29">
        <f t="shared" si="3"/>
        <v>5</v>
      </c>
    </row>
    <row r="49" spans="1:15" x14ac:dyDescent="0.45">
      <c r="A49" s="11" t="s">
        <v>53</v>
      </c>
      <c r="B49" s="12">
        <v>45698.484027777777</v>
      </c>
      <c r="C49" s="13">
        <v>310</v>
      </c>
      <c r="D49" s="14">
        <v>0.01</v>
      </c>
      <c r="E49" s="14">
        <v>0</v>
      </c>
      <c r="F49" s="14">
        <v>0.01</v>
      </c>
      <c r="G49" s="14">
        <v>0</v>
      </c>
      <c r="H49" s="18">
        <v>0</v>
      </c>
      <c r="I49" s="14">
        <v>300</v>
      </c>
      <c r="J49" s="14">
        <v>750</v>
      </c>
      <c r="K49" s="18">
        <v>0.49220000000000003</v>
      </c>
      <c r="L49" s="26" t="b">
        <f t="shared" si="1"/>
        <v>0</v>
      </c>
      <c r="M49" s="26" t="str">
        <f t="shared" si="2"/>
        <v>call</v>
      </c>
      <c r="N49" s="28">
        <f t="shared" si="0"/>
        <v>45940</v>
      </c>
      <c r="O49" s="29">
        <f t="shared" si="3"/>
        <v>5</v>
      </c>
    </row>
    <row r="50" spans="1:15" x14ac:dyDescent="0.45">
      <c r="A50" s="11" t="s">
        <v>54</v>
      </c>
      <c r="B50" s="14" t="s">
        <v>55</v>
      </c>
      <c r="C50" s="13">
        <v>315</v>
      </c>
      <c r="D50" s="14">
        <v>0.03</v>
      </c>
      <c r="E50" s="14">
        <v>0</v>
      </c>
      <c r="F50" s="14">
        <v>0.01</v>
      </c>
      <c r="G50" s="14">
        <v>0</v>
      </c>
      <c r="H50" s="18">
        <v>0</v>
      </c>
      <c r="I50" s="14">
        <v>0</v>
      </c>
      <c r="J50" s="14">
        <v>63</v>
      </c>
      <c r="K50" s="18">
        <v>0.5</v>
      </c>
      <c r="L50" s="26" t="b">
        <f t="shared" si="1"/>
        <v>0</v>
      </c>
      <c r="M50" s="26" t="str">
        <f t="shared" si="2"/>
        <v>call</v>
      </c>
      <c r="N50" s="28">
        <f t="shared" si="0"/>
        <v>45940</v>
      </c>
      <c r="O50" s="29">
        <f t="shared" si="3"/>
        <v>5</v>
      </c>
    </row>
    <row r="51" spans="1:15" x14ac:dyDescent="0.45">
      <c r="A51" s="11" t="s">
        <v>56</v>
      </c>
      <c r="B51" s="14" t="s">
        <v>57</v>
      </c>
      <c r="C51" s="13">
        <v>320</v>
      </c>
      <c r="D51" s="14">
        <v>0.02</v>
      </c>
      <c r="E51" s="14">
        <v>0</v>
      </c>
      <c r="F51" s="14">
        <v>0.01</v>
      </c>
      <c r="G51" s="14">
        <v>0</v>
      </c>
      <c r="H51" s="18">
        <v>0</v>
      </c>
      <c r="I51" s="14">
        <v>0</v>
      </c>
      <c r="J51" s="14">
        <v>189</v>
      </c>
      <c r="K51" s="18">
        <v>0.53129999999999999</v>
      </c>
      <c r="L51" s="26" t="b">
        <f t="shared" si="1"/>
        <v>0</v>
      </c>
      <c r="M51" s="26" t="str">
        <f t="shared" si="2"/>
        <v>call</v>
      </c>
      <c r="N51" s="28">
        <f t="shared" si="0"/>
        <v>45940</v>
      </c>
      <c r="O51" s="29">
        <f t="shared" si="3"/>
        <v>5</v>
      </c>
    </row>
    <row r="52" spans="1:15" x14ac:dyDescent="0.45">
      <c r="A52" s="11" t="s">
        <v>58</v>
      </c>
      <c r="B52" s="12">
        <v>45726.584027777775</v>
      </c>
      <c r="C52" s="13">
        <v>325</v>
      </c>
      <c r="D52" s="14">
        <v>0.01</v>
      </c>
      <c r="E52" s="14">
        <v>0</v>
      </c>
      <c r="F52" s="14">
        <v>0.01</v>
      </c>
      <c r="G52" s="14">
        <v>0</v>
      </c>
      <c r="H52" s="18">
        <v>0</v>
      </c>
      <c r="I52" s="14">
        <v>2</v>
      </c>
      <c r="J52" s="14">
        <v>29</v>
      </c>
      <c r="K52" s="18">
        <v>0.57809999999999995</v>
      </c>
      <c r="L52" s="26" t="b">
        <f t="shared" si="1"/>
        <v>0</v>
      </c>
      <c r="M52" s="26" t="str">
        <f t="shared" si="2"/>
        <v>call</v>
      </c>
      <c r="N52" s="28">
        <f t="shared" si="0"/>
        <v>45940</v>
      </c>
      <c r="O52" s="29">
        <f t="shared" si="3"/>
        <v>5</v>
      </c>
    </row>
    <row r="53" spans="1:15" x14ac:dyDescent="0.45">
      <c r="A53" s="11" t="s">
        <v>59</v>
      </c>
      <c r="B53" s="14" t="s">
        <v>60</v>
      </c>
      <c r="C53" s="13">
        <v>120</v>
      </c>
      <c r="D53" s="14">
        <v>0.01</v>
      </c>
      <c r="E53" s="14">
        <v>0</v>
      </c>
      <c r="F53" s="14">
        <v>0.01</v>
      </c>
      <c r="G53" s="14">
        <v>0</v>
      </c>
      <c r="H53" s="18">
        <v>0</v>
      </c>
      <c r="I53" s="14">
        <v>4</v>
      </c>
      <c r="J53" s="14">
        <v>34</v>
      </c>
      <c r="K53" s="18">
        <v>1.8125</v>
      </c>
      <c r="L53" s="26" t="b">
        <f t="shared" si="1"/>
        <v>0</v>
      </c>
      <c r="M53" s="26" t="str">
        <f t="shared" si="2"/>
        <v>put</v>
      </c>
      <c r="N53" s="28">
        <f t="shared" si="0"/>
        <v>45940</v>
      </c>
      <c r="O53" s="29">
        <f t="shared" si="3"/>
        <v>5</v>
      </c>
    </row>
    <row r="54" spans="1:15" x14ac:dyDescent="0.45">
      <c r="A54" s="11" t="s">
        <v>61</v>
      </c>
      <c r="B54" s="14" t="s">
        <v>62</v>
      </c>
      <c r="C54" s="13">
        <v>125</v>
      </c>
      <c r="D54" s="14">
        <v>0.01</v>
      </c>
      <c r="E54" s="14">
        <v>0</v>
      </c>
      <c r="F54" s="14">
        <v>0.01</v>
      </c>
      <c r="G54" s="14">
        <v>0</v>
      </c>
      <c r="H54" s="18">
        <v>0</v>
      </c>
      <c r="I54" s="14">
        <v>1</v>
      </c>
      <c r="J54" s="14">
        <v>2</v>
      </c>
      <c r="K54" s="18">
        <v>1.6875</v>
      </c>
      <c r="L54" s="26" t="b">
        <f t="shared" si="1"/>
        <v>0</v>
      </c>
      <c r="M54" s="26" t="str">
        <f t="shared" si="2"/>
        <v>put</v>
      </c>
      <c r="N54" s="28">
        <f t="shared" si="0"/>
        <v>45940</v>
      </c>
      <c r="O54" s="29">
        <f t="shared" si="3"/>
        <v>5</v>
      </c>
    </row>
    <row r="55" spans="1:15" x14ac:dyDescent="0.45">
      <c r="A55" s="11" t="s">
        <v>63</v>
      </c>
      <c r="B55" s="14" t="s">
        <v>64</v>
      </c>
      <c r="C55" s="13">
        <v>135</v>
      </c>
      <c r="D55" s="14">
        <v>0.01</v>
      </c>
      <c r="E55" s="14">
        <v>0</v>
      </c>
      <c r="F55" s="14">
        <v>0.01</v>
      </c>
      <c r="G55" s="14">
        <v>0</v>
      </c>
      <c r="H55" s="18">
        <v>0</v>
      </c>
      <c r="I55" s="14">
        <v>80</v>
      </c>
      <c r="J55" s="14">
        <v>103</v>
      </c>
      <c r="K55" s="18">
        <v>1.5313000000000001</v>
      </c>
      <c r="L55" s="26" t="b">
        <f t="shared" si="1"/>
        <v>0</v>
      </c>
      <c r="M55" s="26" t="str">
        <f t="shared" si="2"/>
        <v>put</v>
      </c>
      <c r="N55" s="28">
        <f t="shared" si="0"/>
        <v>45940</v>
      </c>
      <c r="O55" s="29">
        <f t="shared" si="3"/>
        <v>5</v>
      </c>
    </row>
    <row r="56" spans="1:15" x14ac:dyDescent="0.45">
      <c r="A56" s="11" t="s">
        <v>65</v>
      </c>
      <c r="B56" s="14" t="s">
        <v>66</v>
      </c>
      <c r="C56" s="13">
        <v>140</v>
      </c>
      <c r="D56" s="14">
        <v>0.01</v>
      </c>
      <c r="E56" s="14">
        <v>0</v>
      </c>
      <c r="F56" s="14">
        <v>0.01</v>
      </c>
      <c r="G56" s="14">
        <v>0</v>
      </c>
      <c r="H56" s="18">
        <v>0</v>
      </c>
      <c r="I56" s="14">
        <v>0</v>
      </c>
      <c r="J56" s="14">
        <v>110</v>
      </c>
      <c r="K56" s="18">
        <v>1.4375</v>
      </c>
      <c r="L56" s="26" t="b">
        <f t="shared" si="1"/>
        <v>0</v>
      </c>
      <c r="M56" s="26" t="str">
        <f t="shared" si="2"/>
        <v>put</v>
      </c>
      <c r="N56" s="28">
        <f t="shared" si="0"/>
        <v>45940</v>
      </c>
      <c r="O56" s="29">
        <f t="shared" si="3"/>
        <v>5</v>
      </c>
    </row>
    <row r="57" spans="1:15" x14ac:dyDescent="0.45">
      <c r="A57" s="11" t="s">
        <v>67</v>
      </c>
      <c r="B57" s="12">
        <v>45878.484722222223</v>
      </c>
      <c r="C57" s="13">
        <v>145</v>
      </c>
      <c r="D57" s="14">
        <v>0.02</v>
      </c>
      <c r="E57" s="14">
        <v>0</v>
      </c>
      <c r="F57" s="14">
        <v>0.01</v>
      </c>
      <c r="G57" s="15">
        <v>0</v>
      </c>
      <c r="H57" s="16">
        <v>0</v>
      </c>
      <c r="I57" s="14">
        <v>0</v>
      </c>
      <c r="J57" s="14">
        <v>15</v>
      </c>
      <c r="K57" s="18">
        <v>1.375</v>
      </c>
      <c r="L57" s="26" t="b">
        <f t="shared" si="1"/>
        <v>0</v>
      </c>
      <c r="M57" s="26" t="str">
        <f t="shared" si="2"/>
        <v>put</v>
      </c>
      <c r="N57" s="28">
        <f t="shared" si="0"/>
        <v>45940</v>
      </c>
      <c r="O57" s="29">
        <f t="shared" si="3"/>
        <v>5</v>
      </c>
    </row>
    <row r="58" spans="1:15" x14ac:dyDescent="0.45">
      <c r="A58" s="11" t="s">
        <v>68</v>
      </c>
      <c r="B58" s="14" t="s">
        <v>69</v>
      </c>
      <c r="C58" s="13">
        <v>150</v>
      </c>
      <c r="D58" s="14">
        <v>0.01</v>
      </c>
      <c r="E58" s="14">
        <v>0</v>
      </c>
      <c r="F58" s="14">
        <v>0.01</v>
      </c>
      <c r="G58" s="14">
        <v>0</v>
      </c>
      <c r="H58" s="18">
        <v>0</v>
      </c>
      <c r="I58" s="14">
        <v>1</v>
      </c>
      <c r="J58" s="14">
        <v>7</v>
      </c>
      <c r="K58" s="18">
        <v>1.3125</v>
      </c>
      <c r="L58" s="26" t="b">
        <f t="shared" si="1"/>
        <v>0</v>
      </c>
      <c r="M58" s="26" t="str">
        <f t="shared" si="2"/>
        <v>put</v>
      </c>
      <c r="N58" s="28">
        <f t="shared" si="0"/>
        <v>45940</v>
      </c>
      <c r="O58" s="29">
        <f t="shared" si="3"/>
        <v>5</v>
      </c>
    </row>
    <row r="59" spans="1:15" x14ac:dyDescent="0.45">
      <c r="A59" s="11" t="s">
        <v>70</v>
      </c>
      <c r="B59" s="14" t="s">
        <v>71</v>
      </c>
      <c r="C59" s="13">
        <v>155</v>
      </c>
      <c r="D59" s="14">
        <v>0.01</v>
      </c>
      <c r="E59" s="14">
        <v>0</v>
      </c>
      <c r="F59" s="14">
        <v>0.01</v>
      </c>
      <c r="G59" s="15">
        <v>0</v>
      </c>
      <c r="H59" s="16">
        <v>0</v>
      </c>
      <c r="I59" s="14">
        <v>191</v>
      </c>
      <c r="J59" s="14">
        <v>212</v>
      </c>
      <c r="K59" s="18">
        <v>1.2188000000000001</v>
      </c>
      <c r="L59" s="26" t="b">
        <f t="shared" si="1"/>
        <v>0</v>
      </c>
      <c r="M59" s="26" t="str">
        <f t="shared" si="2"/>
        <v>put</v>
      </c>
      <c r="N59" s="28">
        <f t="shared" si="0"/>
        <v>45940</v>
      </c>
      <c r="O59" s="29">
        <f t="shared" si="3"/>
        <v>5</v>
      </c>
    </row>
    <row r="60" spans="1:15" x14ac:dyDescent="0.45">
      <c r="A60" s="11" t="s">
        <v>72</v>
      </c>
      <c r="B60" s="14" t="s">
        <v>73</v>
      </c>
      <c r="C60" s="13">
        <v>160</v>
      </c>
      <c r="D60" s="14">
        <v>0.01</v>
      </c>
      <c r="E60" s="14">
        <v>0</v>
      </c>
      <c r="F60" s="14">
        <v>0.01</v>
      </c>
      <c r="G60" s="19">
        <v>0</v>
      </c>
      <c r="H60" s="20">
        <v>0</v>
      </c>
      <c r="I60" s="14">
        <v>227</v>
      </c>
      <c r="J60" s="14">
        <v>318</v>
      </c>
      <c r="K60" s="18">
        <v>1.1563000000000001</v>
      </c>
      <c r="L60" s="26" t="b">
        <f t="shared" si="1"/>
        <v>0</v>
      </c>
      <c r="M60" s="26" t="str">
        <f t="shared" si="2"/>
        <v>put</v>
      </c>
      <c r="N60" s="28">
        <f t="shared" si="0"/>
        <v>45940</v>
      </c>
      <c r="O60" s="29">
        <f t="shared" si="3"/>
        <v>5</v>
      </c>
    </row>
    <row r="61" spans="1:15" x14ac:dyDescent="0.45">
      <c r="A61" s="11" t="s">
        <v>74</v>
      </c>
      <c r="B61" s="12">
        <v>45667.395833333336</v>
      </c>
      <c r="C61" s="13">
        <v>165</v>
      </c>
      <c r="D61" s="14">
        <v>0.02</v>
      </c>
      <c r="E61" s="14">
        <v>0</v>
      </c>
      <c r="F61" s="14">
        <v>0.01</v>
      </c>
      <c r="G61" s="14">
        <v>0</v>
      </c>
      <c r="H61" s="18">
        <v>0</v>
      </c>
      <c r="I61" s="14">
        <v>1</v>
      </c>
      <c r="J61" s="14">
        <v>299</v>
      </c>
      <c r="K61" s="18">
        <v>1.0938000000000001</v>
      </c>
      <c r="L61" s="26" t="b">
        <f t="shared" si="1"/>
        <v>0</v>
      </c>
      <c r="M61" s="26" t="str">
        <f t="shared" si="2"/>
        <v>put</v>
      </c>
      <c r="N61" s="28">
        <f t="shared" si="0"/>
        <v>45940</v>
      </c>
      <c r="O61" s="29">
        <f t="shared" si="3"/>
        <v>5</v>
      </c>
    </row>
    <row r="62" spans="1:15" x14ac:dyDescent="0.45">
      <c r="A62" s="11" t="s">
        <v>75</v>
      </c>
      <c r="B62" s="12">
        <v>45667.606249999997</v>
      </c>
      <c r="C62" s="13">
        <v>170</v>
      </c>
      <c r="D62" s="14">
        <v>0.01</v>
      </c>
      <c r="E62" s="14">
        <v>0</v>
      </c>
      <c r="F62" s="14">
        <v>0.01</v>
      </c>
      <c r="G62" s="14">
        <v>0</v>
      </c>
      <c r="H62" s="18">
        <v>0</v>
      </c>
      <c r="I62" s="14">
        <v>10</v>
      </c>
      <c r="J62" s="14">
        <v>278</v>
      </c>
      <c r="K62" s="18">
        <v>1</v>
      </c>
      <c r="L62" s="26" t="b">
        <f t="shared" si="1"/>
        <v>0</v>
      </c>
      <c r="M62" s="26" t="str">
        <f t="shared" si="2"/>
        <v>put</v>
      </c>
      <c r="N62" s="28">
        <f t="shared" ref="N62:N96" si="4">DATE(MID(A62,5,2)+2000,MID(A62,7,2),MID(A62,9,2))</f>
        <v>45940</v>
      </c>
      <c r="O62" s="29">
        <f t="shared" si="3"/>
        <v>5</v>
      </c>
    </row>
    <row r="63" spans="1:15" x14ac:dyDescent="0.45">
      <c r="A63" s="11" t="s">
        <v>76</v>
      </c>
      <c r="B63" s="12">
        <v>45667.606944444444</v>
      </c>
      <c r="C63" s="13">
        <v>175</v>
      </c>
      <c r="D63" s="14">
        <v>0.02</v>
      </c>
      <c r="E63" s="14">
        <v>0</v>
      </c>
      <c r="F63" s="14">
        <v>0.01</v>
      </c>
      <c r="G63" s="15">
        <v>0</v>
      </c>
      <c r="H63" s="16">
        <v>0</v>
      </c>
      <c r="I63" s="14">
        <v>109</v>
      </c>
      <c r="J63" s="14">
        <v>211</v>
      </c>
      <c r="K63" s="18">
        <v>0.9375</v>
      </c>
      <c r="L63" s="26" t="b">
        <f t="shared" si="1"/>
        <v>0</v>
      </c>
      <c r="M63" s="26" t="str">
        <f t="shared" ref="M63:M126" si="5">IF(MID(A63,11,1)="C","call","put")</f>
        <v>put</v>
      </c>
      <c r="N63" s="28">
        <f t="shared" si="4"/>
        <v>45940</v>
      </c>
      <c r="O63" s="29">
        <f t="shared" si="3"/>
        <v>5</v>
      </c>
    </row>
    <row r="64" spans="1:15" x14ac:dyDescent="0.45">
      <c r="A64" s="11" t="s">
        <v>77</v>
      </c>
      <c r="B64" s="12">
        <v>45726.647916666669</v>
      </c>
      <c r="C64" s="13">
        <v>180</v>
      </c>
      <c r="D64" s="14">
        <v>0.01</v>
      </c>
      <c r="E64" s="14">
        <v>0</v>
      </c>
      <c r="F64" s="14">
        <v>0.01</v>
      </c>
      <c r="G64" s="14">
        <v>0</v>
      </c>
      <c r="H64" s="18">
        <v>0</v>
      </c>
      <c r="I64" s="14">
        <v>43</v>
      </c>
      <c r="J64" s="17">
        <v>1322</v>
      </c>
      <c r="K64" s="18">
        <v>0.875</v>
      </c>
      <c r="L64" s="26" t="b">
        <f t="shared" ref="L64:L127" si="6">IF(M64="call",C64&lt;$P$1,C64&gt;$P$1)</f>
        <v>0</v>
      </c>
      <c r="M64" s="26" t="str">
        <f t="shared" si="5"/>
        <v>put</v>
      </c>
      <c r="N64" s="28">
        <f t="shared" si="4"/>
        <v>45940</v>
      </c>
      <c r="O64" s="29">
        <f t="shared" ref="O64:O127" si="7">N64-DATE(2025,10,5)</f>
        <v>5</v>
      </c>
    </row>
    <row r="65" spans="1:15" x14ac:dyDescent="0.45">
      <c r="A65" s="11" t="s">
        <v>78</v>
      </c>
      <c r="B65" s="12">
        <v>45726.631944444445</v>
      </c>
      <c r="C65" s="13">
        <v>185</v>
      </c>
      <c r="D65" s="14">
        <v>0.02</v>
      </c>
      <c r="E65" s="14">
        <v>0</v>
      </c>
      <c r="F65" s="14">
        <v>0.03</v>
      </c>
      <c r="G65" s="19">
        <v>0.01</v>
      </c>
      <c r="H65" s="20">
        <v>1</v>
      </c>
      <c r="I65" s="14">
        <v>103</v>
      </c>
      <c r="J65" s="17">
        <v>1120</v>
      </c>
      <c r="K65" s="18">
        <v>0.90629999999999999</v>
      </c>
      <c r="L65" s="26" t="b">
        <f t="shared" si="6"/>
        <v>0</v>
      </c>
      <c r="M65" s="26" t="str">
        <f t="shared" si="5"/>
        <v>put</v>
      </c>
      <c r="N65" s="28">
        <f t="shared" si="4"/>
        <v>45940</v>
      </c>
      <c r="O65" s="29">
        <f t="shared" si="7"/>
        <v>5</v>
      </c>
    </row>
    <row r="66" spans="1:15" x14ac:dyDescent="0.45">
      <c r="A66" s="11" t="s">
        <v>79</v>
      </c>
      <c r="B66" s="12">
        <v>45726.604166666664</v>
      </c>
      <c r="C66" s="13">
        <v>190</v>
      </c>
      <c r="D66" s="14">
        <v>0.01</v>
      </c>
      <c r="E66" s="14">
        <v>0</v>
      </c>
      <c r="F66" s="14">
        <v>0.02</v>
      </c>
      <c r="G66" s="14">
        <v>0</v>
      </c>
      <c r="H66" s="18">
        <v>0</v>
      </c>
      <c r="I66" s="14">
        <v>58</v>
      </c>
      <c r="J66" s="14">
        <v>849</v>
      </c>
      <c r="K66" s="18">
        <v>0.8125</v>
      </c>
      <c r="L66" s="26" t="b">
        <f t="shared" si="6"/>
        <v>0</v>
      </c>
      <c r="M66" s="26" t="str">
        <f t="shared" si="5"/>
        <v>put</v>
      </c>
      <c r="N66" s="28">
        <f t="shared" si="4"/>
        <v>45940</v>
      </c>
      <c r="O66" s="29">
        <f t="shared" si="7"/>
        <v>5</v>
      </c>
    </row>
    <row r="67" spans="1:15" x14ac:dyDescent="0.45">
      <c r="A67" s="11" t="s">
        <v>80</v>
      </c>
      <c r="B67" s="12">
        <v>45667.634027777778</v>
      </c>
      <c r="C67" s="13">
        <v>195</v>
      </c>
      <c r="D67" s="14">
        <v>0.01</v>
      </c>
      <c r="E67" s="14">
        <v>0</v>
      </c>
      <c r="F67" s="14">
        <v>0.02</v>
      </c>
      <c r="G67" s="15">
        <v>-0.01</v>
      </c>
      <c r="H67" s="16">
        <v>-0.5</v>
      </c>
      <c r="I67" s="14">
        <v>1</v>
      </c>
      <c r="J67" s="14">
        <v>343</v>
      </c>
      <c r="K67" s="18">
        <v>0.74219999999999997</v>
      </c>
      <c r="L67" s="26" t="b">
        <f t="shared" si="6"/>
        <v>0</v>
      </c>
      <c r="M67" s="26" t="str">
        <f t="shared" si="5"/>
        <v>put</v>
      </c>
      <c r="N67" s="28">
        <f t="shared" si="4"/>
        <v>45940</v>
      </c>
      <c r="O67" s="29">
        <f t="shared" si="7"/>
        <v>5</v>
      </c>
    </row>
    <row r="68" spans="1:15" x14ac:dyDescent="0.45">
      <c r="A68" s="11" t="s">
        <v>81</v>
      </c>
      <c r="B68" s="12">
        <v>45726.65902777778</v>
      </c>
      <c r="C68" s="13">
        <v>200</v>
      </c>
      <c r="D68" s="14">
        <v>0.01</v>
      </c>
      <c r="E68" s="14">
        <v>0.01</v>
      </c>
      <c r="F68" s="14">
        <v>0.02</v>
      </c>
      <c r="G68" s="15">
        <v>-0.01</v>
      </c>
      <c r="H68" s="16">
        <v>-0.5</v>
      </c>
      <c r="I68" s="14">
        <v>29</v>
      </c>
      <c r="J68" s="17">
        <v>1473</v>
      </c>
      <c r="K68" s="18">
        <v>0.70309999999999995</v>
      </c>
      <c r="L68" s="26" t="b">
        <f t="shared" si="6"/>
        <v>0</v>
      </c>
      <c r="M68" s="26" t="str">
        <f t="shared" si="5"/>
        <v>put</v>
      </c>
      <c r="N68" s="28">
        <f t="shared" si="4"/>
        <v>45940</v>
      </c>
      <c r="O68" s="29">
        <f t="shared" si="7"/>
        <v>5</v>
      </c>
    </row>
    <row r="69" spans="1:15" x14ac:dyDescent="0.45">
      <c r="A69" s="11" t="s">
        <v>82</v>
      </c>
      <c r="B69" s="12">
        <v>45726.638194444444</v>
      </c>
      <c r="C69" s="13">
        <v>205</v>
      </c>
      <c r="D69" s="14">
        <v>0.02</v>
      </c>
      <c r="E69" s="14">
        <v>0.01</v>
      </c>
      <c r="F69" s="14">
        <v>0.02</v>
      </c>
      <c r="G69" s="15">
        <v>-0.01</v>
      </c>
      <c r="H69" s="16">
        <v>-0.33329999999999999</v>
      </c>
      <c r="I69" s="14">
        <v>58</v>
      </c>
      <c r="J69" s="17">
        <v>3664</v>
      </c>
      <c r="K69" s="18">
        <v>0.64059999999999995</v>
      </c>
      <c r="L69" s="26" t="b">
        <f t="shared" si="6"/>
        <v>0</v>
      </c>
      <c r="M69" s="26" t="str">
        <f t="shared" si="5"/>
        <v>put</v>
      </c>
      <c r="N69" s="28">
        <f t="shared" si="4"/>
        <v>45940</v>
      </c>
      <c r="O69" s="29">
        <f t="shared" si="7"/>
        <v>5</v>
      </c>
    </row>
    <row r="70" spans="1:15" x14ac:dyDescent="0.45">
      <c r="A70" s="11" t="s">
        <v>83</v>
      </c>
      <c r="B70" s="12">
        <v>45726.645833333336</v>
      </c>
      <c r="C70" s="13">
        <v>210</v>
      </c>
      <c r="D70" s="14">
        <v>0.03</v>
      </c>
      <c r="E70" s="14">
        <v>0.02</v>
      </c>
      <c r="F70" s="14">
        <v>0.03</v>
      </c>
      <c r="G70" s="15">
        <v>0</v>
      </c>
      <c r="H70" s="16">
        <v>0</v>
      </c>
      <c r="I70" s="14">
        <v>117</v>
      </c>
      <c r="J70" s="17">
        <v>1348</v>
      </c>
      <c r="K70" s="18">
        <v>0.61329999999999996</v>
      </c>
      <c r="L70" s="26" t="b">
        <f t="shared" si="6"/>
        <v>0</v>
      </c>
      <c r="M70" s="26" t="str">
        <f t="shared" si="5"/>
        <v>put</v>
      </c>
      <c r="N70" s="28">
        <f t="shared" si="4"/>
        <v>45940</v>
      </c>
      <c r="O70" s="29">
        <f t="shared" si="7"/>
        <v>5</v>
      </c>
    </row>
    <row r="71" spans="1:15" x14ac:dyDescent="0.45">
      <c r="A71" s="11" t="s">
        <v>84</v>
      </c>
      <c r="B71" s="12">
        <v>45726.561111111114</v>
      </c>
      <c r="C71" s="13">
        <v>215</v>
      </c>
      <c r="D71" s="14">
        <v>0.02</v>
      </c>
      <c r="E71" s="14">
        <v>0.02</v>
      </c>
      <c r="F71" s="14">
        <v>0.03</v>
      </c>
      <c r="G71" s="15">
        <v>0</v>
      </c>
      <c r="H71" s="16">
        <v>0</v>
      </c>
      <c r="I71" s="14">
        <v>116</v>
      </c>
      <c r="J71" s="17">
        <v>1159</v>
      </c>
      <c r="K71" s="18">
        <v>0.54690000000000005</v>
      </c>
      <c r="L71" s="26" t="b">
        <f t="shared" si="6"/>
        <v>0</v>
      </c>
      <c r="M71" s="26" t="str">
        <f t="shared" si="5"/>
        <v>put</v>
      </c>
      <c r="N71" s="28">
        <f t="shared" si="4"/>
        <v>45940</v>
      </c>
      <c r="O71" s="29">
        <f t="shared" si="7"/>
        <v>5</v>
      </c>
    </row>
    <row r="72" spans="1:15" x14ac:dyDescent="0.45">
      <c r="A72" s="11" t="s">
        <v>85</v>
      </c>
      <c r="B72" s="12">
        <v>45726.431250000001</v>
      </c>
      <c r="C72" s="13">
        <v>217.5</v>
      </c>
      <c r="D72" s="14">
        <v>0.03</v>
      </c>
      <c r="E72" s="14">
        <v>0.02</v>
      </c>
      <c r="F72" s="14">
        <v>0.03</v>
      </c>
      <c r="G72" s="15">
        <v>-0.01</v>
      </c>
      <c r="H72" s="16">
        <v>-0.25</v>
      </c>
      <c r="I72" s="14">
        <v>8</v>
      </c>
      <c r="J72" s="17">
        <v>1152</v>
      </c>
      <c r="K72" s="18">
        <v>0.51559999999999995</v>
      </c>
      <c r="L72" s="26" t="b">
        <f t="shared" si="6"/>
        <v>0</v>
      </c>
      <c r="M72" s="26" t="str">
        <f t="shared" si="5"/>
        <v>put</v>
      </c>
      <c r="N72" s="28">
        <f t="shared" si="4"/>
        <v>45940</v>
      </c>
      <c r="O72" s="29">
        <f t="shared" si="7"/>
        <v>5</v>
      </c>
    </row>
    <row r="73" spans="1:15" x14ac:dyDescent="0.45">
      <c r="A73" s="11" t="s">
        <v>86</v>
      </c>
      <c r="B73" s="12">
        <v>45726.663888888892</v>
      </c>
      <c r="C73" s="13">
        <v>220</v>
      </c>
      <c r="D73" s="14">
        <v>0.02</v>
      </c>
      <c r="E73" s="14">
        <v>0.02</v>
      </c>
      <c r="F73" s="14">
        <v>0.04</v>
      </c>
      <c r="G73" s="15">
        <v>-0.01</v>
      </c>
      <c r="H73" s="16">
        <v>-0.33329999999999999</v>
      </c>
      <c r="I73" s="14">
        <v>445</v>
      </c>
      <c r="J73" s="17">
        <v>6120</v>
      </c>
      <c r="K73" s="18">
        <v>0.51370000000000005</v>
      </c>
      <c r="L73" s="26" t="b">
        <f t="shared" si="6"/>
        <v>0</v>
      </c>
      <c r="M73" s="26" t="str">
        <f t="shared" si="5"/>
        <v>put</v>
      </c>
      <c r="N73" s="28">
        <f t="shared" si="4"/>
        <v>45940</v>
      </c>
      <c r="O73" s="29">
        <f t="shared" si="7"/>
        <v>5</v>
      </c>
    </row>
    <row r="74" spans="1:15" x14ac:dyDescent="0.45">
      <c r="A74" s="11" t="s">
        <v>87</v>
      </c>
      <c r="B74" s="12">
        <v>45726.661805555559</v>
      </c>
      <c r="C74" s="13">
        <v>222.5</v>
      </c>
      <c r="D74" s="14">
        <v>0.03</v>
      </c>
      <c r="E74" s="14">
        <v>0.02</v>
      </c>
      <c r="F74" s="14">
        <v>0.03</v>
      </c>
      <c r="G74" s="15">
        <v>-0.01</v>
      </c>
      <c r="H74" s="16">
        <v>-0.25</v>
      </c>
      <c r="I74" s="14">
        <v>191</v>
      </c>
      <c r="J74" s="14">
        <v>318</v>
      </c>
      <c r="K74" s="18">
        <v>0.46479999999999999</v>
      </c>
      <c r="L74" s="26" t="b">
        <f t="shared" si="6"/>
        <v>0</v>
      </c>
      <c r="M74" s="26" t="str">
        <f t="shared" si="5"/>
        <v>put</v>
      </c>
      <c r="N74" s="28">
        <f t="shared" si="4"/>
        <v>45940</v>
      </c>
      <c r="O74" s="29">
        <f t="shared" si="7"/>
        <v>5</v>
      </c>
    </row>
    <row r="75" spans="1:15" x14ac:dyDescent="0.45">
      <c r="A75" s="11" t="s">
        <v>88</v>
      </c>
      <c r="B75" s="12">
        <v>45726.642361111109</v>
      </c>
      <c r="C75" s="13">
        <v>225</v>
      </c>
      <c r="D75" s="14">
        <v>0.04</v>
      </c>
      <c r="E75" s="14">
        <v>0.03</v>
      </c>
      <c r="F75" s="14">
        <v>0.04</v>
      </c>
      <c r="G75" s="15">
        <v>-0.01</v>
      </c>
      <c r="H75" s="16">
        <v>-0.2</v>
      </c>
      <c r="I75" s="14">
        <v>163</v>
      </c>
      <c r="J75" s="17">
        <v>2628</v>
      </c>
      <c r="K75" s="18">
        <v>0.44919999999999999</v>
      </c>
      <c r="L75" s="26" t="b">
        <f t="shared" si="6"/>
        <v>0</v>
      </c>
      <c r="M75" s="26" t="str">
        <f t="shared" si="5"/>
        <v>put</v>
      </c>
      <c r="N75" s="28">
        <f t="shared" si="4"/>
        <v>45940</v>
      </c>
      <c r="O75" s="29">
        <f t="shared" si="7"/>
        <v>5</v>
      </c>
    </row>
    <row r="76" spans="1:15" x14ac:dyDescent="0.45">
      <c r="A76" s="11" t="s">
        <v>89</v>
      </c>
      <c r="B76" s="12">
        <v>45726.59652777778</v>
      </c>
      <c r="C76" s="13">
        <v>227.5</v>
      </c>
      <c r="D76" s="14">
        <v>0.05</v>
      </c>
      <c r="E76" s="14">
        <v>0.03</v>
      </c>
      <c r="F76" s="14">
        <v>0.04</v>
      </c>
      <c r="G76" s="15">
        <v>0</v>
      </c>
      <c r="H76" s="16">
        <v>0</v>
      </c>
      <c r="I76" s="14">
        <v>137</v>
      </c>
      <c r="J76" s="14">
        <v>353</v>
      </c>
      <c r="K76" s="18">
        <v>0.41599999999999998</v>
      </c>
      <c r="L76" s="26" t="b">
        <f t="shared" si="6"/>
        <v>0</v>
      </c>
      <c r="M76" s="26" t="str">
        <f t="shared" si="5"/>
        <v>put</v>
      </c>
      <c r="N76" s="28">
        <f t="shared" si="4"/>
        <v>45940</v>
      </c>
      <c r="O76" s="29">
        <f t="shared" si="7"/>
        <v>5</v>
      </c>
    </row>
    <row r="77" spans="1:15" x14ac:dyDescent="0.45">
      <c r="A77" s="11" t="s">
        <v>90</v>
      </c>
      <c r="B77" s="12">
        <v>45726.665972222225</v>
      </c>
      <c r="C77" s="13">
        <v>230</v>
      </c>
      <c r="D77" s="14">
        <v>0.04</v>
      </c>
      <c r="E77" s="14">
        <v>0.04</v>
      </c>
      <c r="F77" s="14">
        <v>0.05</v>
      </c>
      <c r="G77" s="14">
        <v>-0.02</v>
      </c>
      <c r="H77" s="18">
        <v>-0.33329999999999999</v>
      </c>
      <c r="I77" s="14">
        <v>309</v>
      </c>
      <c r="J77" s="17">
        <v>2582</v>
      </c>
      <c r="K77" s="18">
        <v>0.39650000000000002</v>
      </c>
      <c r="L77" s="26" t="b">
        <f t="shared" si="6"/>
        <v>0</v>
      </c>
      <c r="M77" s="26" t="str">
        <f t="shared" si="5"/>
        <v>put</v>
      </c>
      <c r="N77" s="28">
        <f t="shared" si="4"/>
        <v>45940</v>
      </c>
      <c r="O77" s="29">
        <f t="shared" si="7"/>
        <v>5</v>
      </c>
    </row>
    <row r="78" spans="1:15" x14ac:dyDescent="0.45">
      <c r="A78" s="11" t="s">
        <v>91</v>
      </c>
      <c r="B78" s="12">
        <v>45726.644444444442</v>
      </c>
      <c r="C78" s="13">
        <v>232.5</v>
      </c>
      <c r="D78" s="14">
        <v>0.05</v>
      </c>
      <c r="E78" s="14">
        <v>0.05</v>
      </c>
      <c r="F78" s="14">
        <v>0.06</v>
      </c>
      <c r="G78" s="15">
        <v>-0.02</v>
      </c>
      <c r="H78" s="16">
        <v>-0.28570000000000001</v>
      </c>
      <c r="I78" s="14">
        <v>175</v>
      </c>
      <c r="J78" s="17">
        <v>1286</v>
      </c>
      <c r="K78" s="18">
        <v>0.37209999999999999</v>
      </c>
      <c r="L78" s="26" t="b">
        <f t="shared" si="6"/>
        <v>0</v>
      </c>
      <c r="M78" s="26" t="str">
        <f t="shared" si="5"/>
        <v>put</v>
      </c>
      <c r="N78" s="28">
        <f t="shared" si="4"/>
        <v>45940</v>
      </c>
      <c r="O78" s="29">
        <f t="shared" si="7"/>
        <v>5</v>
      </c>
    </row>
    <row r="79" spans="1:15" x14ac:dyDescent="0.45">
      <c r="A79" s="11" t="s">
        <v>92</v>
      </c>
      <c r="B79" s="12">
        <v>45726.663888888892</v>
      </c>
      <c r="C79" s="13">
        <v>235</v>
      </c>
      <c r="D79" s="14">
        <v>0.06</v>
      </c>
      <c r="E79" s="14">
        <v>0.06</v>
      </c>
      <c r="F79" s="14">
        <v>7.0000000000000007E-2</v>
      </c>
      <c r="G79" s="15">
        <v>-0.03</v>
      </c>
      <c r="H79" s="16">
        <v>-0.33329999999999999</v>
      </c>
      <c r="I79" s="14">
        <v>835</v>
      </c>
      <c r="J79" s="17">
        <v>2480</v>
      </c>
      <c r="K79" s="18">
        <v>0.34670000000000001</v>
      </c>
      <c r="L79" s="26" t="b">
        <f t="shared" si="6"/>
        <v>0</v>
      </c>
      <c r="M79" s="26" t="str">
        <f t="shared" si="5"/>
        <v>put</v>
      </c>
      <c r="N79" s="28">
        <f t="shared" si="4"/>
        <v>45940</v>
      </c>
      <c r="O79" s="29">
        <f t="shared" si="7"/>
        <v>5</v>
      </c>
    </row>
    <row r="80" spans="1:15" x14ac:dyDescent="0.45">
      <c r="A80" s="11" t="s">
        <v>93</v>
      </c>
      <c r="B80" s="12">
        <v>45726.662499999999</v>
      </c>
      <c r="C80" s="13">
        <v>237.5</v>
      </c>
      <c r="D80" s="14">
        <v>0.14000000000000001</v>
      </c>
      <c r="E80" s="14">
        <v>0.08</v>
      </c>
      <c r="F80" s="14">
        <v>0.09</v>
      </c>
      <c r="G80" s="19">
        <v>0.02</v>
      </c>
      <c r="H80" s="20">
        <v>0.16669999999999999</v>
      </c>
      <c r="I80" s="14">
        <v>400</v>
      </c>
      <c r="J80" s="17">
        <v>1375</v>
      </c>
      <c r="K80" s="18">
        <v>0.32519999999999999</v>
      </c>
      <c r="L80" s="26" t="b">
        <f t="shared" si="6"/>
        <v>0</v>
      </c>
      <c r="M80" s="26" t="str">
        <f t="shared" si="5"/>
        <v>put</v>
      </c>
      <c r="N80" s="28">
        <f t="shared" si="4"/>
        <v>45940</v>
      </c>
      <c r="O80" s="29">
        <f t="shared" si="7"/>
        <v>5</v>
      </c>
    </row>
    <row r="81" spans="1:15" x14ac:dyDescent="0.45">
      <c r="A81" s="11" t="s">
        <v>94</v>
      </c>
      <c r="B81" s="12">
        <v>45726.665972222225</v>
      </c>
      <c r="C81" s="13">
        <v>240</v>
      </c>
      <c r="D81" s="14">
        <v>0.12</v>
      </c>
      <c r="E81" s="14">
        <v>0.11</v>
      </c>
      <c r="F81" s="14">
        <v>0.13</v>
      </c>
      <c r="G81" s="14">
        <v>-0.05</v>
      </c>
      <c r="H81" s="18">
        <v>-0.29409999999999997</v>
      </c>
      <c r="I81" s="17">
        <v>1440</v>
      </c>
      <c r="J81" s="17">
        <v>3523</v>
      </c>
      <c r="K81" s="18">
        <v>0.30859999999999999</v>
      </c>
      <c r="L81" s="26" t="b">
        <f t="shared" si="6"/>
        <v>0</v>
      </c>
      <c r="M81" s="26" t="str">
        <f t="shared" si="5"/>
        <v>put</v>
      </c>
      <c r="N81" s="28">
        <f t="shared" si="4"/>
        <v>45940</v>
      </c>
      <c r="O81" s="29">
        <f t="shared" si="7"/>
        <v>5</v>
      </c>
    </row>
    <row r="82" spans="1:15" x14ac:dyDescent="0.45">
      <c r="A82" s="11" t="s">
        <v>95</v>
      </c>
      <c r="B82" s="12">
        <v>45726.665277777778</v>
      </c>
      <c r="C82" s="13">
        <v>242.5</v>
      </c>
      <c r="D82" s="14">
        <v>0.18</v>
      </c>
      <c r="E82" s="14">
        <v>0.16</v>
      </c>
      <c r="F82" s="14">
        <v>0.18</v>
      </c>
      <c r="G82" s="14">
        <v>-0.05</v>
      </c>
      <c r="H82" s="18">
        <v>-0.21740000000000001</v>
      </c>
      <c r="I82" s="17">
        <v>2346</v>
      </c>
      <c r="J82" s="17">
        <v>3001</v>
      </c>
      <c r="K82" s="18">
        <v>0.28910000000000002</v>
      </c>
      <c r="L82" s="26" t="b">
        <f t="shared" si="6"/>
        <v>0</v>
      </c>
      <c r="M82" s="26" t="str">
        <f t="shared" si="5"/>
        <v>put</v>
      </c>
      <c r="N82" s="28">
        <f t="shared" si="4"/>
        <v>45940</v>
      </c>
      <c r="O82" s="29">
        <f t="shared" si="7"/>
        <v>5</v>
      </c>
    </row>
    <row r="83" spans="1:15" x14ac:dyDescent="0.45">
      <c r="A83" s="11" t="s">
        <v>96</v>
      </c>
      <c r="B83" s="12">
        <v>45726.665972222225</v>
      </c>
      <c r="C83" s="13">
        <v>245</v>
      </c>
      <c r="D83" s="14">
        <v>0.27</v>
      </c>
      <c r="E83" s="14">
        <v>0.26</v>
      </c>
      <c r="F83" s="14">
        <v>0.27</v>
      </c>
      <c r="G83" s="15">
        <v>-0.1</v>
      </c>
      <c r="H83" s="16">
        <v>-0.27029999999999998</v>
      </c>
      <c r="I83" s="17">
        <v>4761</v>
      </c>
      <c r="J83" s="17">
        <v>4144</v>
      </c>
      <c r="K83" s="18">
        <v>0.27300000000000002</v>
      </c>
      <c r="L83" s="26" t="b">
        <f t="shared" si="6"/>
        <v>0</v>
      </c>
      <c r="M83" s="26" t="str">
        <f t="shared" si="5"/>
        <v>put</v>
      </c>
      <c r="N83" s="28">
        <f t="shared" si="4"/>
        <v>45940</v>
      </c>
      <c r="O83" s="29">
        <f t="shared" si="7"/>
        <v>5</v>
      </c>
    </row>
    <row r="84" spans="1:15" x14ac:dyDescent="0.45">
      <c r="A84" s="11" t="s">
        <v>97</v>
      </c>
      <c r="B84" s="12">
        <v>45726.665972222225</v>
      </c>
      <c r="C84" s="13">
        <v>247.5</v>
      </c>
      <c r="D84" s="14">
        <v>0.43</v>
      </c>
      <c r="E84" s="14">
        <v>0.41</v>
      </c>
      <c r="F84" s="14">
        <v>0.44</v>
      </c>
      <c r="G84" s="15">
        <v>-0.14000000000000001</v>
      </c>
      <c r="H84" s="16">
        <v>-0.24560000000000001</v>
      </c>
      <c r="I84" s="17">
        <v>3242</v>
      </c>
      <c r="J84" s="17">
        <v>4073</v>
      </c>
      <c r="K84" s="18">
        <v>0.26219999999999999</v>
      </c>
      <c r="L84" s="26" t="b">
        <f t="shared" si="6"/>
        <v>0</v>
      </c>
      <c r="M84" s="26" t="str">
        <f t="shared" si="5"/>
        <v>put</v>
      </c>
      <c r="N84" s="28">
        <f t="shared" si="4"/>
        <v>45940</v>
      </c>
      <c r="O84" s="29">
        <f t="shared" si="7"/>
        <v>5</v>
      </c>
    </row>
    <row r="85" spans="1:15" x14ac:dyDescent="0.45">
      <c r="A85" s="11" t="s">
        <v>98</v>
      </c>
      <c r="B85" s="12">
        <v>45726.665972222225</v>
      </c>
      <c r="C85" s="13">
        <v>250</v>
      </c>
      <c r="D85" s="14">
        <v>0.7</v>
      </c>
      <c r="E85" s="14">
        <v>0.68</v>
      </c>
      <c r="F85" s="14">
        <v>0.7</v>
      </c>
      <c r="G85" s="15">
        <v>-0.2</v>
      </c>
      <c r="H85" s="16">
        <v>-0.22220000000000001</v>
      </c>
      <c r="I85" s="17">
        <v>14974</v>
      </c>
      <c r="J85" s="17">
        <v>6151</v>
      </c>
      <c r="K85" s="18">
        <v>0.25030000000000002</v>
      </c>
      <c r="L85" s="26" t="b">
        <f t="shared" si="6"/>
        <v>0</v>
      </c>
      <c r="M85" s="26" t="str">
        <f t="shared" si="5"/>
        <v>put</v>
      </c>
      <c r="N85" s="28">
        <f t="shared" si="4"/>
        <v>45940</v>
      </c>
      <c r="O85" s="29">
        <f t="shared" si="7"/>
        <v>5</v>
      </c>
    </row>
    <row r="86" spans="1:15" x14ac:dyDescent="0.45">
      <c r="A86" s="11" t="s">
        <v>99</v>
      </c>
      <c r="B86" s="12">
        <v>45726.665972222225</v>
      </c>
      <c r="C86" s="13">
        <v>252.5</v>
      </c>
      <c r="D86" s="14">
        <v>1.1200000000000001</v>
      </c>
      <c r="E86" s="14">
        <v>1.0900000000000001</v>
      </c>
      <c r="F86" s="14">
        <v>1.1200000000000001</v>
      </c>
      <c r="G86" s="15">
        <v>-0.28000000000000003</v>
      </c>
      <c r="H86" s="16">
        <v>-0.2</v>
      </c>
      <c r="I86" s="17">
        <v>11248</v>
      </c>
      <c r="J86" s="17">
        <v>5051</v>
      </c>
      <c r="K86" s="18">
        <v>0.2402</v>
      </c>
      <c r="L86" s="26" t="b">
        <f t="shared" si="6"/>
        <v>0</v>
      </c>
      <c r="M86" s="26" t="str">
        <f t="shared" si="5"/>
        <v>put</v>
      </c>
      <c r="N86" s="28">
        <f t="shared" si="4"/>
        <v>45940</v>
      </c>
      <c r="O86" s="29">
        <f t="shared" si="7"/>
        <v>5</v>
      </c>
    </row>
    <row r="87" spans="1:15" x14ac:dyDescent="0.45">
      <c r="A87" s="11" t="s">
        <v>100</v>
      </c>
      <c r="B87" s="12">
        <v>45726.665972222225</v>
      </c>
      <c r="C87" s="13">
        <v>255</v>
      </c>
      <c r="D87" s="14">
        <v>1.74</v>
      </c>
      <c r="E87" s="14">
        <v>1.71</v>
      </c>
      <c r="F87" s="14">
        <v>1.75</v>
      </c>
      <c r="G87" s="15">
        <v>-0.42</v>
      </c>
      <c r="H87" s="16">
        <v>-0.19439999999999999</v>
      </c>
      <c r="I87" s="17">
        <v>21404</v>
      </c>
      <c r="J87" s="17">
        <v>4210</v>
      </c>
      <c r="K87" s="18">
        <v>0.23050000000000001</v>
      </c>
      <c r="L87" s="26" t="b">
        <f t="shared" si="6"/>
        <v>0</v>
      </c>
      <c r="M87" s="26" t="str">
        <f t="shared" si="5"/>
        <v>put</v>
      </c>
      <c r="N87" s="28">
        <f t="shared" si="4"/>
        <v>45940</v>
      </c>
      <c r="O87" s="29">
        <f t="shared" si="7"/>
        <v>5</v>
      </c>
    </row>
    <row r="88" spans="1:15" x14ac:dyDescent="0.45">
      <c r="A88" s="11" t="s">
        <v>101</v>
      </c>
      <c r="B88" s="12">
        <v>45726.665972222225</v>
      </c>
      <c r="C88" s="13">
        <v>257.5</v>
      </c>
      <c r="D88" s="14">
        <v>2.66</v>
      </c>
      <c r="E88" s="14">
        <v>2.59</v>
      </c>
      <c r="F88" s="14">
        <v>2.71</v>
      </c>
      <c r="G88" s="15">
        <v>-0.49</v>
      </c>
      <c r="H88" s="16">
        <v>-0.15559999999999999</v>
      </c>
      <c r="I88" s="17">
        <v>11360</v>
      </c>
      <c r="J88" s="17">
        <v>2596</v>
      </c>
      <c r="K88" s="18">
        <v>0.22470000000000001</v>
      </c>
      <c r="L88" s="26" t="b">
        <f t="shared" si="6"/>
        <v>0</v>
      </c>
      <c r="M88" s="26" t="str">
        <f t="shared" si="5"/>
        <v>put</v>
      </c>
      <c r="N88" s="28">
        <f t="shared" si="4"/>
        <v>45940</v>
      </c>
      <c r="O88" s="29">
        <f t="shared" si="7"/>
        <v>5</v>
      </c>
    </row>
    <row r="89" spans="1:15" x14ac:dyDescent="0.45">
      <c r="A89" s="1" t="s">
        <v>102</v>
      </c>
      <c r="B89" s="2">
        <v>45726.665972222225</v>
      </c>
      <c r="C89" s="3">
        <v>260</v>
      </c>
      <c r="D89" s="4">
        <v>4</v>
      </c>
      <c r="E89" s="4">
        <v>3.85</v>
      </c>
      <c r="F89" s="4">
        <v>4</v>
      </c>
      <c r="G89" s="8">
        <v>-0.6</v>
      </c>
      <c r="H89" s="9">
        <v>-0.13039999999999999</v>
      </c>
      <c r="I89" s="10">
        <v>6196</v>
      </c>
      <c r="J89" s="4">
        <v>680</v>
      </c>
      <c r="K89" s="5">
        <v>0.21920000000000001</v>
      </c>
      <c r="L89" s="26" t="b">
        <f t="shared" si="6"/>
        <v>1</v>
      </c>
      <c r="M89" s="26" t="str">
        <f t="shared" si="5"/>
        <v>put</v>
      </c>
      <c r="N89" s="28">
        <f t="shared" si="4"/>
        <v>45940</v>
      </c>
      <c r="O89" s="29">
        <f t="shared" si="7"/>
        <v>5</v>
      </c>
    </row>
    <row r="90" spans="1:15" x14ac:dyDescent="0.45">
      <c r="A90" s="1" t="s">
        <v>103</v>
      </c>
      <c r="B90" s="2">
        <v>45726.662499999999</v>
      </c>
      <c r="C90" s="3">
        <v>262.5</v>
      </c>
      <c r="D90" s="4">
        <v>6</v>
      </c>
      <c r="E90" s="4">
        <v>5.5</v>
      </c>
      <c r="F90" s="4">
        <v>5.65</v>
      </c>
      <c r="G90" s="8">
        <v>-0.5</v>
      </c>
      <c r="H90" s="9">
        <v>-7.6899999999999996E-2</v>
      </c>
      <c r="I90" s="10">
        <v>1853</v>
      </c>
      <c r="J90" s="4">
        <v>843</v>
      </c>
      <c r="K90" s="5">
        <v>0.2157</v>
      </c>
      <c r="L90" s="26" t="b">
        <f t="shared" si="6"/>
        <v>1</v>
      </c>
      <c r="M90" s="26" t="str">
        <f t="shared" si="5"/>
        <v>put</v>
      </c>
      <c r="N90" s="28">
        <f t="shared" si="4"/>
        <v>45940</v>
      </c>
      <c r="O90" s="29">
        <f t="shared" si="7"/>
        <v>5</v>
      </c>
    </row>
    <row r="91" spans="1:15" x14ac:dyDescent="0.45">
      <c r="A91" s="1" t="s">
        <v>104</v>
      </c>
      <c r="B91" s="2">
        <v>45726.665277777778</v>
      </c>
      <c r="C91" s="3">
        <v>265</v>
      </c>
      <c r="D91" s="4">
        <v>7.6</v>
      </c>
      <c r="E91" s="4">
        <v>7.4</v>
      </c>
      <c r="F91" s="4">
        <v>7.6</v>
      </c>
      <c r="G91" s="8">
        <v>-0.7</v>
      </c>
      <c r="H91" s="9">
        <v>-8.43E-2</v>
      </c>
      <c r="I91" s="10">
        <v>1128</v>
      </c>
      <c r="J91" s="4">
        <v>222</v>
      </c>
      <c r="K91" s="5">
        <v>0.21290000000000001</v>
      </c>
      <c r="L91" s="26" t="b">
        <f t="shared" si="6"/>
        <v>1</v>
      </c>
      <c r="M91" s="26" t="str">
        <f t="shared" si="5"/>
        <v>put</v>
      </c>
      <c r="N91" s="28">
        <f t="shared" si="4"/>
        <v>45940</v>
      </c>
      <c r="O91" s="29">
        <f t="shared" si="7"/>
        <v>5</v>
      </c>
    </row>
    <row r="92" spans="1:15" x14ac:dyDescent="0.45">
      <c r="A92" s="1" t="s">
        <v>105</v>
      </c>
      <c r="B92" s="2">
        <v>45726.469444444447</v>
      </c>
      <c r="C92" s="3">
        <v>267.5</v>
      </c>
      <c r="D92" s="4">
        <v>9.8800000000000008</v>
      </c>
      <c r="E92" s="4">
        <v>9.5</v>
      </c>
      <c r="F92" s="4">
        <v>10.050000000000001</v>
      </c>
      <c r="G92" s="8">
        <v>-0.62</v>
      </c>
      <c r="H92" s="9">
        <v>-5.8999999999999997E-2</v>
      </c>
      <c r="I92" s="4">
        <v>63</v>
      </c>
      <c r="J92" s="4">
        <v>21</v>
      </c>
      <c r="K92" s="5">
        <v>0.25290000000000001</v>
      </c>
      <c r="L92" s="26" t="b">
        <f t="shared" si="6"/>
        <v>1</v>
      </c>
      <c r="M92" s="26" t="str">
        <f t="shared" si="5"/>
        <v>put</v>
      </c>
      <c r="N92" s="28">
        <f t="shared" si="4"/>
        <v>45940</v>
      </c>
      <c r="O92" s="29">
        <f t="shared" si="7"/>
        <v>5</v>
      </c>
    </row>
    <row r="93" spans="1:15" x14ac:dyDescent="0.45">
      <c r="A93" s="1" t="s">
        <v>106</v>
      </c>
      <c r="B93" s="2">
        <v>45726.662499999999</v>
      </c>
      <c r="C93" s="3">
        <v>270</v>
      </c>
      <c r="D93" s="4">
        <v>12.47</v>
      </c>
      <c r="E93" s="4">
        <v>11.95</v>
      </c>
      <c r="F93" s="4">
        <v>12.3</v>
      </c>
      <c r="G93" s="6">
        <v>0.22</v>
      </c>
      <c r="H93" s="7">
        <v>1.7999999999999999E-2</v>
      </c>
      <c r="I93" s="4">
        <v>188</v>
      </c>
      <c r="J93" s="4">
        <v>125</v>
      </c>
      <c r="K93" s="5">
        <v>0.25419999999999998</v>
      </c>
      <c r="L93" s="26" t="b">
        <f t="shared" si="6"/>
        <v>1</v>
      </c>
      <c r="M93" s="26" t="str">
        <f t="shared" si="5"/>
        <v>put</v>
      </c>
      <c r="N93" s="28">
        <f t="shared" si="4"/>
        <v>45940</v>
      </c>
      <c r="O93" s="29">
        <f t="shared" si="7"/>
        <v>5</v>
      </c>
    </row>
    <row r="94" spans="1:15" x14ac:dyDescent="0.45">
      <c r="A94" s="1" t="s">
        <v>107</v>
      </c>
      <c r="B94" s="2">
        <v>45726.642361111109</v>
      </c>
      <c r="C94" s="3">
        <v>272.5</v>
      </c>
      <c r="D94" s="4">
        <v>14.6</v>
      </c>
      <c r="E94" s="4">
        <v>14.05</v>
      </c>
      <c r="F94" s="4">
        <v>14.95</v>
      </c>
      <c r="G94" s="8">
        <v>-1.99</v>
      </c>
      <c r="H94" s="9">
        <v>-0.12</v>
      </c>
      <c r="I94" s="4">
        <v>9</v>
      </c>
      <c r="J94" s="4">
        <v>1</v>
      </c>
      <c r="K94" s="5">
        <v>0.32129999999999997</v>
      </c>
      <c r="L94" s="26" t="b">
        <f t="shared" si="6"/>
        <v>1</v>
      </c>
      <c r="M94" s="26" t="str">
        <f t="shared" si="5"/>
        <v>put</v>
      </c>
      <c r="N94" s="28">
        <f t="shared" si="4"/>
        <v>45940</v>
      </c>
      <c r="O94" s="29">
        <f t="shared" si="7"/>
        <v>5</v>
      </c>
    </row>
    <row r="95" spans="1:15" x14ac:dyDescent="0.45">
      <c r="A95" s="1" t="s">
        <v>108</v>
      </c>
      <c r="B95" s="2">
        <v>45726.609722222223</v>
      </c>
      <c r="C95" s="3">
        <v>275</v>
      </c>
      <c r="D95" s="4">
        <v>16.95</v>
      </c>
      <c r="E95" s="4">
        <v>16.45</v>
      </c>
      <c r="F95" s="4">
        <v>17.55</v>
      </c>
      <c r="G95" s="8">
        <v>-0.55000000000000004</v>
      </c>
      <c r="H95" s="9">
        <v>-3.1399999999999997E-2</v>
      </c>
      <c r="I95" s="4">
        <v>63</v>
      </c>
      <c r="J95" s="4">
        <v>7</v>
      </c>
      <c r="K95" s="5">
        <v>0.37819999999999998</v>
      </c>
      <c r="L95" s="26" t="b">
        <f t="shared" si="6"/>
        <v>1</v>
      </c>
      <c r="M95" s="26" t="str">
        <f t="shared" si="5"/>
        <v>put</v>
      </c>
      <c r="N95" s="28">
        <f t="shared" si="4"/>
        <v>45940</v>
      </c>
      <c r="O95" s="29">
        <f t="shared" si="7"/>
        <v>5</v>
      </c>
    </row>
    <row r="96" spans="1:15" x14ac:dyDescent="0.45">
      <c r="A96" s="1" t="s">
        <v>109</v>
      </c>
      <c r="B96" s="2">
        <v>45726.597916666666</v>
      </c>
      <c r="C96" s="3">
        <v>280</v>
      </c>
      <c r="D96" s="4">
        <v>21.6</v>
      </c>
      <c r="E96" s="4">
        <v>21.55</v>
      </c>
      <c r="F96" s="4">
        <v>22.5</v>
      </c>
      <c r="G96" s="8">
        <v>-2</v>
      </c>
      <c r="H96" s="9">
        <v>-8.4699999999999998E-2</v>
      </c>
      <c r="I96" s="4">
        <v>25</v>
      </c>
      <c r="J96" s="4">
        <v>5</v>
      </c>
      <c r="K96" s="5">
        <v>0.44429999999999997</v>
      </c>
      <c r="L96" s="26" t="b">
        <f t="shared" si="6"/>
        <v>1</v>
      </c>
      <c r="M96" s="26" t="str">
        <f t="shared" si="5"/>
        <v>put</v>
      </c>
      <c r="N96" s="28">
        <f t="shared" si="4"/>
        <v>45940</v>
      </c>
      <c r="O96" s="29">
        <f t="shared" si="7"/>
        <v>5</v>
      </c>
    </row>
    <row r="97" spans="1:15" x14ac:dyDescent="0.45">
      <c r="A97" s="1" t="s">
        <v>110</v>
      </c>
      <c r="B97" s="4" t="s">
        <v>111</v>
      </c>
      <c r="C97" s="3">
        <v>290</v>
      </c>
      <c r="D97" s="4">
        <v>36.46</v>
      </c>
      <c r="E97" s="4">
        <v>31.6</v>
      </c>
      <c r="F97" s="4">
        <v>32.549999999999997</v>
      </c>
      <c r="G97" s="4">
        <v>0</v>
      </c>
      <c r="H97" s="5">
        <v>0</v>
      </c>
      <c r="I97" s="4">
        <v>2</v>
      </c>
      <c r="J97" s="4">
        <v>0</v>
      </c>
      <c r="K97" s="5">
        <v>0.59550000000000003</v>
      </c>
      <c r="L97" s="26" t="b">
        <f t="shared" si="6"/>
        <v>1</v>
      </c>
      <c r="M97" s="26" t="str">
        <f t="shared" si="5"/>
        <v>put</v>
      </c>
      <c r="N97" s="28">
        <f>DATE(MID(A97,5,2)+2000,MID(A97,7,2),MID(A97,9,2))</f>
        <v>45940</v>
      </c>
      <c r="O97" s="29">
        <f t="shared" si="7"/>
        <v>5</v>
      </c>
    </row>
    <row r="98" spans="1:15" x14ac:dyDescent="0.45">
      <c r="A98" s="1" t="s">
        <v>112</v>
      </c>
      <c r="B98" s="4" t="s">
        <v>113</v>
      </c>
      <c r="C98" s="3">
        <v>295</v>
      </c>
      <c r="D98" s="4">
        <v>42.75</v>
      </c>
      <c r="E98" s="4">
        <v>36.5</v>
      </c>
      <c r="F98" s="4">
        <v>37.549999999999997</v>
      </c>
      <c r="G98" s="4">
        <v>0</v>
      </c>
      <c r="H98" s="5">
        <v>0</v>
      </c>
      <c r="I98" s="4">
        <v>2</v>
      </c>
      <c r="J98" s="4">
        <v>0</v>
      </c>
      <c r="K98" s="5">
        <v>0.66159999999999997</v>
      </c>
      <c r="L98" s="26" t="b">
        <f t="shared" si="6"/>
        <v>1</v>
      </c>
      <c r="M98" s="26" t="str">
        <f t="shared" si="5"/>
        <v>put</v>
      </c>
      <c r="N98" s="28">
        <f>DATE(MID(A98,5,2)+2000,MID(A98,7,2),MID(A98,9,2))</f>
        <v>45940</v>
      </c>
      <c r="O98" s="29">
        <f t="shared" si="7"/>
        <v>5</v>
      </c>
    </row>
    <row r="99" spans="1:15" x14ac:dyDescent="0.45">
      <c r="A99" s="1" t="s">
        <v>114</v>
      </c>
      <c r="B99" s="4" t="s">
        <v>115</v>
      </c>
      <c r="C99" s="3">
        <v>300</v>
      </c>
      <c r="D99" s="4">
        <v>46.68</v>
      </c>
      <c r="E99" s="4">
        <v>41.5</v>
      </c>
      <c r="F99" s="4">
        <v>42.55</v>
      </c>
      <c r="G99" s="4">
        <v>0</v>
      </c>
      <c r="H99" s="5">
        <v>0</v>
      </c>
      <c r="I99" s="4">
        <v>1</v>
      </c>
      <c r="J99" s="4">
        <v>0</v>
      </c>
      <c r="K99" s="5">
        <v>0.72509999999999997</v>
      </c>
      <c r="L99" s="26" t="b">
        <f t="shared" si="6"/>
        <v>1</v>
      </c>
      <c r="M99" s="26" t="str">
        <f t="shared" si="5"/>
        <v>put</v>
      </c>
      <c r="N99" s="28">
        <f t="shared" ref="N99:N162" si="8">DATE(MID(A99,5,2)+2000,MID(A99,7,2),MID(A99,9,2))</f>
        <v>45940</v>
      </c>
      <c r="O99" s="29">
        <f t="shared" si="7"/>
        <v>5</v>
      </c>
    </row>
    <row r="100" spans="1:15" x14ac:dyDescent="0.45">
      <c r="A100" s="21" t="s">
        <v>116</v>
      </c>
      <c r="B100" s="22" t="s">
        <v>117</v>
      </c>
      <c r="C100" s="23">
        <v>310</v>
      </c>
      <c r="D100" s="22">
        <v>55.7</v>
      </c>
      <c r="E100" s="22">
        <v>51.5</v>
      </c>
      <c r="F100" s="22">
        <v>52.55</v>
      </c>
      <c r="G100" s="22">
        <v>0</v>
      </c>
      <c r="H100" s="24">
        <v>0</v>
      </c>
      <c r="I100" s="22">
        <v>3</v>
      </c>
      <c r="J100" s="22">
        <v>0</v>
      </c>
      <c r="K100" s="24">
        <v>0.57809999999999995</v>
      </c>
      <c r="L100" s="26" t="b">
        <f t="shared" si="6"/>
        <v>1</v>
      </c>
      <c r="M100" s="26" t="str">
        <f t="shared" si="5"/>
        <v>put</v>
      </c>
      <c r="N100" s="28">
        <f t="shared" si="8"/>
        <v>45940</v>
      </c>
      <c r="O100" s="29">
        <f t="shared" si="7"/>
        <v>5</v>
      </c>
    </row>
    <row r="101" spans="1:15" x14ac:dyDescent="0.45">
      <c r="A101" s="1" t="s">
        <v>130</v>
      </c>
      <c r="B101" s="4" t="s">
        <v>131</v>
      </c>
      <c r="C101" s="3">
        <v>105</v>
      </c>
      <c r="D101" s="4">
        <v>110.26</v>
      </c>
      <c r="E101" s="4">
        <v>149.69999999999999</v>
      </c>
      <c r="F101" s="4">
        <v>151.65</v>
      </c>
      <c r="G101" s="4">
        <v>0</v>
      </c>
      <c r="H101" s="5">
        <v>0</v>
      </c>
      <c r="I101" s="4">
        <v>2</v>
      </c>
      <c r="J101" s="4">
        <v>14</v>
      </c>
      <c r="K101" s="5">
        <v>0</v>
      </c>
      <c r="L101" s="26" t="b">
        <f t="shared" si="6"/>
        <v>1</v>
      </c>
      <c r="M101" s="26" t="str">
        <f t="shared" si="5"/>
        <v>call</v>
      </c>
      <c r="N101" s="28">
        <f t="shared" si="8"/>
        <v>45947</v>
      </c>
      <c r="O101" s="29">
        <f t="shared" si="7"/>
        <v>12</v>
      </c>
    </row>
    <row r="102" spans="1:15" x14ac:dyDescent="0.45">
      <c r="A102" s="1" t="s">
        <v>132</v>
      </c>
      <c r="B102" s="2">
        <v>46000.415972222225</v>
      </c>
      <c r="C102" s="3">
        <v>110</v>
      </c>
      <c r="D102" s="4">
        <v>121</v>
      </c>
      <c r="E102" s="4">
        <v>147.15</v>
      </c>
      <c r="F102" s="4">
        <v>148.85</v>
      </c>
      <c r="G102" s="4">
        <v>0</v>
      </c>
      <c r="H102" s="5">
        <v>0</v>
      </c>
      <c r="I102" s="4">
        <v>345</v>
      </c>
      <c r="J102" s="4">
        <v>462</v>
      </c>
      <c r="K102" s="5">
        <v>2.3828</v>
      </c>
      <c r="L102" s="26" t="b">
        <f t="shared" si="6"/>
        <v>1</v>
      </c>
      <c r="M102" s="26" t="str">
        <f t="shared" si="5"/>
        <v>call</v>
      </c>
      <c r="N102" s="28">
        <f t="shared" si="8"/>
        <v>45947</v>
      </c>
      <c r="O102" s="29">
        <f t="shared" si="7"/>
        <v>12</v>
      </c>
    </row>
    <row r="103" spans="1:15" x14ac:dyDescent="0.45">
      <c r="A103" s="1" t="s">
        <v>133</v>
      </c>
      <c r="B103" s="4" t="s">
        <v>134</v>
      </c>
      <c r="C103" s="3">
        <v>115</v>
      </c>
      <c r="D103" s="4">
        <v>112.7</v>
      </c>
      <c r="E103" s="4">
        <v>139.69999999999999</v>
      </c>
      <c r="F103" s="4">
        <v>141.44999999999999</v>
      </c>
      <c r="G103" s="4">
        <v>0</v>
      </c>
      <c r="H103" s="5">
        <v>0</v>
      </c>
      <c r="I103" s="4">
        <v>1</v>
      </c>
      <c r="J103" s="4">
        <v>99</v>
      </c>
      <c r="K103" s="5">
        <v>0</v>
      </c>
      <c r="L103" s="26" t="b">
        <f t="shared" si="6"/>
        <v>1</v>
      </c>
      <c r="M103" s="26" t="str">
        <f t="shared" si="5"/>
        <v>call</v>
      </c>
      <c r="N103" s="28">
        <f t="shared" si="8"/>
        <v>45947</v>
      </c>
      <c r="O103" s="29">
        <f t="shared" si="7"/>
        <v>12</v>
      </c>
    </row>
    <row r="104" spans="1:15" x14ac:dyDescent="0.45">
      <c r="A104" s="1" t="s">
        <v>135</v>
      </c>
      <c r="B104" s="4" t="s">
        <v>136</v>
      </c>
      <c r="C104" s="3">
        <v>120</v>
      </c>
      <c r="D104" s="4">
        <v>91.56</v>
      </c>
      <c r="E104" s="4">
        <v>134.75</v>
      </c>
      <c r="F104" s="4">
        <v>136.69999999999999</v>
      </c>
      <c r="G104" s="4">
        <v>0</v>
      </c>
      <c r="H104" s="5">
        <v>0</v>
      </c>
      <c r="I104" s="4">
        <v>1</v>
      </c>
      <c r="J104" s="4">
        <v>67</v>
      </c>
      <c r="K104" s="5">
        <v>0</v>
      </c>
      <c r="L104" s="26" t="b">
        <f t="shared" si="6"/>
        <v>1</v>
      </c>
      <c r="M104" s="26" t="str">
        <f t="shared" si="5"/>
        <v>call</v>
      </c>
      <c r="N104" s="28">
        <f t="shared" si="8"/>
        <v>45947</v>
      </c>
      <c r="O104" s="29">
        <f t="shared" si="7"/>
        <v>12</v>
      </c>
    </row>
    <row r="105" spans="1:15" x14ac:dyDescent="0.45">
      <c r="A105" s="1" t="s">
        <v>137</v>
      </c>
      <c r="B105" s="4" t="s">
        <v>138</v>
      </c>
      <c r="C105" s="3">
        <v>125</v>
      </c>
      <c r="D105" s="4">
        <v>114.66</v>
      </c>
      <c r="E105" s="4">
        <v>132.15</v>
      </c>
      <c r="F105" s="4">
        <v>133.9</v>
      </c>
      <c r="G105" s="4">
        <v>0</v>
      </c>
      <c r="H105" s="5">
        <v>0</v>
      </c>
      <c r="I105" s="4">
        <v>3</v>
      </c>
      <c r="J105" s="4">
        <v>19</v>
      </c>
      <c r="K105" s="5">
        <v>1.1563000000000001</v>
      </c>
      <c r="L105" s="26" t="b">
        <f t="shared" si="6"/>
        <v>1</v>
      </c>
      <c r="M105" s="26" t="str">
        <f t="shared" si="5"/>
        <v>call</v>
      </c>
      <c r="N105" s="28">
        <f t="shared" si="8"/>
        <v>45947</v>
      </c>
      <c r="O105" s="29">
        <f t="shared" si="7"/>
        <v>12</v>
      </c>
    </row>
    <row r="106" spans="1:15" x14ac:dyDescent="0.45">
      <c r="A106" s="1" t="s">
        <v>139</v>
      </c>
      <c r="B106" s="4" t="s">
        <v>140</v>
      </c>
      <c r="C106" s="3">
        <v>130</v>
      </c>
      <c r="D106" s="4">
        <v>124.4</v>
      </c>
      <c r="E106" s="4">
        <v>127.2</v>
      </c>
      <c r="F106" s="4">
        <v>128.69999999999999</v>
      </c>
      <c r="G106" s="6">
        <v>0</v>
      </c>
      <c r="H106" s="7">
        <v>0</v>
      </c>
      <c r="I106" s="4">
        <v>10</v>
      </c>
      <c r="J106" s="4">
        <v>164</v>
      </c>
      <c r="K106" s="5">
        <v>1.8926000000000001</v>
      </c>
      <c r="L106" s="26" t="b">
        <f t="shared" si="6"/>
        <v>1</v>
      </c>
      <c r="M106" s="26" t="str">
        <f t="shared" si="5"/>
        <v>call</v>
      </c>
      <c r="N106" s="28">
        <f t="shared" si="8"/>
        <v>45947</v>
      </c>
      <c r="O106" s="29">
        <f t="shared" si="7"/>
        <v>12</v>
      </c>
    </row>
    <row r="107" spans="1:15" x14ac:dyDescent="0.45">
      <c r="A107" s="1" t="s">
        <v>141</v>
      </c>
      <c r="B107" s="4" t="s">
        <v>142</v>
      </c>
      <c r="C107" s="3">
        <v>135</v>
      </c>
      <c r="D107" s="4">
        <v>119</v>
      </c>
      <c r="E107" s="4">
        <v>122.15</v>
      </c>
      <c r="F107" s="4">
        <v>123.95</v>
      </c>
      <c r="G107" s="4">
        <v>0</v>
      </c>
      <c r="H107" s="5">
        <v>0</v>
      </c>
      <c r="I107" s="4">
        <v>2</v>
      </c>
      <c r="J107" s="4">
        <v>73</v>
      </c>
      <c r="K107" s="5">
        <v>1.2109000000000001</v>
      </c>
      <c r="L107" s="26" t="b">
        <f t="shared" si="6"/>
        <v>1</v>
      </c>
      <c r="M107" s="26" t="str">
        <f t="shared" si="5"/>
        <v>call</v>
      </c>
      <c r="N107" s="28">
        <f t="shared" si="8"/>
        <v>45947</v>
      </c>
      <c r="O107" s="29">
        <f t="shared" si="7"/>
        <v>12</v>
      </c>
    </row>
    <row r="108" spans="1:15" x14ac:dyDescent="0.45">
      <c r="A108" s="1" t="s">
        <v>143</v>
      </c>
      <c r="B108" s="4" t="s">
        <v>144</v>
      </c>
      <c r="C108" s="3">
        <v>140</v>
      </c>
      <c r="D108" s="4">
        <v>114.3</v>
      </c>
      <c r="E108" s="4">
        <v>117.2</v>
      </c>
      <c r="F108" s="4">
        <v>118.9</v>
      </c>
      <c r="G108" s="4">
        <v>0</v>
      </c>
      <c r="H108" s="5">
        <v>0</v>
      </c>
      <c r="I108" s="4">
        <v>18</v>
      </c>
      <c r="J108" s="4">
        <v>82</v>
      </c>
      <c r="K108" s="5">
        <v>1.1484000000000001</v>
      </c>
      <c r="L108" s="26" t="b">
        <f t="shared" si="6"/>
        <v>1</v>
      </c>
      <c r="M108" s="26" t="str">
        <f t="shared" si="5"/>
        <v>call</v>
      </c>
      <c r="N108" s="28">
        <f t="shared" si="8"/>
        <v>45947</v>
      </c>
      <c r="O108" s="29">
        <f t="shared" si="7"/>
        <v>12</v>
      </c>
    </row>
    <row r="109" spans="1:15" x14ac:dyDescent="0.45">
      <c r="A109" s="1" t="s">
        <v>145</v>
      </c>
      <c r="B109" s="4" t="s">
        <v>146</v>
      </c>
      <c r="C109" s="3">
        <v>145</v>
      </c>
      <c r="D109" s="4">
        <v>109.53</v>
      </c>
      <c r="E109" s="4">
        <v>112.2</v>
      </c>
      <c r="F109" s="4">
        <v>113.7</v>
      </c>
      <c r="G109" s="8">
        <v>0</v>
      </c>
      <c r="H109" s="9">
        <v>0</v>
      </c>
      <c r="I109" s="4">
        <v>1</v>
      </c>
      <c r="J109" s="4">
        <v>178</v>
      </c>
      <c r="K109" s="5">
        <v>1.6221000000000001</v>
      </c>
      <c r="L109" s="26" t="b">
        <f t="shared" si="6"/>
        <v>1</v>
      </c>
      <c r="M109" s="26" t="str">
        <f t="shared" si="5"/>
        <v>call</v>
      </c>
      <c r="N109" s="28">
        <f t="shared" si="8"/>
        <v>45947</v>
      </c>
      <c r="O109" s="29">
        <f t="shared" si="7"/>
        <v>12</v>
      </c>
    </row>
    <row r="110" spans="1:15" x14ac:dyDescent="0.45">
      <c r="A110" s="1" t="s">
        <v>147</v>
      </c>
      <c r="B110" s="2">
        <v>45726.657638888886</v>
      </c>
      <c r="C110" s="3">
        <v>150</v>
      </c>
      <c r="D110" s="4">
        <v>107.91</v>
      </c>
      <c r="E110" s="4">
        <v>107.55</v>
      </c>
      <c r="F110" s="4">
        <v>109.25</v>
      </c>
      <c r="G110" s="6">
        <v>-0.59</v>
      </c>
      <c r="H110" s="7">
        <v>-5.4000000000000003E-3</v>
      </c>
      <c r="I110" s="4">
        <v>8</v>
      </c>
      <c r="J110" s="4">
        <v>726</v>
      </c>
      <c r="K110" s="5">
        <v>1.3994</v>
      </c>
      <c r="L110" s="26" t="b">
        <f t="shared" si="6"/>
        <v>1</v>
      </c>
      <c r="M110" s="26" t="str">
        <f t="shared" si="5"/>
        <v>call</v>
      </c>
      <c r="N110" s="28">
        <f t="shared" si="8"/>
        <v>45947</v>
      </c>
      <c r="O110" s="29">
        <f t="shared" si="7"/>
        <v>12</v>
      </c>
    </row>
    <row r="111" spans="1:15" x14ac:dyDescent="0.45">
      <c r="A111" s="1" t="s">
        <v>148</v>
      </c>
      <c r="B111" s="2">
        <v>45726.607638888891</v>
      </c>
      <c r="C111" s="3">
        <v>155</v>
      </c>
      <c r="D111" s="4">
        <v>103.37</v>
      </c>
      <c r="E111" s="4">
        <v>102.45</v>
      </c>
      <c r="F111" s="4">
        <v>104.1</v>
      </c>
      <c r="G111" s="6">
        <v>3.83</v>
      </c>
      <c r="H111" s="7">
        <v>3.85E-2</v>
      </c>
      <c r="I111" s="4">
        <v>2</v>
      </c>
      <c r="J111" s="4">
        <v>176</v>
      </c>
      <c r="K111" s="5">
        <v>1.2481</v>
      </c>
      <c r="L111" s="26" t="b">
        <f t="shared" si="6"/>
        <v>1</v>
      </c>
      <c r="M111" s="26" t="str">
        <f t="shared" si="5"/>
        <v>call</v>
      </c>
      <c r="N111" s="28">
        <f t="shared" si="8"/>
        <v>45947</v>
      </c>
      <c r="O111" s="29">
        <f t="shared" si="7"/>
        <v>12</v>
      </c>
    </row>
    <row r="112" spans="1:15" x14ac:dyDescent="0.45">
      <c r="A112" s="1" t="s">
        <v>149</v>
      </c>
      <c r="B112" s="2">
        <v>45667.395833333336</v>
      </c>
      <c r="C112" s="3">
        <v>160</v>
      </c>
      <c r="D112" s="4">
        <v>97.77</v>
      </c>
      <c r="E112" s="4">
        <v>97.6</v>
      </c>
      <c r="F112" s="4">
        <v>98.7</v>
      </c>
      <c r="G112" s="6">
        <v>1.83</v>
      </c>
      <c r="H112" s="7">
        <v>1.9099999999999999E-2</v>
      </c>
      <c r="I112" s="4">
        <v>1</v>
      </c>
      <c r="J112" s="4">
        <v>299</v>
      </c>
      <c r="K112" s="5">
        <v>1.0762</v>
      </c>
      <c r="L112" s="26" t="b">
        <f t="shared" si="6"/>
        <v>1</v>
      </c>
      <c r="M112" s="26" t="str">
        <f t="shared" si="5"/>
        <v>call</v>
      </c>
      <c r="N112" s="28">
        <f t="shared" si="8"/>
        <v>45947</v>
      </c>
      <c r="O112" s="29">
        <f t="shared" si="7"/>
        <v>12</v>
      </c>
    </row>
    <row r="113" spans="1:15" x14ac:dyDescent="0.45">
      <c r="A113" s="1" t="s">
        <v>150</v>
      </c>
      <c r="B113" s="2">
        <v>45698.422222222223</v>
      </c>
      <c r="C113" s="3">
        <v>165</v>
      </c>
      <c r="D113" s="4">
        <v>91.25</v>
      </c>
      <c r="E113" s="4">
        <v>92.8</v>
      </c>
      <c r="F113" s="4">
        <v>94.15</v>
      </c>
      <c r="G113" s="6">
        <v>0</v>
      </c>
      <c r="H113" s="7">
        <v>0</v>
      </c>
      <c r="I113" s="4">
        <v>2</v>
      </c>
      <c r="J113" s="4">
        <v>234</v>
      </c>
      <c r="K113" s="5">
        <v>1.2139</v>
      </c>
      <c r="L113" s="26" t="b">
        <f t="shared" si="6"/>
        <v>1</v>
      </c>
      <c r="M113" s="26" t="str">
        <f t="shared" si="5"/>
        <v>call</v>
      </c>
      <c r="N113" s="28">
        <f t="shared" si="8"/>
        <v>45947</v>
      </c>
      <c r="O113" s="29">
        <f t="shared" si="7"/>
        <v>12</v>
      </c>
    </row>
    <row r="114" spans="1:15" x14ac:dyDescent="0.45">
      <c r="A114" s="1" t="s">
        <v>151</v>
      </c>
      <c r="B114" s="2">
        <v>45667.648611111108</v>
      </c>
      <c r="C114" s="3">
        <v>170</v>
      </c>
      <c r="D114" s="4">
        <v>86.48</v>
      </c>
      <c r="E114" s="4">
        <v>87.8</v>
      </c>
      <c r="F114" s="4">
        <v>89.1</v>
      </c>
      <c r="G114" s="6">
        <v>0</v>
      </c>
      <c r="H114" s="7">
        <v>0</v>
      </c>
      <c r="I114" s="4">
        <v>78</v>
      </c>
      <c r="J114" s="4">
        <v>655</v>
      </c>
      <c r="K114" s="5">
        <v>1.1323000000000001</v>
      </c>
      <c r="L114" s="26" t="b">
        <f t="shared" si="6"/>
        <v>1</v>
      </c>
      <c r="M114" s="26" t="str">
        <f t="shared" si="5"/>
        <v>call</v>
      </c>
      <c r="N114" s="28">
        <f t="shared" si="8"/>
        <v>45947</v>
      </c>
      <c r="O114" s="29">
        <f t="shared" si="7"/>
        <v>12</v>
      </c>
    </row>
    <row r="115" spans="1:15" x14ac:dyDescent="0.45">
      <c r="A115" s="1" t="s">
        <v>152</v>
      </c>
      <c r="B115" s="2">
        <v>45726.452777777777</v>
      </c>
      <c r="C115" s="3">
        <v>175</v>
      </c>
      <c r="D115" s="4">
        <v>84.25</v>
      </c>
      <c r="E115" s="4">
        <v>82.95</v>
      </c>
      <c r="F115" s="4">
        <v>83.75</v>
      </c>
      <c r="G115" s="6">
        <v>3.8</v>
      </c>
      <c r="H115" s="7">
        <v>4.7199999999999999E-2</v>
      </c>
      <c r="I115" s="4">
        <v>11</v>
      </c>
      <c r="J115" s="10">
        <v>1043</v>
      </c>
      <c r="K115" s="5">
        <v>1.0195000000000001</v>
      </c>
      <c r="L115" s="26" t="b">
        <f t="shared" si="6"/>
        <v>1</v>
      </c>
      <c r="M115" s="26" t="str">
        <f t="shared" si="5"/>
        <v>call</v>
      </c>
      <c r="N115" s="28">
        <f t="shared" si="8"/>
        <v>45947</v>
      </c>
      <c r="O115" s="29">
        <f t="shared" si="7"/>
        <v>12</v>
      </c>
    </row>
    <row r="116" spans="1:15" x14ac:dyDescent="0.45">
      <c r="A116" s="1" t="s">
        <v>153</v>
      </c>
      <c r="B116" s="2">
        <v>45726.65902777778</v>
      </c>
      <c r="C116" s="3">
        <v>180</v>
      </c>
      <c r="D116" s="4">
        <v>79.349999999999994</v>
      </c>
      <c r="E116" s="4">
        <v>77.900000000000006</v>
      </c>
      <c r="F116" s="4">
        <v>78.849999999999994</v>
      </c>
      <c r="G116" s="4">
        <v>1.1499999999999999</v>
      </c>
      <c r="H116" s="5">
        <v>1.47E-2</v>
      </c>
      <c r="I116" s="4">
        <v>44</v>
      </c>
      <c r="J116" s="10">
        <v>1730</v>
      </c>
      <c r="K116" s="5">
        <v>0.96579999999999999</v>
      </c>
      <c r="L116" s="26" t="b">
        <f t="shared" si="6"/>
        <v>1</v>
      </c>
      <c r="M116" s="26" t="str">
        <f t="shared" si="5"/>
        <v>call</v>
      </c>
      <c r="N116" s="28">
        <f t="shared" si="8"/>
        <v>45947</v>
      </c>
      <c r="O116" s="29">
        <f t="shared" si="7"/>
        <v>12</v>
      </c>
    </row>
    <row r="117" spans="1:15" x14ac:dyDescent="0.45">
      <c r="A117" s="1" t="s">
        <v>154</v>
      </c>
      <c r="B117" s="2">
        <v>45726.547222222223</v>
      </c>
      <c r="C117" s="3">
        <v>185</v>
      </c>
      <c r="D117" s="4">
        <v>73.27</v>
      </c>
      <c r="E117" s="4">
        <v>73</v>
      </c>
      <c r="F117" s="4">
        <v>74.099999999999994</v>
      </c>
      <c r="G117" s="8">
        <v>1.98</v>
      </c>
      <c r="H117" s="9">
        <v>2.7799999999999998E-2</v>
      </c>
      <c r="I117" s="4">
        <v>8</v>
      </c>
      <c r="J117" s="4">
        <v>654</v>
      </c>
      <c r="K117" s="5">
        <v>0.96479999999999999</v>
      </c>
      <c r="L117" s="26" t="b">
        <f t="shared" si="6"/>
        <v>1</v>
      </c>
      <c r="M117" s="26" t="str">
        <f t="shared" si="5"/>
        <v>call</v>
      </c>
      <c r="N117" s="28">
        <f t="shared" si="8"/>
        <v>45947</v>
      </c>
      <c r="O117" s="29">
        <f t="shared" si="7"/>
        <v>12</v>
      </c>
    </row>
    <row r="118" spans="1:15" x14ac:dyDescent="0.45">
      <c r="A118" s="1" t="s">
        <v>155</v>
      </c>
      <c r="B118" s="2">
        <v>45726.510416666664</v>
      </c>
      <c r="C118" s="3">
        <v>190</v>
      </c>
      <c r="D118" s="4">
        <v>68</v>
      </c>
      <c r="E118" s="4">
        <v>67.95</v>
      </c>
      <c r="F118" s="4">
        <v>69.099999999999994</v>
      </c>
      <c r="G118" s="6">
        <v>0.05</v>
      </c>
      <c r="H118" s="7">
        <v>6.9999999999999999E-4</v>
      </c>
      <c r="I118" s="4">
        <v>3</v>
      </c>
      <c r="J118" s="10">
        <v>1398</v>
      </c>
      <c r="K118" s="5">
        <v>0.8911</v>
      </c>
      <c r="L118" s="26" t="b">
        <f t="shared" si="6"/>
        <v>1</v>
      </c>
      <c r="M118" s="26" t="str">
        <f t="shared" si="5"/>
        <v>call</v>
      </c>
      <c r="N118" s="28">
        <f t="shared" si="8"/>
        <v>45947</v>
      </c>
      <c r="O118" s="29">
        <f t="shared" si="7"/>
        <v>12</v>
      </c>
    </row>
    <row r="119" spans="1:15" x14ac:dyDescent="0.45">
      <c r="A119" s="1" t="s">
        <v>156</v>
      </c>
      <c r="B119" s="2">
        <v>45726.620833333334</v>
      </c>
      <c r="C119" s="3">
        <v>195</v>
      </c>
      <c r="D119" s="4">
        <v>63.85</v>
      </c>
      <c r="E119" s="4">
        <v>62.65</v>
      </c>
      <c r="F119" s="4">
        <v>64.5</v>
      </c>
      <c r="G119" s="6">
        <v>0.85</v>
      </c>
      <c r="H119" s="7">
        <v>1.35E-2</v>
      </c>
      <c r="I119" s="4">
        <v>12</v>
      </c>
      <c r="J119" s="10">
        <v>1876</v>
      </c>
      <c r="K119" s="5">
        <v>0.84079999999999999</v>
      </c>
      <c r="L119" s="26" t="b">
        <f t="shared" si="6"/>
        <v>1</v>
      </c>
      <c r="M119" s="26" t="str">
        <f t="shared" si="5"/>
        <v>call</v>
      </c>
      <c r="N119" s="28">
        <f t="shared" si="8"/>
        <v>45947</v>
      </c>
      <c r="O119" s="29">
        <f t="shared" si="7"/>
        <v>12</v>
      </c>
    </row>
    <row r="120" spans="1:15" x14ac:dyDescent="0.45">
      <c r="A120" s="1" t="s">
        <v>157</v>
      </c>
      <c r="B120" s="2">
        <v>45726.618055555555</v>
      </c>
      <c r="C120" s="3">
        <v>200</v>
      </c>
      <c r="D120" s="4">
        <v>57.92</v>
      </c>
      <c r="E120" s="4">
        <v>58.05</v>
      </c>
      <c r="F120" s="4">
        <v>59.1</v>
      </c>
      <c r="G120" s="6">
        <v>-0.33</v>
      </c>
      <c r="H120" s="7">
        <v>-5.7000000000000002E-3</v>
      </c>
      <c r="I120" s="4">
        <v>47</v>
      </c>
      <c r="J120" s="10">
        <v>2959</v>
      </c>
      <c r="K120" s="5">
        <v>0.77690000000000003</v>
      </c>
      <c r="L120" s="26" t="b">
        <f t="shared" si="6"/>
        <v>1</v>
      </c>
      <c r="M120" s="26" t="str">
        <f t="shared" si="5"/>
        <v>call</v>
      </c>
      <c r="N120" s="28">
        <f t="shared" si="8"/>
        <v>45947</v>
      </c>
      <c r="O120" s="29">
        <f t="shared" si="7"/>
        <v>12</v>
      </c>
    </row>
    <row r="121" spans="1:15" x14ac:dyDescent="0.45">
      <c r="A121" s="1" t="s">
        <v>158</v>
      </c>
      <c r="B121" s="2">
        <v>45726.665277777778</v>
      </c>
      <c r="C121" s="3">
        <v>205</v>
      </c>
      <c r="D121" s="4">
        <v>53.35</v>
      </c>
      <c r="E121" s="4">
        <v>52.5</v>
      </c>
      <c r="F121" s="4">
        <v>54.3</v>
      </c>
      <c r="G121" s="8">
        <v>0.55000000000000004</v>
      </c>
      <c r="H121" s="9">
        <v>1.04E-2</v>
      </c>
      <c r="I121" s="4">
        <v>32</v>
      </c>
      <c r="J121" s="10">
        <v>11054</v>
      </c>
      <c r="K121" s="5">
        <v>0.66500000000000004</v>
      </c>
      <c r="L121" s="26" t="b">
        <f t="shared" si="6"/>
        <v>1</v>
      </c>
      <c r="M121" s="26" t="str">
        <f t="shared" si="5"/>
        <v>call</v>
      </c>
      <c r="N121" s="28">
        <f t="shared" si="8"/>
        <v>45947</v>
      </c>
      <c r="O121" s="29">
        <f t="shared" si="7"/>
        <v>12</v>
      </c>
    </row>
    <row r="122" spans="1:15" x14ac:dyDescent="0.45">
      <c r="A122" s="1" t="s">
        <v>159</v>
      </c>
      <c r="B122" s="2">
        <v>45726.609722222223</v>
      </c>
      <c r="C122" s="3">
        <v>210</v>
      </c>
      <c r="D122" s="4">
        <v>48.5</v>
      </c>
      <c r="E122" s="4">
        <v>47.8</v>
      </c>
      <c r="F122" s="4">
        <v>48.75</v>
      </c>
      <c r="G122" s="6">
        <v>0.5</v>
      </c>
      <c r="H122" s="7">
        <v>1.04E-2</v>
      </c>
      <c r="I122" s="4">
        <v>142</v>
      </c>
      <c r="J122" s="10">
        <v>20394</v>
      </c>
      <c r="K122" s="5">
        <v>0.56540000000000001</v>
      </c>
      <c r="L122" s="26" t="b">
        <f t="shared" si="6"/>
        <v>1</v>
      </c>
      <c r="M122" s="26" t="str">
        <f t="shared" si="5"/>
        <v>call</v>
      </c>
      <c r="N122" s="28">
        <f t="shared" si="8"/>
        <v>45947</v>
      </c>
      <c r="O122" s="29">
        <f t="shared" si="7"/>
        <v>12</v>
      </c>
    </row>
    <row r="123" spans="1:15" x14ac:dyDescent="0.45">
      <c r="A123" s="1" t="s">
        <v>160</v>
      </c>
      <c r="B123" s="2">
        <v>45726.661805555559</v>
      </c>
      <c r="C123" s="3">
        <v>215</v>
      </c>
      <c r="D123" s="4">
        <v>43.31</v>
      </c>
      <c r="E123" s="4">
        <v>43.15</v>
      </c>
      <c r="F123" s="4">
        <v>43.95</v>
      </c>
      <c r="G123" s="8">
        <v>0.38</v>
      </c>
      <c r="H123" s="9">
        <v>8.8999999999999999E-3</v>
      </c>
      <c r="I123" s="4">
        <v>184</v>
      </c>
      <c r="J123" s="10">
        <v>13113</v>
      </c>
      <c r="K123" s="5">
        <v>0.58399999999999996</v>
      </c>
      <c r="L123" s="26" t="b">
        <f t="shared" si="6"/>
        <v>1</v>
      </c>
      <c r="M123" s="26" t="str">
        <f t="shared" si="5"/>
        <v>call</v>
      </c>
      <c r="N123" s="28">
        <f t="shared" si="8"/>
        <v>45947</v>
      </c>
      <c r="O123" s="29">
        <f t="shared" si="7"/>
        <v>12</v>
      </c>
    </row>
    <row r="124" spans="1:15" x14ac:dyDescent="0.45">
      <c r="A124" s="1" t="s">
        <v>161</v>
      </c>
      <c r="B124" s="2">
        <v>45726.569444444445</v>
      </c>
      <c r="C124" s="3">
        <v>217.5</v>
      </c>
      <c r="D124" s="4">
        <v>41.08</v>
      </c>
      <c r="E124" s="4">
        <v>39.950000000000003</v>
      </c>
      <c r="F124" s="4">
        <v>41.45</v>
      </c>
      <c r="G124" s="6">
        <v>2.34</v>
      </c>
      <c r="H124" s="7">
        <v>6.0400000000000002E-2</v>
      </c>
      <c r="I124" s="4">
        <v>29</v>
      </c>
      <c r="J124" s="4">
        <v>30</v>
      </c>
      <c r="K124" s="5">
        <v>0.62670000000000003</v>
      </c>
      <c r="L124" s="26" t="b">
        <f t="shared" si="6"/>
        <v>1</v>
      </c>
      <c r="M124" s="26" t="str">
        <f t="shared" si="5"/>
        <v>call</v>
      </c>
      <c r="N124" s="28">
        <f t="shared" si="8"/>
        <v>45947</v>
      </c>
      <c r="O124" s="29">
        <f t="shared" si="7"/>
        <v>12</v>
      </c>
    </row>
    <row r="125" spans="1:15" x14ac:dyDescent="0.45">
      <c r="A125" s="1" t="s">
        <v>162</v>
      </c>
      <c r="B125" s="2">
        <v>45726.662499999999</v>
      </c>
      <c r="C125" s="3">
        <v>220</v>
      </c>
      <c r="D125" s="4">
        <v>38.1</v>
      </c>
      <c r="E125" s="4">
        <v>38.15</v>
      </c>
      <c r="F125" s="4">
        <v>38.9</v>
      </c>
      <c r="G125" s="8">
        <v>7.0000000000000007E-2</v>
      </c>
      <c r="H125" s="9">
        <v>1.8E-3</v>
      </c>
      <c r="I125" s="4">
        <v>760</v>
      </c>
      <c r="J125" s="10">
        <v>13232</v>
      </c>
      <c r="K125" s="5">
        <v>0.5181</v>
      </c>
      <c r="L125" s="26" t="b">
        <f t="shared" si="6"/>
        <v>1</v>
      </c>
      <c r="M125" s="26" t="str">
        <f t="shared" si="5"/>
        <v>call</v>
      </c>
      <c r="N125" s="28">
        <f t="shared" si="8"/>
        <v>45947</v>
      </c>
      <c r="O125" s="29">
        <f t="shared" si="7"/>
        <v>12</v>
      </c>
    </row>
    <row r="126" spans="1:15" x14ac:dyDescent="0.45">
      <c r="A126" s="1" t="s">
        <v>163</v>
      </c>
      <c r="B126" s="2">
        <v>45726.637499999997</v>
      </c>
      <c r="C126" s="3">
        <v>222.5</v>
      </c>
      <c r="D126" s="4">
        <v>35.76</v>
      </c>
      <c r="E126" s="4">
        <v>34.9</v>
      </c>
      <c r="F126" s="4">
        <v>36.75</v>
      </c>
      <c r="G126" s="6">
        <v>1.06</v>
      </c>
      <c r="H126" s="7">
        <v>3.0499999999999999E-2</v>
      </c>
      <c r="I126" s="4">
        <v>1</v>
      </c>
      <c r="J126" s="4">
        <v>14</v>
      </c>
      <c r="K126" s="5">
        <v>0.60209999999999997</v>
      </c>
      <c r="L126" s="26" t="b">
        <f t="shared" si="6"/>
        <v>1</v>
      </c>
      <c r="M126" s="26" t="str">
        <f t="shared" si="5"/>
        <v>call</v>
      </c>
      <c r="N126" s="28">
        <f t="shared" si="8"/>
        <v>45947</v>
      </c>
      <c r="O126" s="29">
        <f t="shared" si="7"/>
        <v>12</v>
      </c>
    </row>
    <row r="127" spans="1:15" x14ac:dyDescent="0.45">
      <c r="A127" s="1" t="s">
        <v>164</v>
      </c>
      <c r="B127" s="2">
        <v>45726.611111111109</v>
      </c>
      <c r="C127" s="3">
        <v>225</v>
      </c>
      <c r="D127" s="4">
        <v>33.549999999999997</v>
      </c>
      <c r="E127" s="4">
        <v>33.200000000000003</v>
      </c>
      <c r="F127" s="4">
        <v>33.9</v>
      </c>
      <c r="G127" s="6">
        <v>0.53</v>
      </c>
      <c r="H127" s="7">
        <v>1.61E-2</v>
      </c>
      <c r="I127" s="4">
        <v>161</v>
      </c>
      <c r="J127" s="10">
        <v>13738</v>
      </c>
      <c r="K127" s="5">
        <v>0.52049999999999996</v>
      </c>
      <c r="L127" s="26" t="b">
        <f t="shared" si="6"/>
        <v>1</v>
      </c>
      <c r="M127" s="26" t="str">
        <f t="shared" ref="M127:M166" si="9">IF(MID(A127,11,1)="C","call","put")</f>
        <v>call</v>
      </c>
      <c r="N127" s="28">
        <f t="shared" si="8"/>
        <v>45947</v>
      </c>
      <c r="O127" s="29">
        <f t="shared" si="7"/>
        <v>12</v>
      </c>
    </row>
    <row r="128" spans="1:15" x14ac:dyDescent="0.45">
      <c r="A128" s="1" t="s">
        <v>165</v>
      </c>
      <c r="B128" s="2">
        <v>45726.637499999997</v>
      </c>
      <c r="C128" s="3">
        <v>227.5</v>
      </c>
      <c r="D128" s="4">
        <v>30.85</v>
      </c>
      <c r="E128" s="4">
        <v>30</v>
      </c>
      <c r="F128" s="4">
        <v>31.75</v>
      </c>
      <c r="G128" s="6">
        <v>1.07</v>
      </c>
      <c r="H128" s="7">
        <v>3.5900000000000001E-2</v>
      </c>
      <c r="I128" s="4">
        <v>49</v>
      </c>
      <c r="J128" s="4">
        <v>101</v>
      </c>
      <c r="K128" s="5">
        <v>0.53320000000000001</v>
      </c>
      <c r="L128" s="26" t="b">
        <f t="shared" ref="L128:L191" si="10">IF(M128="call",C128&lt;$P$1,C128&gt;$P$1)</f>
        <v>1</v>
      </c>
      <c r="M128" s="26" t="str">
        <f t="shared" si="9"/>
        <v>call</v>
      </c>
      <c r="N128" s="28">
        <f t="shared" si="8"/>
        <v>45947</v>
      </c>
      <c r="O128" s="29">
        <f t="shared" ref="O128:O188" si="11">N128-DATE(2025,10,5)</f>
        <v>12</v>
      </c>
    </row>
    <row r="129" spans="1:15" x14ac:dyDescent="0.45">
      <c r="A129" s="1" t="s">
        <v>166</v>
      </c>
      <c r="B129" s="2">
        <v>45726.665277777778</v>
      </c>
      <c r="C129" s="3">
        <v>230</v>
      </c>
      <c r="D129" s="4">
        <v>28.5</v>
      </c>
      <c r="E129" s="4">
        <v>28.35</v>
      </c>
      <c r="F129" s="4">
        <v>28.85</v>
      </c>
      <c r="G129" s="6">
        <v>0.6</v>
      </c>
      <c r="H129" s="7">
        <v>2.1499999999999998E-2</v>
      </c>
      <c r="I129" s="10">
        <v>1926</v>
      </c>
      <c r="J129" s="10">
        <v>19362</v>
      </c>
      <c r="K129" s="5">
        <v>0.44869999999999999</v>
      </c>
      <c r="L129" s="26" t="b">
        <f t="shared" si="10"/>
        <v>1</v>
      </c>
      <c r="M129" s="26" t="str">
        <f t="shared" si="9"/>
        <v>call</v>
      </c>
      <c r="N129" s="28">
        <f t="shared" si="8"/>
        <v>45947</v>
      </c>
      <c r="O129" s="29">
        <f t="shared" si="11"/>
        <v>12</v>
      </c>
    </row>
    <row r="130" spans="1:15" x14ac:dyDescent="0.45">
      <c r="A130" s="1" t="s">
        <v>167</v>
      </c>
      <c r="B130" s="2">
        <v>45726.616666666669</v>
      </c>
      <c r="C130" s="3">
        <v>232.5</v>
      </c>
      <c r="D130" s="4">
        <v>26.65</v>
      </c>
      <c r="E130" s="4">
        <v>25.55</v>
      </c>
      <c r="F130" s="4">
        <v>26.7</v>
      </c>
      <c r="G130" s="6">
        <v>0.63</v>
      </c>
      <c r="H130" s="7">
        <v>2.4199999999999999E-2</v>
      </c>
      <c r="I130" s="4">
        <v>10</v>
      </c>
      <c r="J130" s="4">
        <v>46</v>
      </c>
      <c r="K130" s="5">
        <v>0.45850000000000002</v>
      </c>
      <c r="L130" s="26" t="b">
        <f t="shared" si="10"/>
        <v>1</v>
      </c>
      <c r="M130" s="26" t="str">
        <f t="shared" si="9"/>
        <v>call</v>
      </c>
      <c r="N130" s="28">
        <f t="shared" si="8"/>
        <v>45947</v>
      </c>
      <c r="O130" s="29">
        <f t="shared" si="11"/>
        <v>12</v>
      </c>
    </row>
    <row r="131" spans="1:15" x14ac:dyDescent="0.45">
      <c r="A131" s="1" t="s">
        <v>168</v>
      </c>
      <c r="B131" s="2">
        <v>45726.652777777781</v>
      </c>
      <c r="C131" s="3">
        <v>235</v>
      </c>
      <c r="D131" s="4">
        <v>23.8</v>
      </c>
      <c r="E131" s="4">
        <v>23.5</v>
      </c>
      <c r="F131" s="4">
        <v>23.8</v>
      </c>
      <c r="G131" s="6">
        <v>1</v>
      </c>
      <c r="H131" s="7">
        <v>4.3900000000000002E-2</v>
      </c>
      <c r="I131" s="4">
        <v>849</v>
      </c>
      <c r="J131" s="10">
        <v>17565</v>
      </c>
      <c r="K131" s="5">
        <v>0.37769999999999998</v>
      </c>
      <c r="L131" s="26" t="b">
        <f t="shared" si="10"/>
        <v>1</v>
      </c>
      <c r="M131" s="26" t="str">
        <f t="shared" si="9"/>
        <v>call</v>
      </c>
      <c r="N131" s="28">
        <f t="shared" si="8"/>
        <v>45947</v>
      </c>
      <c r="O131" s="29">
        <f t="shared" si="11"/>
        <v>12</v>
      </c>
    </row>
    <row r="132" spans="1:15" x14ac:dyDescent="0.45">
      <c r="A132" s="1" t="s">
        <v>169</v>
      </c>
      <c r="B132" s="2">
        <v>45726.659722222219</v>
      </c>
      <c r="C132" s="3">
        <v>237.5</v>
      </c>
      <c r="D132" s="4">
        <v>20.78</v>
      </c>
      <c r="E132" s="4">
        <v>20.5</v>
      </c>
      <c r="F132" s="4">
        <v>21.75</v>
      </c>
      <c r="G132" s="8">
        <v>-0.02</v>
      </c>
      <c r="H132" s="9">
        <v>-1E-3</v>
      </c>
      <c r="I132" s="4">
        <v>39</v>
      </c>
      <c r="J132" s="4">
        <v>210</v>
      </c>
      <c r="K132" s="5">
        <v>0.39429999999999998</v>
      </c>
      <c r="L132" s="26" t="b">
        <f t="shared" si="10"/>
        <v>1</v>
      </c>
      <c r="M132" s="26" t="str">
        <f t="shared" si="9"/>
        <v>call</v>
      </c>
      <c r="N132" s="28">
        <f t="shared" si="8"/>
        <v>45947</v>
      </c>
      <c r="O132" s="29">
        <f t="shared" si="11"/>
        <v>12</v>
      </c>
    </row>
    <row r="133" spans="1:15" x14ac:dyDescent="0.45">
      <c r="A133" s="1" t="s">
        <v>170</v>
      </c>
      <c r="B133" s="2">
        <v>45726.663194444445</v>
      </c>
      <c r="C133" s="3">
        <v>240</v>
      </c>
      <c r="D133" s="4">
        <v>18.64</v>
      </c>
      <c r="E133" s="4">
        <v>18.7</v>
      </c>
      <c r="F133" s="4">
        <v>19</v>
      </c>
      <c r="G133" s="8">
        <v>0.44</v>
      </c>
      <c r="H133" s="9">
        <v>2.4199999999999999E-2</v>
      </c>
      <c r="I133" s="10">
        <v>1804</v>
      </c>
      <c r="J133" s="10">
        <v>27926</v>
      </c>
      <c r="K133" s="5">
        <v>0.3342</v>
      </c>
      <c r="L133" s="26" t="b">
        <f t="shared" si="10"/>
        <v>1</v>
      </c>
      <c r="M133" s="26" t="str">
        <f t="shared" si="9"/>
        <v>call</v>
      </c>
      <c r="N133" s="28">
        <f t="shared" si="8"/>
        <v>45947</v>
      </c>
      <c r="O133" s="29">
        <f t="shared" si="11"/>
        <v>12</v>
      </c>
    </row>
    <row r="134" spans="1:15" x14ac:dyDescent="0.45">
      <c r="A134" s="1" t="s">
        <v>171</v>
      </c>
      <c r="B134" s="2">
        <v>45726.661805555559</v>
      </c>
      <c r="C134" s="3">
        <v>242.5</v>
      </c>
      <c r="D134" s="4">
        <v>16.2</v>
      </c>
      <c r="E134" s="4">
        <v>16.25</v>
      </c>
      <c r="F134" s="4">
        <v>16.75</v>
      </c>
      <c r="G134" s="8">
        <v>-0.13</v>
      </c>
      <c r="H134" s="9">
        <v>-8.0000000000000002E-3</v>
      </c>
      <c r="I134" s="4">
        <v>67</v>
      </c>
      <c r="J134" s="4">
        <v>324</v>
      </c>
      <c r="K134" s="5">
        <v>0.3231</v>
      </c>
      <c r="L134" s="26" t="b">
        <f t="shared" si="10"/>
        <v>1</v>
      </c>
      <c r="M134" s="26" t="str">
        <f t="shared" si="9"/>
        <v>call</v>
      </c>
      <c r="N134" s="28">
        <f t="shared" si="8"/>
        <v>45947</v>
      </c>
      <c r="O134" s="29">
        <f t="shared" si="11"/>
        <v>12</v>
      </c>
    </row>
    <row r="135" spans="1:15" x14ac:dyDescent="0.45">
      <c r="A135" s="1" t="s">
        <v>172</v>
      </c>
      <c r="B135" s="2">
        <v>45726.665972222225</v>
      </c>
      <c r="C135" s="3">
        <v>245</v>
      </c>
      <c r="D135" s="4">
        <v>14.15</v>
      </c>
      <c r="E135" s="4">
        <v>14.1</v>
      </c>
      <c r="F135" s="4">
        <v>14.35</v>
      </c>
      <c r="G135" s="8">
        <v>0.35</v>
      </c>
      <c r="H135" s="9">
        <v>2.5399999999999999E-2</v>
      </c>
      <c r="I135" s="10">
        <v>1677</v>
      </c>
      <c r="J135" s="10">
        <v>17479</v>
      </c>
      <c r="K135" s="5">
        <v>0.2949</v>
      </c>
      <c r="L135" s="26" t="b">
        <f t="shared" si="10"/>
        <v>1</v>
      </c>
      <c r="M135" s="26" t="str">
        <f t="shared" si="9"/>
        <v>call</v>
      </c>
      <c r="N135" s="28">
        <f t="shared" si="8"/>
        <v>45947</v>
      </c>
      <c r="O135" s="29">
        <f t="shared" si="11"/>
        <v>12</v>
      </c>
    </row>
    <row r="136" spans="1:15" x14ac:dyDescent="0.45">
      <c r="A136" s="1" t="s">
        <v>173</v>
      </c>
      <c r="B136" s="2">
        <v>45726.643750000003</v>
      </c>
      <c r="C136" s="3">
        <v>247.5</v>
      </c>
      <c r="D136" s="4">
        <v>11.75</v>
      </c>
      <c r="E136" s="4">
        <v>11.9</v>
      </c>
      <c r="F136" s="4">
        <v>12.15</v>
      </c>
      <c r="G136" s="8">
        <v>-0.15</v>
      </c>
      <c r="H136" s="9">
        <v>-1.26E-2</v>
      </c>
      <c r="I136" s="4">
        <v>289</v>
      </c>
      <c r="J136" s="10">
        <v>2617</v>
      </c>
      <c r="K136" s="5">
        <v>0.27929999999999999</v>
      </c>
      <c r="L136" s="26" t="b">
        <f t="shared" si="10"/>
        <v>1</v>
      </c>
      <c r="M136" s="26" t="str">
        <f t="shared" si="9"/>
        <v>call</v>
      </c>
      <c r="N136" s="28">
        <f t="shared" si="8"/>
        <v>45947</v>
      </c>
      <c r="O136" s="29">
        <f t="shared" si="11"/>
        <v>12</v>
      </c>
    </row>
    <row r="137" spans="1:15" x14ac:dyDescent="0.45">
      <c r="A137" s="1" t="s">
        <v>174</v>
      </c>
      <c r="B137" s="2">
        <v>45726.665277777778</v>
      </c>
      <c r="C137" s="3">
        <v>250</v>
      </c>
      <c r="D137" s="4">
        <v>9.84</v>
      </c>
      <c r="E137" s="4">
        <v>9.9</v>
      </c>
      <c r="F137" s="4">
        <v>10</v>
      </c>
      <c r="G137" s="8">
        <v>0.19</v>
      </c>
      <c r="H137" s="9">
        <v>1.9699999999999999E-2</v>
      </c>
      <c r="I137" s="10">
        <v>3817</v>
      </c>
      <c r="J137" s="10">
        <v>34550</v>
      </c>
      <c r="K137" s="5">
        <v>0.26150000000000001</v>
      </c>
      <c r="L137" s="26" t="b">
        <f t="shared" si="10"/>
        <v>1</v>
      </c>
      <c r="M137" s="26" t="str">
        <f t="shared" si="9"/>
        <v>call</v>
      </c>
      <c r="N137" s="28">
        <f t="shared" si="8"/>
        <v>45947</v>
      </c>
      <c r="O137" s="29">
        <f t="shared" si="11"/>
        <v>12</v>
      </c>
    </row>
    <row r="138" spans="1:15" x14ac:dyDescent="0.45">
      <c r="A138" s="1" t="s">
        <v>175</v>
      </c>
      <c r="B138" s="2">
        <v>45726.661805555559</v>
      </c>
      <c r="C138" s="3">
        <v>252.5</v>
      </c>
      <c r="D138" s="4">
        <v>7.8</v>
      </c>
      <c r="E138" s="4">
        <v>7.95</v>
      </c>
      <c r="F138" s="4">
        <v>8.1</v>
      </c>
      <c r="G138" s="8">
        <v>0</v>
      </c>
      <c r="H138" s="9">
        <v>0</v>
      </c>
      <c r="I138" s="10">
        <v>1359</v>
      </c>
      <c r="J138" s="10">
        <v>2258</v>
      </c>
      <c r="K138" s="5">
        <v>0.25230000000000002</v>
      </c>
      <c r="L138" s="26" t="b">
        <f t="shared" si="10"/>
        <v>1</v>
      </c>
      <c r="M138" s="26" t="str">
        <f t="shared" si="9"/>
        <v>call</v>
      </c>
      <c r="N138" s="28">
        <f t="shared" si="8"/>
        <v>45947</v>
      </c>
      <c r="O138" s="29">
        <f t="shared" si="11"/>
        <v>12</v>
      </c>
    </row>
    <row r="139" spans="1:15" x14ac:dyDescent="0.45">
      <c r="A139" s="1" t="s">
        <v>176</v>
      </c>
      <c r="B139" s="2">
        <v>45726.662499999999</v>
      </c>
      <c r="C139" s="3">
        <v>255</v>
      </c>
      <c r="D139" s="4">
        <v>6.28</v>
      </c>
      <c r="E139" s="4">
        <v>6.25</v>
      </c>
      <c r="F139" s="4">
        <v>6.35</v>
      </c>
      <c r="G139" s="8">
        <v>0.18</v>
      </c>
      <c r="H139" s="9">
        <v>2.9499999999999998E-2</v>
      </c>
      <c r="I139" s="10">
        <v>4277</v>
      </c>
      <c r="J139" s="10">
        <v>20747</v>
      </c>
      <c r="K139" s="5">
        <v>0.2427</v>
      </c>
      <c r="L139" s="26" t="b">
        <f t="shared" si="10"/>
        <v>1</v>
      </c>
      <c r="M139" s="26" t="str">
        <f t="shared" si="9"/>
        <v>call</v>
      </c>
      <c r="N139" s="28">
        <f t="shared" si="8"/>
        <v>45947</v>
      </c>
      <c r="O139" s="29">
        <f t="shared" si="11"/>
        <v>12</v>
      </c>
    </row>
    <row r="140" spans="1:15" x14ac:dyDescent="0.45">
      <c r="A140" s="1" t="s">
        <v>177</v>
      </c>
      <c r="B140" s="2">
        <v>45726.665972222225</v>
      </c>
      <c r="C140" s="3">
        <v>257.5</v>
      </c>
      <c r="D140" s="4">
        <v>4.72</v>
      </c>
      <c r="E140" s="4">
        <v>4.7</v>
      </c>
      <c r="F140" s="4">
        <v>4.8</v>
      </c>
      <c r="G140" s="8">
        <v>-0.03</v>
      </c>
      <c r="H140" s="9">
        <v>-6.3E-3</v>
      </c>
      <c r="I140" s="10">
        <v>4952</v>
      </c>
      <c r="J140" s="10">
        <v>9153</v>
      </c>
      <c r="K140" s="5">
        <v>0.23369999999999999</v>
      </c>
      <c r="L140" s="26" t="b">
        <f t="shared" si="10"/>
        <v>1</v>
      </c>
      <c r="M140" s="26" t="str">
        <f t="shared" si="9"/>
        <v>call</v>
      </c>
      <c r="N140" s="28">
        <f t="shared" si="8"/>
        <v>45947</v>
      </c>
      <c r="O140" s="29">
        <f t="shared" si="11"/>
        <v>12</v>
      </c>
    </row>
    <row r="141" spans="1:15" x14ac:dyDescent="0.45">
      <c r="A141" s="11" t="s">
        <v>178</v>
      </c>
      <c r="B141" s="12">
        <v>45726.665972222225</v>
      </c>
      <c r="C141" s="13">
        <v>260</v>
      </c>
      <c r="D141" s="14">
        <v>3.48</v>
      </c>
      <c r="E141" s="14">
        <v>3.45</v>
      </c>
      <c r="F141" s="14">
        <v>3.55</v>
      </c>
      <c r="G141" s="15">
        <v>-0.02</v>
      </c>
      <c r="H141" s="16">
        <v>-5.7000000000000002E-3</v>
      </c>
      <c r="I141" s="17">
        <v>24747</v>
      </c>
      <c r="J141" s="17">
        <v>28484</v>
      </c>
      <c r="K141" s="18">
        <v>0.2293</v>
      </c>
      <c r="L141" s="26" t="b">
        <f t="shared" si="10"/>
        <v>0</v>
      </c>
      <c r="M141" s="26" t="str">
        <f t="shared" si="9"/>
        <v>call</v>
      </c>
      <c r="N141" s="28">
        <f t="shared" si="8"/>
        <v>45947</v>
      </c>
      <c r="O141" s="29">
        <f t="shared" si="11"/>
        <v>12</v>
      </c>
    </row>
    <row r="142" spans="1:15" x14ac:dyDescent="0.45">
      <c r="A142" s="11" t="s">
        <v>179</v>
      </c>
      <c r="B142" s="12">
        <v>45726.665277777778</v>
      </c>
      <c r="C142" s="13">
        <v>262.5</v>
      </c>
      <c r="D142" s="14">
        <v>2.4500000000000002</v>
      </c>
      <c r="E142" s="14">
        <v>2.46</v>
      </c>
      <c r="F142" s="14">
        <v>2.5099999999999998</v>
      </c>
      <c r="G142" s="15">
        <v>-0.14000000000000001</v>
      </c>
      <c r="H142" s="16">
        <v>-5.4100000000000002E-2</v>
      </c>
      <c r="I142" s="17">
        <v>6136</v>
      </c>
      <c r="J142" s="17">
        <v>8739</v>
      </c>
      <c r="K142" s="18">
        <v>0.22409999999999999</v>
      </c>
      <c r="L142" s="26" t="b">
        <f t="shared" si="10"/>
        <v>0</v>
      </c>
      <c r="M142" s="26" t="str">
        <f t="shared" si="9"/>
        <v>call</v>
      </c>
      <c r="N142" s="28">
        <f t="shared" si="8"/>
        <v>45947</v>
      </c>
      <c r="O142" s="29">
        <f t="shared" si="11"/>
        <v>12</v>
      </c>
    </row>
    <row r="143" spans="1:15" x14ac:dyDescent="0.45">
      <c r="A143" s="11" t="s">
        <v>180</v>
      </c>
      <c r="B143" s="12">
        <v>45726.665972222225</v>
      </c>
      <c r="C143" s="13">
        <v>265</v>
      </c>
      <c r="D143" s="14">
        <v>1.73</v>
      </c>
      <c r="E143" s="14">
        <v>1.69</v>
      </c>
      <c r="F143" s="14">
        <v>1.75</v>
      </c>
      <c r="G143" s="14">
        <v>-7.0000000000000007E-2</v>
      </c>
      <c r="H143" s="18">
        <v>-3.8899999999999997E-2</v>
      </c>
      <c r="I143" s="17">
        <v>7734</v>
      </c>
      <c r="J143" s="17">
        <v>15283</v>
      </c>
      <c r="K143" s="18">
        <v>0.22270000000000001</v>
      </c>
      <c r="L143" s="26" t="b">
        <f t="shared" si="10"/>
        <v>0</v>
      </c>
      <c r="M143" s="26" t="str">
        <f t="shared" si="9"/>
        <v>call</v>
      </c>
      <c r="N143" s="28">
        <f t="shared" si="8"/>
        <v>45947</v>
      </c>
      <c r="O143" s="29">
        <f t="shared" si="11"/>
        <v>12</v>
      </c>
    </row>
    <row r="144" spans="1:15" x14ac:dyDescent="0.45">
      <c r="A144" s="11" t="s">
        <v>181</v>
      </c>
      <c r="B144" s="12">
        <v>45726.665277777778</v>
      </c>
      <c r="C144" s="13">
        <v>267.5</v>
      </c>
      <c r="D144" s="14">
        <v>1.1599999999999999</v>
      </c>
      <c r="E144" s="14">
        <v>1.1399999999999999</v>
      </c>
      <c r="F144" s="14">
        <v>1.18</v>
      </c>
      <c r="G144" s="14">
        <v>-0.1</v>
      </c>
      <c r="H144" s="18">
        <v>-7.9399999999999998E-2</v>
      </c>
      <c r="I144" s="17">
        <v>2946</v>
      </c>
      <c r="J144" s="17">
        <v>2155</v>
      </c>
      <c r="K144" s="18">
        <v>0.22159999999999999</v>
      </c>
      <c r="L144" s="26" t="b">
        <f t="shared" si="10"/>
        <v>0</v>
      </c>
      <c r="M144" s="26" t="str">
        <f t="shared" si="9"/>
        <v>call</v>
      </c>
      <c r="N144" s="28">
        <f t="shared" si="8"/>
        <v>45947</v>
      </c>
      <c r="O144" s="29">
        <f t="shared" si="11"/>
        <v>12</v>
      </c>
    </row>
    <row r="145" spans="1:15" x14ac:dyDescent="0.45">
      <c r="A145" s="11" t="s">
        <v>182</v>
      </c>
      <c r="B145" s="12">
        <v>45726.665972222225</v>
      </c>
      <c r="C145" s="13">
        <v>270</v>
      </c>
      <c r="D145" s="14">
        <v>0.78</v>
      </c>
      <c r="E145" s="14">
        <v>0.76</v>
      </c>
      <c r="F145" s="14">
        <v>0.79</v>
      </c>
      <c r="G145" s="14">
        <v>-0.1</v>
      </c>
      <c r="H145" s="18">
        <v>-0.11360000000000001</v>
      </c>
      <c r="I145" s="17">
        <v>12726</v>
      </c>
      <c r="J145" s="17">
        <v>19640</v>
      </c>
      <c r="K145" s="18">
        <v>0.2225</v>
      </c>
      <c r="L145" s="26" t="b">
        <f t="shared" si="10"/>
        <v>0</v>
      </c>
      <c r="M145" s="26" t="str">
        <f t="shared" si="9"/>
        <v>call</v>
      </c>
      <c r="N145" s="28">
        <f t="shared" si="8"/>
        <v>45947</v>
      </c>
      <c r="O145" s="29">
        <f t="shared" si="11"/>
        <v>12</v>
      </c>
    </row>
    <row r="146" spans="1:15" x14ac:dyDescent="0.45">
      <c r="A146" s="11" t="s">
        <v>183</v>
      </c>
      <c r="B146" s="12">
        <v>45726.663194444445</v>
      </c>
      <c r="C146" s="13">
        <v>272.5</v>
      </c>
      <c r="D146" s="14">
        <v>0.5</v>
      </c>
      <c r="E146" s="14">
        <v>0.51</v>
      </c>
      <c r="F146" s="14">
        <v>0.53</v>
      </c>
      <c r="G146" s="14">
        <v>-0.11</v>
      </c>
      <c r="H146" s="18">
        <v>-0.18029999999999999</v>
      </c>
      <c r="I146" s="14">
        <v>511</v>
      </c>
      <c r="J146" s="14">
        <v>582</v>
      </c>
      <c r="K146" s="18">
        <v>0.22509999999999999</v>
      </c>
      <c r="L146" s="26" t="b">
        <f t="shared" si="10"/>
        <v>0</v>
      </c>
      <c r="M146" s="26" t="str">
        <f t="shared" si="9"/>
        <v>call</v>
      </c>
      <c r="N146" s="28">
        <f t="shared" si="8"/>
        <v>45947</v>
      </c>
      <c r="O146" s="29">
        <f t="shared" si="11"/>
        <v>12</v>
      </c>
    </row>
    <row r="147" spans="1:15" x14ac:dyDescent="0.45">
      <c r="A147" s="11" t="s">
        <v>184</v>
      </c>
      <c r="B147" s="12">
        <v>45726.665972222225</v>
      </c>
      <c r="C147" s="13">
        <v>275</v>
      </c>
      <c r="D147" s="14">
        <v>0.35</v>
      </c>
      <c r="E147" s="14">
        <v>0.34</v>
      </c>
      <c r="F147" s="14">
        <v>0.36</v>
      </c>
      <c r="G147" s="14">
        <v>-0.09</v>
      </c>
      <c r="H147" s="18">
        <v>-0.20449999999999999</v>
      </c>
      <c r="I147" s="17">
        <v>2122</v>
      </c>
      <c r="J147" s="17">
        <v>13176</v>
      </c>
      <c r="K147" s="18">
        <v>0.22950000000000001</v>
      </c>
      <c r="L147" s="26" t="b">
        <f t="shared" si="10"/>
        <v>0</v>
      </c>
      <c r="M147" s="26" t="str">
        <f t="shared" si="9"/>
        <v>call</v>
      </c>
      <c r="N147" s="28">
        <f t="shared" si="8"/>
        <v>45947</v>
      </c>
      <c r="O147" s="29">
        <f t="shared" si="11"/>
        <v>12</v>
      </c>
    </row>
    <row r="148" spans="1:15" x14ac:dyDescent="0.45">
      <c r="A148" s="11" t="s">
        <v>185</v>
      </c>
      <c r="B148" s="12">
        <v>45726.659722222219</v>
      </c>
      <c r="C148" s="13">
        <v>280</v>
      </c>
      <c r="D148" s="14">
        <v>0.17</v>
      </c>
      <c r="E148" s="14">
        <v>0.16</v>
      </c>
      <c r="F148" s="14">
        <v>0.17</v>
      </c>
      <c r="G148" s="14">
        <v>-0.05</v>
      </c>
      <c r="H148" s="18">
        <v>-0.2273</v>
      </c>
      <c r="I148" s="17">
        <v>1408</v>
      </c>
      <c r="J148" s="17">
        <v>11475</v>
      </c>
      <c r="K148" s="18">
        <v>0.23980000000000001</v>
      </c>
      <c r="L148" s="26" t="b">
        <f t="shared" si="10"/>
        <v>0</v>
      </c>
      <c r="M148" s="26" t="str">
        <f t="shared" si="9"/>
        <v>call</v>
      </c>
      <c r="N148" s="28">
        <f t="shared" si="8"/>
        <v>45947</v>
      </c>
      <c r="O148" s="29">
        <f t="shared" si="11"/>
        <v>12</v>
      </c>
    </row>
    <row r="149" spans="1:15" x14ac:dyDescent="0.45">
      <c r="A149" s="11" t="s">
        <v>186</v>
      </c>
      <c r="B149" s="12">
        <v>45726.658333333333</v>
      </c>
      <c r="C149" s="13">
        <v>285</v>
      </c>
      <c r="D149" s="14">
        <v>0.09</v>
      </c>
      <c r="E149" s="14">
        <v>0.08</v>
      </c>
      <c r="F149" s="14">
        <v>0.09</v>
      </c>
      <c r="G149" s="15">
        <v>-0.04</v>
      </c>
      <c r="H149" s="16">
        <v>-0.30769999999999997</v>
      </c>
      <c r="I149" s="14">
        <v>633</v>
      </c>
      <c r="J149" s="17">
        <v>3576</v>
      </c>
      <c r="K149" s="18">
        <v>0.25390000000000001</v>
      </c>
      <c r="L149" s="26" t="b">
        <f t="shared" si="10"/>
        <v>0</v>
      </c>
      <c r="M149" s="26" t="str">
        <f t="shared" si="9"/>
        <v>call</v>
      </c>
      <c r="N149" s="28">
        <f t="shared" si="8"/>
        <v>45947</v>
      </c>
      <c r="O149" s="29">
        <f t="shared" si="11"/>
        <v>12</v>
      </c>
    </row>
    <row r="150" spans="1:15" x14ac:dyDescent="0.45">
      <c r="A150" s="11" t="s">
        <v>187</v>
      </c>
      <c r="B150" s="12">
        <v>45726.644444444442</v>
      </c>
      <c r="C150" s="13">
        <v>290</v>
      </c>
      <c r="D150" s="14">
        <v>0.05</v>
      </c>
      <c r="E150" s="14">
        <v>0.05</v>
      </c>
      <c r="F150" s="14">
        <v>0.06</v>
      </c>
      <c r="G150" s="15">
        <v>-0.04</v>
      </c>
      <c r="H150" s="16">
        <v>-0.44440000000000002</v>
      </c>
      <c r="I150" s="14">
        <v>463</v>
      </c>
      <c r="J150" s="17">
        <v>3889</v>
      </c>
      <c r="K150" s="18">
        <v>0.27539999999999998</v>
      </c>
      <c r="L150" s="26" t="b">
        <f t="shared" si="10"/>
        <v>0</v>
      </c>
      <c r="M150" s="26" t="str">
        <f t="shared" si="9"/>
        <v>call</v>
      </c>
      <c r="N150" s="28">
        <f t="shared" si="8"/>
        <v>45947</v>
      </c>
      <c r="O150" s="29">
        <f t="shared" si="11"/>
        <v>12</v>
      </c>
    </row>
    <row r="151" spans="1:15" x14ac:dyDescent="0.45">
      <c r="A151" s="11" t="s">
        <v>188</v>
      </c>
      <c r="B151" s="12">
        <v>45726.572222222225</v>
      </c>
      <c r="C151" s="13">
        <v>295</v>
      </c>
      <c r="D151" s="14">
        <v>0.03</v>
      </c>
      <c r="E151" s="14">
        <v>0.03</v>
      </c>
      <c r="F151" s="14">
        <v>0.04</v>
      </c>
      <c r="G151" s="15">
        <v>-0.01</v>
      </c>
      <c r="H151" s="16">
        <v>-0.25</v>
      </c>
      <c r="I151" s="14">
        <v>218</v>
      </c>
      <c r="J151" s="17">
        <v>4213</v>
      </c>
      <c r="K151" s="18">
        <v>0.2949</v>
      </c>
      <c r="L151" s="26" t="b">
        <f t="shared" si="10"/>
        <v>0</v>
      </c>
      <c r="M151" s="26" t="str">
        <f t="shared" si="9"/>
        <v>call</v>
      </c>
      <c r="N151" s="28">
        <f t="shared" si="8"/>
        <v>45947</v>
      </c>
      <c r="O151" s="29">
        <f t="shared" si="11"/>
        <v>12</v>
      </c>
    </row>
    <row r="152" spans="1:15" x14ac:dyDescent="0.45">
      <c r="A152" s="11" t="s">
        <v>189</v>
      </c>
      <c r="B152" s="12">
        <v>45726.665277777778</v>
      </c>
      <c r="C152" s="13">
        <v>300</v>
      </c>
      <c r="D152" s="14">
        <v>0.02</v>
      </c>
      <c r="E152" s="14">
        <v>0.01</v>
      </c>
      <c r="F152" s="14">
        <v>0.03</v>
      </c>
      <c r="G152" s="15">
        <v>-0.01</v>
      </c>
      <c r="H152" s="16">
        <v>-0.33329999999999999</v>
      </c>
      <c r="I152" s="14">
        <v>564</v>
      </c>
      <c r="J152" s="17">
        <v>12479</v>
      </c>
      <c r="K152" s="18">
        <v>0.31640000000000001</v>
      </c>
      <c r="L152" s="26" t="b">
        <f t="shared" si="10"/>
        <v>0</v>
      </c>
      <c r="M152" s="26" t="str">
        <f t="shared" si="9"/>
        <v>call</v>
      </c>
      <c r="N152" s="28">
        <f t="shared" si="8"/>
        <v>45947</v>
      </c>
      <c r="O152" s="29">
        <f t="shared" si="11"/>
        <v>12</v>
      </c>
    </row>
    <row r="153" spans="1:15" x14ac:dyDescent="0.45">
      <c r="A153" s="11" t="s">
        <v>190</v>
      </c>
      <c r="B153" s="12">
        <v>45726.57708333333</v>
      </c>
      <c r="C153" s="13">
        <v>305</v>
      </c>
      <c r="D153" s="14">
        <v>0.01</v>
      </c>
      <c r="E153" s="14">
        <v>0.01</v>
      </c>
      <c r="F153" s="14">
        <v>0.02</v>
      </c>
      <c r="G153" s="15">
        <v>-0.01</v>
      </c>
      <c r="H153" s="16">
        <v>-0.5</v>
      </c>
      <c r="I153" s="14">
        <v>35</v>
      </c>
      <c r="J153" s="14">
        <v>634</v>
      </c>
      <c r="K153" s="18">
        <v>0.33200000000000002</v>
      </c>
      <c r="L153" s="26" t="b">
        <f t="shared" si="10"/>
        <v>0</v>
      </c>
      <c r="M153" s="26" t="str">
        <f t="shared" si="9"/>
        <v>call</v>
      </c>
      <c r="N153" s="28">
        <f t="shared" si="8"/>
        <v>45947</v>
      </c>
      <c r="O153" s="29">
        <f t="shared" si="11"/>
        <v>12</v>
      </c>
    </row>
    <row r="154" spans="1:15" x14ac:dyDescent="0.45">
      <c r="A154" s="11" t="s">
        <v>191</v>
      </c>
      <c r="B154" s="12">
        <v>45726.57916666667</v>
      </c>
      <c r="C154" s="13">
        <v>310</v>
      </c>
      <c r="D154" s="14">
        <v>0.01</v>
      </c>
      <c r="E154" s="14">
        <v>0.01</v>
      </c>
      <c r="F154" s="14">
        <v>0.02</v>
      </c>
      <c r="G154" s="15">
        <v>-0.01</v>
      </c>
      <c r="H154" s="16">
        <v>-0.5</v>
      </c>
      <c r="I154" s="14">
        <v>68</v>
      </c>
      <c r="J154" s="17">
        <v>1766</v>
      </c>
      <c r="K154" s="18">
        <v>0.3594</v>
      </c>
      <c r="L154" s="26" t="b">
        <f t="shared" si="10"/>
        <v>0</v>
      </c>
      <c r="M154" s="26" t="str">
        <f t="shared" si="9"/>
        <v>call</v>
      </c>
      <c r="N154" s="28">
        <f t="shared" si="8"/>
        <v>45947</v>
      </c>
      <c r="O154" s="29">
        <f t="shared" si="11"/>
        <v>12</v>
      </c>
    </row>
    <row r="155" spans="1:15" x14ac:dyDescent="0.45">
      <c r="A155" s="11" t="s">
        <v>192</v>
      </c>
      <c r="B155" s="12">
        <v>45726.490277777775</v>
      </c>
      <c r="C155" s="13">
        <v>315</v>
      </c>
      <c r="D155" s="14">
        <v>0.02</v>
      </c>
      <c r="E155" s="14">
        <v>0</v>
      </c>
      <c r="F155" s="14">
        <v>0.01</v>
      </c>
      <c r="G155" s="14">
        <v>0</v>
      </c>
      <c r="H155" s="18">
        <v>0</v>
      </c>
      <c r="I155" s="14">
        <v>11</v>
      </c>
      <c r="J155" s="14">
        <v>617</v>
      </c>
      <c r="K155" s="18">
        <v>0.3594</v>
      </c>
      <c r="L155" s="26" t="b">
        <f t="shared" si="10"/>
        <v>0</v>
      </c>
      <c r="M155" s="26" t="str">
        <f t="shared" si="9"/>
        <v>call</v>
      </c>
      <c r="N155" s="28">
        <f t="shared" si="8"/>
        <v>45947</v>
      </c>
      <c r="O155" s="29">
        <f t="shared" si="11"/>
        <v>12</v>
      </c>
    </row>
    <row r="156" spans="1:15" x14ac:dyDescent="0.45">
      <c r="A156" s="11" t="s">
        <v>193</v>
      </c>
      <c r="B156" s="12">
        <v>45726.616666666669</v>
      </c>
      <c r="C156" s="13">
        <v>320</v>
      </c>
      <c r="D156" s="14">
        <v>0.01</v>
      </c>
      <c r="E156" s="14">
        <v>0</v>
      </c>
      <c r="F156" s="14">
        <v>0.01</v>
      </c>
      <c r="G156" s="14">
        <v>0</v>
      </c>
      <c r="H156" s="18">
        <v>0</v>
      </c>
      <c r="I156" s="14">
        <v>28</v>
      </c>
      <c r="J156" s="17">
        <v>1546</v>
      </c>
      <c r="K156" s="18">
        <v>0.3906</v>
      </c>
      <c r="L156" s="26" t="b">
        <f t="shared" si="10"/>
        <v>0</v>
      </c>
      <c r="M156" s="26" t="str">
        <f t="shared" si="9"/>
        <v>call</v>
      </c>
      <c r="N156" s="28">
        <f t="shared" si="8"/>
        <v>45947</v>
      </c>
      <c r="O156" s="29">
        <f t="shared" si="11"/>
        <v>12</v>
      </c>
    </row>
    <row r="157" spans="1:15" x14ac:dyDescent="0.45">
      <c r="A157" s="11" t="s">
        <v>194</v>
      </c>
      <c r="B157" s="12">
        <v>45667.432638888888</v>
      </c>
      <c r="C157" s="13">
        <v>325</v>
      </c>
      <c r="D157" s="14">
        <v>0.01</v>
      </c>
      <c r="E157" s="14">
        <v>0</v>
      </c>
      <c r="F157" s="14">
        <v>0.01</v>
      </c>
      <c r="G157" s="14">
        <v>0</v>
      </c>
      <c r="H157" s="18">
        <v>0</v>
      </c>
      <c r="I157" s="14">
        <v>3</v>
      </c>
      <c r="J157" s="14">
        <v>642</v>
      </c>
      <c r="K157" s="18">
        <v>0.41410000000000002</v>
      </c>
      <c r="L157" s="26" t="b">
        <f t="shared" si="10"/>
        <v>0</v>
      </c>
      <c r="M157" s="26" t="str">
        <f t="shared" si="9"/>
        <v>call</v>
      </c>
      <c r="N157" s="28">
        <f t="shared" si="8"/>
        <v>45947</v>
      </c>
      <c r="O157" s="29">
        <f t="shared" si="11"/>
        <v>12</v>
      </c>
    </row>
    <row r="158" spans="1:15" x14ac:dyDescent="0.45">
      <c r="A158" s="11" t="s">
        <v>195</v>
      </c>
      <c r="B158" s="12">
        <v>45698.480555555558</v>
      </c>
      <c r="C158" s="13">
        <v>330</v>
      </c>
      <c r="D158" s="14">
        <v>0.01</v>
      </c>
      <c r="E158" s="14">
        <v>0</v>
      </c>
      <c r="F158" s="14">
        <v>0.01</v>
      </c>
      <c r="G158" s="14">
        <v>0</v>
      </c>
      <c r="H158" s="18">
        <v>0</v>
      </c>
      <c r="I158" s="14">
        <v>11</v>
      </c>
      <c r="J158" s="14">
        <v>885</v>
      </c>
      <c r="K158" s="18">
        <v>0.4375</v>
      </c>
      <c r="L158" s="26" t="b">
        <f t="shared" si="10"/>
        <v>0</v>
      </c>
      <c r="M158" s="26" t="str">
        <f t="shared" si="9"/>
        <v>call</v>
      </c>
      <c r="N158" s="28">
        <f t="shared" si="8"/>
        <v>45947</v>
      </c>
      <c r="O158" s="29">
        <f t="shared" si="11"/>
        <v>12</v>
      </c>
    </row>
    <row r="159" spans="1:15" x14ac:dyDescent="0.45">
      <c r="A159" s="11" t="s">
        <v>196</v>
      </c>
      <c r="B159" s="14" t="s">
        <v>197</v>
      </c>
      <c r="C159" s="13">
        <v>335</v>
      </c>
      <c r="D159" s="14">
        <v>0.01</v>
      </c>
      <c r="E159" s="14">
        <v>0</v>
      </c>
      <c r="F159" s="14">
        <v>0.01</v>
      </c>
      <c r="G159" s="14">
        <v>0</v>
      </c>
      <c r="H159" s="18">
        <v>0</v>
      </c>
      <c r="I159" s="14">
        <v>20</v>
      </c>
      <c r="J159" s="14">
        <v>82</v>
      </c>
      <c r="K159" s="18">
        <v>0.46089999999999998</v>
      </c>
      <c r="L159" s="26" t="b">
        <f t="shared" si="10"/>
        <v>0</v>
      </c>
      <c r="M159" s="26" t="str">
        <f t="shared" si="9"/>
        <v>call</v>
      </c>
      <c r="N159" s="28">
        <f t="shared" si="8"/>
        <v>45947</v>
      </c>
      <c r="O159" s="29">
        <f t="shared" si="11"/>
        <v>12</v>
      </c>
    </row>
    <row r="160" spans="1:15" x14ac:dyDescent="0.45">
      <c r="A160" s="11" t="s">
        <v>198</v>
      </c>
      <c r="B160" s="14" t="s">
        <v>199</v>
      </c>
      <c r="C160" s="13">
        <v>340</v>
      </c>
      <c r="D160" s="14">
        <v>0.01</v>
      </c>
      <c r="E160" s="14">
        <v>0</v>
      </c>
      <c r="F160" s="14">
        <v>0.01</v>
      </c>
      <c r="G160" s="14">
        <v>0</v>
      </c>
      <c r="H160" s="18">
        <v>0</v>
      </c>
      <c r="I160" s="14">
        <v>35</v>
      </c>
      <c r="J160" s="14">
        <v>153</v>
      </c>
      <c r="K160" s="18">
        <v>0.4844</v>
      </c>
      <c r="L160" s="26" t="b">
        <f t="shared" si="10"/>
        <v>0</v>
      </c>
      <c r="M160" s="26" t="str">
        <f t="shared" si="9"/>
        <v>call</v>
      </c>
      <c r="N160" s="28">
        <f t="shared" si="8"/>
        <v>45947</v>
      </c>
      <c r="O160" s="29">
        <f t="shared" si="11"/>
        <v>12</v>
      </c>
    </row>
    <row r="161" spans="1:15" x14ac:dyDescent="0.45">
      <c r="A161" s="11" t="s">
        <v>200</v>
      </c>
      <c r="B161" s="14" t="s">
        <v>201</v>
      </c>
      <c r="C161" s="13">
        <v>345</v>
      </c>
      <c r="D161" s="14">
        <v>0.01</v>
      </c>
      <c r="E161" s="14">
        <v>0</v>
      </c>
      <c r="F161" s="14">
        <v>0.01</v>
      </c>
      <c r="G161" s="14">
        <v>0</v>
      </c>
      <c r="H161" s="18">
        <v>0</v>
      </c>
      <c r="I161" s="14">
        <v>1</v>
      </c>
      <c r="J161" s="14">
        <v>391</v>
      </c>
      <c r="K161" s="18">
        <v>0.50780000000000003</v>
      </c>
      <c r="L161" s="26" t="b">
        <f t="shared" si="10"/>
        <v>0</v>
      </c>
      <c r="M161" s="26" t="str">
        <f t="shared" si="9"/>
        <v>call</v>
      </c>
      <c r="N161" s="28">
        <f t="shared" si="8"/>
        <v>45947</v>
      </c>
      <c r="O161" s="29">
        <f t="shared" si="11"/>
        <v>12</v>
      </c>
    </row>
    <row r="162" spans="1:15" x14ac:dyDescent="0.45">
      <c r="A162" s="11" t="s">
        <v>202</v>
      </c>
      <c r="B162" s="14" t="s">
        <v>203</v>
      </c>
      <c r="C162" s="13">
        <v>350</v>
      </c>
      <c r="D162" s="14">
        <v>0.01</v>
      </c>
      <c r="E162" s="14">
        <v>0</v>
      </c>
      <c r="F162" s="14">
        <v>0.01</v>
      </c>
      <c r="G162" s="14">
        <v>0</v>
      </c>
      <c r="H162" s="18">
        <v>0</v>
      </c>
      <c r="I162" s="14">
        <v>150</v>
      </c>
      <c r="J162" s="14">
        <v>450</v>
      </c>
      <c r="K162" s="18">
        <v>0.5</v>
      </c>
      <c r="L162" s="26" t="b">
        <f t="shared" si="10"/>
        <v>0</v>
      </c>
      <c r="M162" s="26" t="str">
        <f t="shared" si="9"/>
        <v>call</v>
      </c>
      <c r="N162" s="28">
        <f t="shared" si="8"/>
        <v>45947</v>
      </c>
      <c r="O162" s="29">
        <f t="shared" si="11"/>
        <v>12</v>
      </c>
    </row>
    <row r="163" spans="1:15" x14ac:dyDescent="0.45">
      <c r="A163" s="11" t="s">
        <v>204</v>
      </c>
      <c r="B163" s="14" t="s">
        <v>205</v>
      </c>
      <c r="C163" s="13">
        <v>355</v>
      </c>
      <c r="D163" s="14">
        <v>0.01</v>
      </c>
      <c r="E163" s="14">
        <v>0</v>
      </c>
      <c r="F163" s="14">
        <v>0.01</v>
      </c>
      <c r="G163" s="14">
        <v>0</v>
      </c>
      <c r="H163" s="18">
        <v>0</v>
      </c>
      <c r="I163" s="14">
        <v>25</v>
      </c>
      <c r="J163" s="14">
        <v>225</v>
      </c>
      <c r="K163" s="18">
        <v>0.53129999999999999</v>
      </c>
      <c r="L163" s="26" t="b">
        <f t="shared" si="10"/>
        <v>0</v>
      </c>
      <c r="M163" s="26" t="str">
        <f t="shared" si="9"/>
        <v>call</v>
      </c>
      <c r="N163" s="28">
        <f t="shared" ref="N163:N223" si="12">DATE(MID(A163,5,2)+2000,MID(A163,7,2),MID(A163,9,2))</f>
        <v>45947</v>
      </c>
      <c r="O163" s="29">
        <f t="shared" si="11"/>
        <v>12</v>
      </c>
    </row>
    <row r="164" spans="1:15" x14ac:dyDescent="0.45">
      <c r="A164" s="11" t="s">
        <v>206</v>
      </c>
      <c r="B164" s="12">
        <v>45816.57708333333</v>
      </c>
      <c r="C164" s="13">
        <v>360</v>
      </c>
      <c r="D164" s="14">
        <v>0.01</v>
      </c>
      <c r="E164" s="14">
        <v>0</v>
      </c>
      <c r="F164" s="14">
        <v>0.01</v>
      </c>
      <c r="G164" s="14">
        <v>0</v>
      </c>
      <c r="H164" s="18">
        <v>0</v>
      </c>
      <c r="I164" s="14">
        <v>1</v>
      </c>
      <c r="J164" s="17">
        <v>1497</v>
      </c>
      <c r="K164" s="18">
        <v>0.54690000000000005</v>
      </c>
      <c r="L164" s="26" t="b">
        <f t="shared" si="10"/>
        <v>0</v>
      </c>
      <c r="M164" s="26" t="str">
        <f t="shared" si="9"/>
        <v>call</v>
      </c>
      <c r="N164" s="28">
        <f t="shared" si="12"/>
        <v>45947</v>
      </c>
      <c r="O164" s="29">
        <f t="shared" si="11"/>
        <v>12</v>
      </c>
    </row>
    <row r="165" spans="1:15" x14ac:dyDescent="0.45">
      <c r="A165" s="11" t="s">
        <v>207</v>
      </c>
      <c r="B165" s="14" t="s">
        <v>208</v>
      </c>
      <c r="C165" s="13">
        <v>370</v>
      </c>
      <c r="D165" s="14">
        <v>0.01</v>
      </c>
      <c r="E165" s="14">
        <v>0</v>
      </c>
      <c r="F165" s="14">
        <v>0.01</v>
      </c>
      <c r="G165" s="14">
        <v>0</v>
      </c>
      <c r="H165" s="18">
        <v>0</v>
      </c>
      <c r="I165" s="14">
        <v>16</v>
      </c>
      <c r="J165" s="17">
        <v>2844</v>
      </c>
      <c r="K165" s="18">
        <v>0.57809999999999995</v>
      </c>
      <c r="L165" s="26" t="b">
        <f t="shared" si="10"/>
        <v>0</v>
      </c>
      <c r="M165" s="26" t="str">
        <f t="shared" si="9"/>
        <v>call</v>
      </c>
      <c r="N165" s="28">
        <f t="shared" si="12"/>
        <v>45947</v>
      </c>
      <c r="O165" s="29">
        <f t="shared" si="11"/>
        <v>12</v>
      </c>
    </row>
    <row r="166" spans="1:15" x14ac:dyDescent="0.45">
      <c r="A166" s="11" t="s">
        <v>209</v>
      </c>
      <c r="B166" s="14" t="s">
        <v>208</v>
      </c>
      <c r="C166" s="13">
        <v>90</v>
      </c>
      <c r="D166" s="14">
        <v>0.01</v>
      </c>
      <c r="E166" s="14">
        <v>0</v>
      </c>
      <c r="F166" s="14">
        <v>0.01</v>
      </c>
      <c r="G166" s="14">
        <v>0</v>
      </c>
      <c r="H166" s="18">
        <v>0</v>
      </c>
      <c r="I166" s="14">
        <v>6</v>
      </c>
      <c r="J166" s="14">
        <v>955</v>
      </c>
      <c r="K166" s="18">
        <v>1.6875</v>
      </c>
      <c r="L166" s="26" t="b">
        <f t="shared" si="10"/>
        <v>0</v>
      </c>
      <c r="M166" s="26" t="str">
        <f t="shared" si="9"/>
        <v>put</v>
      </c>
      <c r="N166" s="28">
        <f t="shared" si="12"/>
        <v>45947</v>
      </c>
      <c r="O166" s="29">
        <f t="shared" si="11"/>
        <v>12</v>
      </c>
    </row>
    <row r="167" spans="1:15" x14ac:dyDescent="0.45">
      <c r="A167" s="11" t="s">
        <v>210</v>
      </c>
      <c r="B167" s="12">
        <v>45667.519444444442</v>
      </c>
      <c r="C167" s="13">
        <v>95</v>
      </c>
      <c r="D167" s="14">
        <v>0.01</v>
      </c>
      <c r="E167" s="14">
        <v>0</v>
      </c>
      <c r="F167" s="14">
        <v>0.01</v>
      </c>
      <c r="G167" s="14">
        <v>0</v>
      </c>
      <c r="H167" s="18">
        <v>0</v>
      </c>
      <c r="I167" s="14">
        <v>1</v>
      </c>
      <c r="J167" s="17">
        <v>1135</v>
      </c>
      <c r="K167" s="18">
        <v>1.5625</v>
      </c>
      <c r="L167" s="26" t="b">
        <f t="shared" si="10"/>
        <v>0</v>
      </c>
      <c r="M167" s="26" t="str">
        <f t="shared" ref="M167:M223" si="13">IF(MID(A167,11,1)="C","call","put")</f>
        <v>put</v>
      </c>
      <c r="N167" s="28">
        <f t="shared" si="12"/>
        <v>45947</v>
      </c>
      <c r="O167" s="29">
        <f t="shared" si="11"/>
        <v>12</v>
      </c>
    </row>
    <row r="168" spans="1:15" x14ac:dyDescent="0.45">
      <c r="A168" s="11" t="s">
        <v>211</v>
      </c>
      <c r="B168" s="14" t="s">
        <v>212</v>
      </c>
      <c r="C168" s="13">
        <v>100</v>
      </c>
      <c r="D168" s="14">
        <v>0.01</v>
      </c>
      <c r="E168" s="14">
        <v>0</v>
      </c>
      <c r="F168" s="14">
        <v>0.01</v>
      </c>
      <c r="G168" s="14">
        <v>0</v>
      </c>
      <c r="H168" s="18">
        <v>0</v>
      </c>
      <c r="I168" s="14">
        <v>3</v>
      </c>
      <c r="J168" s="14">
        <v>860</v>
      </c>
      <c r="K168" s="18">
        <v>1.5</v>
      </c>
      <c r="L168" s="26" t="b">
        <f t="shared" si="10"/>
        <v>0</v>
      </c>
      <c r="M168" s="26" t="str">
        <f t="shared" si="13"/>
        <v>put</v>
      </c>
      <c r="N168" s="28">
        <f t="shared" si="12"/>
        <v>45947</v>
      </c>
      <c r="O168" s="29">
        <f t="shared" si="11"/>
        <v>12</v>
      </c>
    </row>
    <row r="169" spans="1:15" x14ac:dyDescent="0.45">
      <c r="A169" s="11" t="s">
        <v>213</v>
      </c>
      <c r="B169" s="12">
        <v>46000.49722222222</v>
      </c>
      <c r="C169" s="13">
        <v>105</v>
      </c>
      <c r="D169" s="14">
        <v>0.02</v>
      </c>
      <c r="E169" s="14">
        <v>0</v>
      </c>
      <c r="F169" s="14">
        <v>0.01</v>
      </c>
      <c r="G169" s="14">
        <v>0</v>
      </c>
      <c r="H169" s="18">
        <v>0</v>
      </c>
      <c r="I169" s="14">
        <v>1</v>
      </c>
      <c r="J169" s="14">
        <v>292</v>
      </c>
      <c r="K169" s="18">
        <v>1.4375</v>
      </c>
      <c r="L169" s="26" t="b">
        <f t="shared" si="10"/>
        <v>0</v>
      </c>
      <c r="M169" s="26" t="str">
        <f t="shared" si="13"/>
        <v>put</v>
      </c>
      <c r="N169" s="28">
        <f t="shared" si="12"/>
        <v>45947</v>
      </c>
      <c r="O169" s="29">
        <f t="shared" si="11"/>
        <v>12</v>
      </c>
    </row>
    <row r="170" spans="1:15" x14ac:dyDescent="0.45">
      <c r="A170" s="11" t="s">
        <v>214</v>
      </c>
      <c r="B170" s="14" t="s">
        <v>215</v>
      </c>
      <c r="C170" s="13">
        <v>110</v>
      </c>
      <c r="D170" s="14">
        <v>0.01</v>
      </c>
      <c r="E170" s="14">
        <v>0</v>
      </c>
      <c r="F170" s="14">
        <v>0.01</v>
      </c>
      <c r="G170" s="14">
        <v>0</v>
      </c>
      <c r="H170" s="18">
        <v>0</v>
      </c>
      <c r="I170" s="14">
        <v>5</v>
      </c>
      <c r="J170" s="14">
        <v>615</v>
      </c>
      <c r="K170" s="18">
        <v>1.375</v>
      </c>
      <c r="L170" s="26" t="b">
        <f t="shared" si="10"/>
        <v>0</v>
      </c>
      <c r="M170" s="26" t="str">
        <f t="shared" si="13"/>
        <v>put</v>
      </c>
      <c r="N170" s="28">
        <f t="shared" si="12"/>
        <v>45947</v>
      </c>
      <c r="O170" s="29">
        <f t="shared" si="11"/>
        <v>12</v>
      </c>
    </row>
    <row r="171" spans="1:15" x14ac:dyDescent="0.45">
      <c r="A171" s="11" t="s">
        <v>216</v>
      </c>
      <c r="B171" s="14" t="s">
        <v>217</v>
      </c>
      <c r="C171" s="13">
        <v>115</v>
      </c>
      <c r="D171" s="14">
        <v>0.01</v>
      </c>
      <c r="E171" s="14">
        <v>0</v>
      </c>
      <c r="F171" s="14">
        <v>0.21</v>
      </c>
      <c r="G171" s="14">
        <v>0</v>
      </c>
      <c r="H171" s="18">
        <v>0</v>
      </c>
      <c r="I171" s="14">
        <v>20</v>
      </c>
      <c r="J171" s="14">
        <v>595</v>
      </c>
      <c r="K171" s="18">
        <v>1.7031000000000001</v>
      </c>
      <c r="L171" s="26" t="b">
        <f t="shared" si="10"/>
        <v>0</v>
      </c>
      <c r="M171" s="26" t="str">
        <f t="shared" si="13"/>
        <v>put</v>
      </c>
      <c r="N171" s="28">
        <f t="shared" si="12"/>
        <v>45947</v>
      </c>
      <c r="O171" s="29">
        <f t="shared" si="11"/>
        <v>12</v>
      </c>
    </row>
    <row r="172" spans="1:15" x14ac:dyDescent="0.45">
      <c r="A172" s="11" t="s">
        <v>218</v>
      </c>
      <c r="B172" s="14" t="s">
        <v>219</v>
      </c>
      <c r="C172" s="13">
        <v>120</v>
      </c>
      <c r="D172" s="14">
        <v>0.01</v>
      </c>
      <c r="E172" s="14">
        <v>0</v>
      </c>
      <c r="F172" s="14">
        <v>0.17</v>
      </c>
      <c r="G172" s="14">
        <v>0</v>
      </c>
      <c r="H172" s="18">
        <v>0</v>
      </c>
      <c r="I172" s="14">
        <v>1</v>
      </c>
      <c r="J172" s="17">
        <v>5856</v>
      </c>
      <c r="K172" s="18">
        <v>1.5820000000000001</v>
      </c>
      <c r="L172" s="26" t="b">
        <f t="shared" si="10"/>
        <v>0</v>
      </c>
      <c r="M172" s="26" t="str">
        <f t="shared" si="13"/>
        <v>put</v>
      </c>
      <c r="N172" s="28">
        <f t="shared" si="12"/>
        <v>45947</v>
      </c>
      <c r="O172" s="29">
        <f t="shared" si="11"/>
        <v>12</v>
      </c>
    </row>
    <row r="173" spans="1:15" x14ac:dyDescent="0.45">
      <c r="A173" s="11" t="s">
        <v>220</v>
      </c>
      <c r="B173" s="12">
        <v>45726.64166666667</v>
      </c>
      <c r="C173" s="13">
        <v>125</v>
      </c>
      <c r="D173" s="14">
        <v>0.01</v>
      </c>
      <c r="E173" s="14">
        <v>0</v>
      </c>
      <c r="F173" s="14">
        <v>0.01</v>
      </c>
      <c r="G173" s="14">
        <v>0</v>
      </c>
      <c r="H173" s="18">
        <v>0</v>
      </c>
      <c r="I173" s="14">
        <v>40</v>
      </c>
      <c r="J173" s="17">
        <v>1667</v>
      </c>
      <c r="K173" s="18">
        <v>1.1563000000000001</v>
      </c>
      <c r="L173" s="26" t="b">
        <f t="shared" si="10"/>
        <v>0</v>
      </c>
      <c r="M173" s="26" t="str">
        <f t="shared" si="13"/>
        <v>put</v>
      </c>
      <c r="N173" s="28">
        <f t="shared" si="12"/>
        <v>45947</v>
      </c>
      <c r="O173" s="29">
        <f t="shared" si="11"/>
        <v>12</v>
      </c>
    </row>
    <row r="174" spans="1:15" x14ac:dyDescent="0.45">
      <c r="A174" s="11" t="s">
        <v>221</v>
      </c>
      <c r="B174" s="12">
        <v>45726.607638888891</v>
      </c>
      <c r="C174" s="13">
        <v>130</v>
      </c>
      <c r="D174" s="14">
        <v>0.01</v>
      </c>
      <c r="E174" s="14">
        <v>0</v>
      </c>
      <c r="F174" s="14">
        <v>0.02</v>
      </c>
      <c r="G174" s="14">
        <v>0</v>
      </c>
      <c r="H174" s="18">
        <v>0</v>
      </c>
      <c r="I174" s="14">
        <v>77</v>
      </c>
      <c r="J174" s="17">
        <v>1186</v>
      </c>
      <c r="K174" s="18">
        <v>1.1563000000000001</v>
      </c>
      <c r="L174" s="26" t="b">
        <f t="shared" si="10"/>
        <v>0</v>
      </c>
      <c r="M174" s="26" t="str">
        <f t="shared" si="13"/>
        <v>put</v>
      </c>
      <c r="N174" s="28">
        <f t="shared" si="12"/>
        <v>45947</v>
      </c>
      <c r="O174" s="29">
        <f t="shared" si="11"/>
        <v>12</v>
      </c>
    </row>
    <row r="175" spans="1:15" x14ac:dyDescent="0.45">
      <c r="A175" s="11" t="s">
        <v>222</v>
      </c>
      <c r="B175" s="12">
        <v>45698.505555555559</v>
      </c>
      <c r="C175" s="13">
        <v>135</v>
      </c>
      <c r="D175" s="14">
        <v>0.01</v>
      </c>
      <c r="E175" s="14">
        <v>0</v>
      </c>
      <c r="F175" s="14">
        <v>0.02</v>
      </c>
      <c r="G175" s="14">
        <v>0</v>
      </c>
      <c r="H175" s="18">
        <v>0</v>
      </c>
      <c r="I175" s="14">
        <v>20</v>
      </c>
      <c r="J175" s="17">
        <v>1455</v>
      </c>
      <c r="K175" s="18">
        <v>1.1093999999999999</v>
      </c>
      <c r="L175" s="26" t="b">
        <f t="shared" si="10"/>
        <v>0</v>
      </c>
      <c r="M175" s="26" t="str">
        <f t="shared" si="13"/>
        <v>put</v>
      </c>
      <c r="N175" s="28">
        <f t="shared" si="12"/>
        <v>45947</v>
      </c>
      <c r="O175" s="29">
        <f t="shared" si="11"/>
        <v>12</v>
      </c>
    </row>
    <row r="176" spans="1:15" x14ac:dyDescent="0.45">
      <c r="A176" s="11" t="s">
        <v>223</v>
      </c>
      <c r="B176" s="12">
        <v>45726.56527777778</v>
      </c>
      <c r="C176" s="13">
        <v>140</v>
      </c>
      <c r="D176" s="14">
        <v>0.02</v>
      </c>
      <c r="E176" s="14">
        <v>0</v>
      </c>
      <c r="F176" s="14">
        <v>0.02</v>
      </c>
      <c r="G176" s="14">
        <v>0.01</v>
      </c>
      <c r="H176" s="18">
        <v>1</v>
      </c>
      <c r="I176" s="14">
        <v>854</v>
      </c>
      <c r="J176" s="17">
        <v>1711</v>
      </c>
      <c r="K176" s="18">
        <v>1.0468999999999999</v>
      </c>
      <c r="L176" s="26" t="b">
        <f t="shared" si="10"/>
        <v>0</v>
      </c>
      <c r="M176" s="26" t="str">
        <f t="shared" si="13"/>
        <v>put</v>
      </c>
      <c r="N176" s="28">
        <f t="shared" si="12"/>
        <v>45947</v>
      </c>
      <c r="O176" s="29">
        <f t="shared" si="11"/>
        <v>12</v>
      </c>
    </row>
    <row r="177" spans="1:15" x14ac:dyDescent="0.45">
      <c r="A177" s="11" t="s">
        <v>224</v>
      </c>
      <c r="B177" s="12">
        <v>45726.607638888891</v>
      </c>
      <c r="C177" s="13">
        <v>145</v>
      </c>
      <c r="D177" s="14">
        <v>0.02</v>
      </c>
      <c r="E177" s="14">
        <v>0</v>
      </c>
      <c r="F177" s="14">
        <v>0.02</v>
      </c>
      <c r="G177" s="14">
        <v>0</v>
      </c>
      <c r="H177" s="18">
        <v>0</v>
      </c>
      <c r="I177" s="14">
        <v>159</v>
      </c>
      <c r="J177" s="17">
        <v>4283</v>
      </c>
      <c r="K177" s="18">
        <v>0.98440000000000005</v>
      </c>
      <c r="L177" s="26" t="b">
        <f t="shared" si="10"/>
        <v>0</v>
      </c>
      <c r="M177" s="26" t="str">
        <f t="shared" si="13"/>
        <v>put</v>
      </c>
      <c r="N177" s="28">
        <f t="shared" si="12"/>
        <v>45947</v>
      </c>
      <c r="O177" s="29">
        <f t="shared" si="11"/>
        <v>12</v>
      </c>
    </row>
    <row r="178" spans="1:15" x14ac:dyDescent="0.45">
      <c r="A178" s="11" t="s">
        <v>225</v>
      </c>
      <c r="B178" s="12">
        <v>45726.60833333333</v>
      </c>
      <c r="C178" s="13">
        <v>150</v>
      </c>
      <c r="D178" s="14">
        <v>0.01</v>
      </c>
      <c r="E178" s="14">
        <v>0</v>
      </c>
      <c r="F178" s="14">
        <v>0.03</v>
      </c>
      <c r="G178" s="19">
        <v>-0.01</v>
      </c>
      <c r="H178" s="20">
        <v>-0.5</v>
      </c>
      <c r="I178" s="14">
        <v>105</v>
      </c>
      <c r="J178" s="17">
        <v>11433</v>
      </c>
      <c r="K178" s="18">
        <v>0.96879999999999999</v>
      </c>
      <c r="L178" s="26" t="b">
        <f t="shared" si="10"/>
        <v>0</v>
      </c>
      <c r="M178" s="26" t="str">
        <f t="shared" si="13"/>
        <v>put</v>
      </c>
      <c r="N178" s="28">
        <f t="shared" si="12"/>
        <v>45947</v>
      </c>
      <c r="O178" s="29">
        <f t="shared" si="11"/>
        <v>12</v>
      </c>
    </row>
    <row r="179" spans="1:15" x14ac:dyDescent="0.45">
      <c r="A179" s="11" t="s">
        <v>226</v>
      </c>
      <c r="B179" s="12">
        <v>45726.57708333333</v>
      </c>
      <c r="C179" s="13">
        <v>155</v>
      </c>
      <c r="D179" s="14">
        <v>0.02</v>
      </c>
      <c r="E179" s="14">
        <v>0</v>
      </c>
      <c r="F179" s="14">
        <v>0.03</v>
      </c>
      <c r="G179" s="14">
        <v>0</v>
      </c>
      <c r="H179" s="18">
        <v>0</v>
      </c>
      <c r="I179" s="14">
        <v>105</v>
      </c>
      <c r="J179" s="17">
        <v>3077</v>
      </c>
      <c r="K179" s="18">
        <v>0.91410000000000002</v>
      </c>
      <c r="L179" s="26" t="b">
        <f t="shared" si="10"/>
        <v>0</v>
      </c>
      <c r="M179" s="26" t="str">
        <f t="shared" si="13"/>
        <v>put</v>
      </c>
      <c r="N179" s="28">
        <f t="shared" si="12"/>
        <v>45947</v>
      </c>
      <c r="O179" s="29">
        <f t="shared" si="11"/>
        <v>12</v>
      </c>
    </row>
    <row r="180" spans="1:15" x14ac:dyDescent="0.45">
      <c r="A180" s="11" t="s">
        <v>227</v>
      </c>
      <c r="B180" s="12">
        <v>45726.60833333333</v>
      </c>
      <c r="C180" s="13">
        <v>160</v>
      </c>
      <c r="D180" s="14">
        <v>0.02</v>
      </c>
      <c r="E180" s="14">
        <v>0.01</v>
      </c>
      <c r="F180" s="14">
        <v>0.03</v>
      </c>
      <c r="G180" s="15">
        <v>-0.01</v>
      </c>
      <c r="H180" s="16">
        <v>-0.33329999999999999</v>
      </c>
      <c r="I180" s="14">
        <v>345</v>
      </c>
      <c r="J180" s="17">
        <v>14303</v>
      </c>
      <c r="K180" s="18">
        <v>0.88280000000000003</v>
      </c>
      <c r="L180" s="26" t="b">
        <f t="shared" si="10"/>
        <v>0</v>
      </c>
      <c r="M180" s="26" t="str">
        <f t="shared" si="13"/>
        <v>put</v>
      </c>
      <c r="N180" s="28">
        <f t="shared" si="12"/>
        <v>45947</v>
      </c>
      <c r="O180" s="29">
        <f t="shared" si="11"/>
        <v>12</v>
      </c>
    </row>
    <row r="181" spans="1:15" x14ac:dyDescent="0.45">
      <c r="A181" s="11" t="s">
        <v>228</v>
      </c>
      <c r="B181" s="12">
        <v>45726.573611111111</v>
      </c>
      <c r="C181" s="13">
        <v>165</v>
      </c>
      <c r="D181" s="14">
        <v>0.03</v>
      </c>
      <c r="E181" s="14">
        <v>0.01</v>
      </c>
      <c r="F181" s="14">
        <v>0.03</v>
      </c>
      <c r="G181" s="15">
        <v>0</v>
      </c>
      <c r="H181" s="16">
        <v>0</v>
      </c>
      <c r="I181" s="14">
        <v>195</v>
      </c>
      <c r="J181" s="17">
        <v>6499</v>
      </c>
      <c r="K181" s="18">
        <v>0.82809999999999995</v>
      </c>
      <c r="L181" s="26" t="b">
        <f t="shared" si="10"/>
        <v>0</v>
      </c>
      <c r="M181" s="26" t="str">
        <f t="shared" si="13"/>
        <v>put</v>
      </c>
      <c r="N181" s="28">
        <f t="shared" si="12"/>
        <v>45947</v>
      </c>
      <c r="O181" s="29">
        <f t="shared" si="11"/>
        <v>12</v>
      </c>
    </row>
    <row r="182" spans="1:15" x14ac:dyDescent="0.45">
      <c r="A182" s="11" t="s">
        <v>229</v>
      </c>
      <c r="B182" s="12">
        <v>45726.655555555553</v>
      </c>
      <c r="C182" s="13">
        <v>170</v>
      </c>
      <c r="D182" s="14">
        <v>0.03</v>
      </c>
      <c r="E182" s="14">
        <v>0.01</v>
      </c>
      <c r="F182" s="14">
        <v>0.04</v>
      </c>
      <c r="G182" s="15">
        <v>0</v>
      </c>
      <c r="H182" s="16">
        <v>0</v>
      </c>
      <c r="I182" s="14">
        <v>37</v>
      </c>
      <c r="J182" s="17">
        <v>7278</v>
      </c>
      <c r="K182" s="18">
        <v>0.79300000000000004</v>
      </c>
      <c r="L182" s="26" t="b">
        <f t="shared" si="10"/>
        <v>0</v>
      </c>
      <c r="M182" s="26" t="str">
        <f t="shared" si="13"/>
        <v>put</v>
      </c>
      <c r="N182" s="28">
        <f t="shared" si="12"/>
        <v>45947</v>
      </c>
      <c r="O182" s="29">
        <f t="shared" si="11"/>
        <v>12</v>
      </c>
    </row>
    <row r="183" spans="1:15" x14ac:dyDescent="0.45">
      <c r="A183" s="11" t="s">
        <v>230</v>
      </c>
      <c r="B183" s="12">
        <v>45726.566666666666</v>
      </c>
      <c r="C183" s="13">
        <v>175</v>
      </c>
      <c r="D183" s="14">
        <v>0.04</v>
      </c>
      <c r="E183" s="14">
        <v>0.03</v>
      </c>
      <c r="F183" s="14">
        <v>0.1</v>
      </c>
      <c r="G183" s="14">
        <v>0</v>
      </c>
      <c r="H183" s="18">
        <v>0</v>
      </c>
      <c r="I183" s="14">
        <v>730</v>
      </c>
      <c r="J183" s="17">
        <v>4690</v>
      </c>
      <c r="K183" s="18">
        <v>0.82030000000000003</v>
      </c>
      <c r="L183" s="26" t="b">
        <f t="shared" si="10"/>
        <v>0</v>
      </c>
      <c r="M183" s="26" t="str">
        <f t="shared" si="13"/>
        <v>put</v>
      </c>
      <c r="N183" s="28">
        <f t="shared" si="12"/>
        <v>45947</v>
      </c>
      <c r="O183" s="29">
        <f t="shared" si="11"/>
        <v>12</v>
      </c>
    </row>
    <row r="184" spans="1:15" x14ac:dyDescent="0.45">
      <c r="A184" s="11" t="s">
        <v>231</v>
      </c>
      <c r="B184" s="12">
        <v>45726.643055555556</v>
      </c>
      <c r="C184" s="13">
        <v>180</v>
      </c>
      <c r="D184" s="14">
        <v>0.04</v>
      </c>
      <c r="E184" s="14">
        <v>0.02</v>
      </c>
      <c r="F184" s="14">
        <v>0.05</v>
      </c>
      <c r="G184" s="14">
        <v>0</v>
      </c>
      <c r="H184" s="18">
        <v>0</v>
      </c>
      <c r="I184" s="14">
        <v>424</v>
      </c>
      <c r="J184" s="17">
        <v>11877</v>
      </c>
      <c r="K184" s="18">
        <v>0.71879999999999999</v>
      </c>
      <c r="L184" s="26" t="b">
        <f t="shared" si="10"/>
        <v>0</v>
      </c>
      <c r="M184" s="26" t="str">
        <f t="shared" si="13"/>
        <v>put</v>
      </c>
      <c r="N184" s="28">
        <f t="shared" si="12"/>
        <v>45947</v>
      </c>
      <c r="O184" s="29">
        <f t="shared" si="11"/>
        <v>12</v>
      </c>
    </row>
    <row r="185" spans="1:15" x14ac:dyDescent="0.45">
      <c r="A185" s="11" t="s">
        <v>232</v>
      </c>
      <c r="B185" s="12">
        <v>45698.663888888892</v>
      </c>
      <c r="C185" s="13">
        <v>185</v>
      </c>
      <c r="D185" s="14">
        <v>0.06</v>
      </c>
      <c r="E185" s="14">
        <v>0.03</v>
      </c>
      <c r="F185" s="14">
        <v>0.05</v>
      </c>
      <c r="G185" s="15">
        <v>0</v>
      </c>
      <c r="H185" s="16">
        <v>0</v>
      </c>
      <c r="I185" s="14">
        <v>129</v>
      </c>
      <c r="J185" s="17">
        <v>10075</v>
      </c>
      <c r="K185" s="18">
        <v>0.67579999999999996</v>
      </c>
      <c r="L185" s="26" t="b">
        <f t="shared" si="10"/>
        <v>0</v>
      </c>
      <c r="M185" s="26" t="str">
        <f t="shared" si="13"/>
        <v>put</v>
      </c>
      <c r="N185" s="28">
        <f t="shared" si="12"/>
        <v>45947</v>
      </c>
      <c r="O185" s="29">
        <f t="shared" si="11"/>
        <v>12</v>
      </c>
    </row>
    <row r="186" spans="1:15" x14ac:dyDescent="0.45">
      <c r="A186" s="11" t="s">
        <v>233</v>
      </c>
      <c r="B186" s="12">
        <v>45726.632638888892</v>
      </c>
      <c r="C186" s="13">
        <v>190</v>
      </c>
      <c r="D186" s="14">
        <v>0.05</v>
      </c>
      <c r="E186" s="14">
        <v>0.03</v>
      </c>
      <c r="F186" s="14">
        <v>0.06</v>
      </c>
      <c r="G186" s="15">
        <v>0</v>
      </c>
      <c r="H186" s="16">
        <v>0</v>
      </c>
      <c r="I186" s="14">
        <v>244</v>
      </c>
      <c r="J186" s="17">
        <v>14239</v>
      </c>
      <c r="K186" s="18">
        <v>0.63480000000000003</v>
      </c>
      <c r="L186" s="26" t="b">
        <f t="shared" si="10"/>
        <v>0</v>
      </c>
      <c r="M186" s="26" t="str">
        <f t="shared" si="13"/>
        <v>put</v>
      </c>
      <c r="N186" s="28">
        <f t="shared" si="12"/>
        <v>45947</v>
      </c>
      <c r="O186" s="29">
        <f t="shared" si="11"/>
        <v>12</v>
      </c>
    </row>
    <row r="187" spans="1:15" x14ac:dyDescent="0.45">
      <c r="A187" s="11" t="s">
        <v>234</v>
      </c>
      <c r="B187" s="12">
        <v>45726.609027777777</v>
      </c>
      <c r="C187" s="13">
        <v>195</v>
      </c>
      <c r="D187" s="14">
        <v>0.06</v>
      </c>
      <c r="E187" s="14">
        <v>0.03</v>
      </c>
      <c r="F187" s="14">
        <v>0.06</v>
      </c>
      <c r="G187" s="15">
        <v>0.01</v>
      </c>
      <c r="H187" s="16">
        <v>0.2</v>
      </c>
      <c r="I187" s="14">
        <v>48</v>
      </c>
      <c r="J187" s="17">
        <v>9805</v>
      </c>
      <c r="K187" s="18">
        <v>0.58589999999999998</v>
      </c>
      <c r="L187" s="26" t="b">
        <f t="shared" si="10"/>
        <v>0</v>
      </c>
      <c r="M187" s="26" t="str">
        <f t="shared" si="13"/>
        <v>put</v>
      </c>
      <c r="N187" s="28">
        <f t="shared" si="12"/>
        <v>45947</v>
      </c>
      <c r="O187" s="29">
        <f t="shared" si="11"/>
        <v>12</v>
      </c>
    </row>
    <row r="188" spans="1:15" x14ac:dyDescent="0.45">
      <c r="A188" s="11" t="s">
        <v>235</v>
      </c>
      <c r="B188" s="12">
        <v>45726.643055555556</v>
      </c>
      <c r="C188" s="13">
        <v>200</v>
      </c>
      <c r="D188" s="14">
        <v>0.06</v>
      </c>
      <c r="E188" s="14">
        <v>0.05</v>
      </c>
      <c r="F188" s="14">
        <v>0.06</v>
      </c>
      <c r="G188" s="15">
        <v>-0.01</v>
      </c>
      <c r="H188" s="16">
        <v>-0.1429</v>
      </c>
      <c r="I188" s="14">
        <v>378</v>
      </c>
      <c r="J188" s="17">
        <v>16941</v>
      </c>
      <c r="K188" s="18">
        <v>0.55079999999999996</v>
      </c>
      <c r="L188" s="26" t="b">
        <f t="shared" si="10"/>
        <v>0</v>
      </c>
      <c r="M188" s="26" t="str">
        <f t="shared" si="13"/>
        <v>put</v>
      </c>
      <c r="N188" s="28">
        <f t="shared" si="12"/>
        <v>45947</v>
      </c>
      <c r="O188" s="29">
        <f t="shared" si="11"/>
        <v>12</v>
      </c>
    </row>
    <row r="189" spans="1:15" x14ac:dyDescent="0.45">
      <c r="A189" s="11" t="s">
        <v>236</v>
      </c>
      <c r="B189" s="12">
        <v>45726.609722222223</v>
      </c>
      <c r="C189" s="13">
        <v>205</v>
      </c>
      <c r="D189" s="14">
        <v>7.0000000000000007E-2</v>
      </c>
      <c r="E189" s="14">
        <v>0.05</v>
      </c>
      <c r="F189" s="14">
        <v>7.0000000000000007E-2</v>
      </c>
      <c r="G189" s="14">
        <v>-0.01</v>
      </c>
      <c r="H189" s="18">
        <v>-0.125</v>
      </c>
      <c r="I189" s="14">
        <v>100</v>
      </c>
      <c r="J189" s="17">
        <v>12087</v>
      </c>
      <c r="K189" s="18">
        <v>0.50780000000000003</v>
      </c>
      <c r="L189" s="26" t="b">
        <f t="shared" si="10"/>
        <v>0</v>
      </c>
      <c r="M189" s="26" t="str">
        <f t="shared" si="13"/>
        <v>put</v>
      </c>
      <c r="N189" s="28">
        <f t="shared" si="12"/>
        <v>45947</v>
      </c>
      <c r="O189" s="29">
        <f t="shared" ref="O189:O252" si="14">N189-DATE(2025,10,5)</f>
        <v>12</v>
      </c>
    </row>
    <row r="190" spans="1:15" x14ac:dyDescent="0.45">
      <c r="A190" s="11" t="s">
        <v>237</v>
      </c>
      <c r="B190" s="12">
        <v>45726.609722222223</v>
      </c>
      <c r="C190" s="13">
        <v>210</v>
      </c>
      <c r="D190" s="14">
        <v>0.08</v>
      </c>
      <c r="E190" s="14">
        <v>7.0000000000000007E-2</v>
      </c>
      <c r="F190" s="14">
        <v>0.08</v>
      </c>
      <c r="G190" s="15">
        <v>-0.01</v>
      </c>
      <c r="H190" s="16">
        <v>-0.1111</v>
      </c>
      <c r="I190" s="14">
        <v>122</v>
      </c>
      <c r="J190" s="17">
        <v>28755</v>
      </c>
      <c r="K190" s="18">
        <v>0.47749999999999998</v>
      </c>
      <c r="L190" s="26" t="b">
        <f t="shared" si="10"/>
        <v>0</v>
      </c>
      <c r="M190" s="26" t="str">
        <f t="shared" si="13"/>
        <v>put</v>
      </c>
      <c r="N190" s="28">
        <f t="shared" si="12"/>
        <v>45947</v>
      </c>
      <c r="O190" s="29">
        <f t="shared" si="14"/>
        <v>12</v>
      </c>
    </row>
    <row r="191" spans="1:15" x14ac:dyDescent="0.45">
      <c r="A191" s="11" t="s">
        <v>238</v>
      </c>
      <c r="B191" s="12">
        <v>45726.611805555556</v>
      </c>
      <c r="C191" s="13">
        <v>215</v>
      </c>
      <c r="D191" s="14">
        <v>0.09</v>
      </c>
      <c r="E191" s="14">
        <v>0.08</v>
      </c>
      <c r="F191" s="14">
        <v>0.09</v>
      </c>
      <c r="G191" s="15">
        <v>-0.01</v>
      </c>
      <c r="H191" s="16">
        <v>-0.1</v>
      </c>
      <c r="I191" s="14">
        <v>149</v>
      </c>
      <c r="J191" s="17">
        <v>16786</v>
      </c>
      <c r="K191" s="18">
        <v>0.43559999999999999</v>
      </c>
      <c r="L191" s="26" t="b">
        <f t="shared" si="10"/>
        <v>0</v>
      </c>
      <c r="M191" s="26" t="str">
        <f t="shared" si="13"/>
        <v>put</v>
      </c>
      <c r="N191" s="28">
        <f t="shared" si="12"/>
        <v>45947</v>
      </c>
      <c r="O191" s="29">
        <f t="shared" si="14"/>
        <v>12</v>
      </c>
    </row>
    <row r="192" spans="1:15" x14ac:dyDescent="0.45">
      <c r="A192" s="11" t="s">
        <v>239</v>
      </c>
      <c r="B192" s="12">
        <v>45698.637499999997</v>
      </c>
      <c r="C192" s="13">
        <v>217.5</v>
      </c>
      <c r="D192" s="14">
        <v>0.1</v>
      </c>
      <c r="E192" s="14">
        <v>0.08</v>
      </c>
      <c r="F192" s="14">
        <v>0.1</v>
      </c>
      <c r="G192" s="15">
        <v>0</v>
      </c>
      <c r="H192" s="16">
        <v>0</v>
      </c>
      <c r="I192" s="14">
        <v>1</v>
      </c>
      <c r="J192" s="14">
        <v>481</v>
      </c>
      <c r="K192" s="18">
        <v>0.41799999999999998</v>
      </c>
      <c r="L192" s="26" t="b">
        <f t="shared" ref="L192:L255" si="15">IF(M192="call",C192&lt;$P$1,C192&gt;$P$1)</f>
        <v>0</v>
      </c>
      <c r="M192" s="26" t="str">
        <f t="shared" si="13"/>
        <v>put</v>
      </c>
      <c r="N192" s="28">
        <f t="shared" si="12"/>
        <v>45947</v>
      </c>
      <c r="O192" s="29">
        <f t="shared" si="14"/>
        <v>12</v>
      </c>
    </row>
    <row r="193" spans="1:15" x14ac:dyDescent="0.45">
      <c r="A193" s="11" t="s">
        <v>240</v>
      </c>
      <c r="B193" s="12">
        <v>45726.665972222225</v>
      </c>
      <c r="C193" s="13">
        <v>220</v>
      </c>
      <c r="D193" s="14">
        <v>0.09</v>
      </c>
      <c r="E193" s="14">
        <v>0.09</v>
      </c>
      <c r="F193" s="14">
        <v>0.11</v>
      </c>
      <c r="G193" s="19">
        <v>-0.03</v>
      </c>
      <c r="H193" s="20">
        <v>-0.25</v>
      </c>
      <c r="I193" s="14">
        <v>228</v>
      </c>
      <c r="J193" s="17">
        <v>20105</v>
      </c>
      <c r="K193" s="18">
        <v>0.39839999999999998</v>
      </c>
      <c r="L193" s="26" t="b">
        <f t="shared" si="15"/>
        <v>0</v>
      </c>
      <c r="M193" s="26" t="str">
        <f t="shared" si="13"/>
        <v>put</v>
      </c>
      <c r="N193" s="28">
        <f t="shared" si="12"/>
        <v>45947</v>
      </c>
      <c r="O193" s="29">
        <f t="shared" si="14"/>
        <v>12</v>
      </c>
    </row>
    <row r="194" spans="1:15" x14ac:dyDescent="0.45">
      <c r="A194" s="11" t="s">
        <v>241</v>
      </c>
      <c r="B194" s="12">
        <v>45726.628472222219</v>
      </c>
      <c r="C194" s="13">
        <v>222.5</v>
      </c>
      <c r="D194" s="14">
        <v>0.12</v>
      </c>
      <c r="E194" s="14">
        <v>0.1</v>
      </c>
      <c r="F194" s="14">
        <v>0.12</v>
      </c>
      <c r="G194" s="15">
        <v>-0.01</v>
      </c>
      <c r="H194" s="16">
        <v>-7.6899999999999996E-2</v>
      </c>
      <c r="I194" s="14">
        <v>16</v>
      </c>
      <c r="J194" s="14">
        <v>319</v>
      </c>
      <c r="K194" s="18">
        <v>0.37890000000000001</v>
      </c>
      <c r="L194" s="26" t="b">
        <f t="shared" si="15"/>
        <v>0</v>
      </c>
      <c r="M194" s="26" t="str">
        <f t="shared" si="13"/>
        <v>put</v>
      </c>
      <c r="N194" s="28">
        <f t="shared" si="12"/>
        <v>45947</v>
      </c>
      <c r="O194" s="29">
        <f t="shared" si="14"/>
        <v>12</v>
      </c>
    </row>
    <row r="195" spans="1:15" x14ac:dyDescent="0.45">
      <c r="A195" s="11" t="s">
        <v>242</v>
      </c>
      <c r="B195" s="12">
        <v>45726.659722222219</v>
      </c>
      <c r="C195" s="13">
        <v>225</v>
      </c>
      <c r="D195" s="14">
        <v>0.14000000000000001</v>
      </c>
      <c r="E195" s="14">
        <v>0.11</v>
      </c>
      <c r="F195" s="14">
        <v>0.13</v>
      </c>
      <c r="G195" s="15">
        <v>-0.01</v>
      </c>
      <c r="H195" s="16">
        <v>-6.6699999999999995E-2</v>
      </c>
      <c r="I195" s="17">
        <v>1390</v>
      </c>
      <c r="J195" s="17">
        <v>12514</v>
      </c>
      <c r="K195" s="18">
        <v>0.3584</v>
      </c>
      <c r="L195" s="26" t="b">
        <f t="shared" si="15"/>
        <v>0</v>
      </c>
      <c r="M195" s="26" t="str">
        <f t="shared" si="13"/>
        <v>put</v>
      </c>
      <c r="N195" s="28">
        <f t="shared" si="12"/>
        <v>45947</v>
      </c>
      <c r="O195" s="29">
        <f t="shared" si="14"/>
        <v>12</v>
      </c>
    </row>
    <row r="196" spans="1:15" x14ac:dyDescent="0.45">
      <c r="A196" s="11" t="s">
        <v>243</v>
      </c>
      <c r="B196" s="12">
        <v>45726.644444444442</v>
      </c>
      <c r="C196" s="13">
        <v>227.5</v>
      </c>
      <c r="D196" s="14">
        <v>0.14000000000000001</v>
      </c>
      <c r="E196" s="14">
        <v>0.13</v>
      </c>
      <c r="F196" s="14">
        <v>0.15</v>
      </c>
      <c r="G196" s="15">
        <v>-0.03</v>
      </c>
      <c r="H196" s="16">
        <v>-0.17649999999999999</v>
      </c>
      <c r="I196" s="14">
        <v>121</v>
      </c>
      <c r="J196" s="17">
        <v>1249</v>
      </c>
      <c r="K196" s="18">
        <v>0.34179999999999999</v>
      </c>
      <c r="L196" s="26" t="b">
        <f t="shared" si="15"/>
        <v>0</v>
      </c>
      <c r="M196" s="26" t="str">
        <f t="shared" si="13"/>
        <v>put</v>
      </c>
      <c r="N196" s="28">
        <f t="shared" si="12"/>
        <v>45947</v>
      </c>
      <c r="O196" s="29">
        <f t="shared" si="14"/>
        <v>12</v>
      </c>
    </row>
    <row r="197" spans="1:15" x14ac:dyDescent="0.45">
      <c r="A197" s="11" t="s">
        <v>244</v>
      </c>
      <c r="B197" s="12">
        <v>45726.657638888886</v>
      </c>
      <c r="C197" s="13">
        <v>230</v>
      </c>
      <c r="D197" s="14">
        <v>0.16</v>
      </c>
      <c r="E197" s="14">
        <v>0.16</v>
      </c>
      <c r="F197" s="14">
        <v>0.17</v>
      </c>
      <c r="G197" s="15">
        <v>-0.05</v>
      </c>
      <c r="H197" s="16">
        <v>-0.23810000000000001</v>
      </c>
      <c r="I197" s="14">
        <v>773</v>
      </c>
      <c r="J197" s="17">
        <v>13100</v>
      </c>
      <c r="K197" s="18">
        <v>0.32319999999999999</v>
      </c>
      <c r="L197" s="26" t="b">
        <f t="shared" si="15"/>
        <v>0</v>
      </c>
      <c r="M197" s="26" t="str">
        <f t="shared" si="13"/>
        <v>put</v>
      </c>
      <c r="N197" s="28">
        <f t="shared" si="12"/>
        <v>45947</v>
      </c>
      <c r="O197" s="29">
        <f t="shared" si="14"/>
        <v>12</v>
      </c>
    </row>
    <row r="198" spans="1:15" x14ac:dyDescent="0.45">
      <c r="A198" s="11" t="s">
        <v>245</v>
      </c>
      <c r="B198" s="12">
        <v>45726.62777777778</v>
      </c>
      <c r="C198" s="13">
        <v>232.5</v>
      </c>
      <c r="D198" s="14">
        <v>0.2</v>
      </c>
      <c r="E198" s="14">
        <v>0.19</v>
      </c>
      <c r="F198" s="14">
        <v>0.21</v>
      </c>
      <c r="G198" s="15">
        <v>-0.05</v>
      </c>
      <c r="H198" s="16">
        <v>-0.2</v>
      </c>
      <c r="I198" s="17">
        <v>1346</v>
      </c>
      <c r="J198" s="17">
        <v>2478</v>
      </c>
      <c r="K198" s="18">
        <v>0.30859999999999999</v>
      </c>
      <c r="L198" s="26" t="b">
        <f t="shared" si="15"/>
        <v>0</v>
      </c>
      <c r="M198" s="26" t="str">
        <f t="shared" si="13"/>
        <v>put</v>
      </c>
      <c r="N198" s="28">
        <f t="shared" si="12"/>
        <v>45947</v>
      </c>
      <c r="O198" s="29">
        <f t="shared" si="14"/>
        <v>12</v>
      </c>
    </row>
    <row r="199" spans="1:15" x14ac:dyDescent="0.45">
      <c r="A199" s="11" t="s">
        <v>246</v>
      </c>
      <c r="B199" s="12">
        <v>45726.658333333333</v>
      </c>
      <c r="C199" s="13">
        <v>235</v>
      </c>
      <c r="D199" s="14">
        <v>0.25</v>
      </c>
      <c r="E199" s="14">
        <v>0.24</v>
      </c>
      <c r="F199" s="14">
        <v>0.26</v>
      </c>
      <c r="G199" s="15">
        <v>-0.05</v>
      </c>
      <c r="H199" s="16">
        <v>-0.16669999999999999</v>
      </c>
      <c r="I199" s="17">
        <v>2578</v>
      </c>
      <c r="J199" s="17">
        <v>8916</v>
      </c>
      <c r="K199" s="18">
        <v>0.29399999999999998</v>
      </c>
      <c r="L199" s="26" t="b">
        <f t="shared" si="15"/>
        <v>0</v>
      </c>
      <c r="M199" s="26" t="str">
        <f t="shared" si="13"/>
        <v>put</v>
      </c>
      <c r="N199" s="28">
        <f t="shared" si="12"/>
        <v>45947</v>
      </c>
      <c r="O199" s="29">
        <f t="shared" si="14"/>
        <v>12</v>
      </c>
    </row>
    <row r="200" spans="1:15" x14ac:dyDescent="0.45">
      <c r="A200" s="11" t="s">
        <v>247</v>
      </c>
      <c r="B200" s="12">
        <v>45726.665972222225</v>
      </c>
      <c r="C200" s="13">
        <v>237.5</v>
      </c>
      <c r="D200" s="14">
        <v>0.32</v>
      </c>
      <c r="E200" s="14">
        <v>0.31</v>
      </c>
      <c r="F200" s="14">
        <v>0.33</v>
      </c>
      <c r="G200" s="15">
        <v>-0.05</v>
      </c>
      <c r="H200" s="16">
        <v>-0.1351</v>
      </c>
      <c r="I200" s="14">
        <v>242</v>
      </c>
      <c r="J200" s="17">
        <v>1385</v>
      </c>
      <c r="K200" s="18">
        <v>0.28050000000000003</v>
      </c>
      <c r="L200" s="26" t="b">
        <f t="shared" si="15"/>
        <v>0</v>
      </c>
      <c r="M200" s="26" t="str">
        <f t="shared" si="13"/>
        <v>put</v>
      </c>
      <c r="N200" s="28">
        <f t="shared" si="12"/>
        <v>45947</v>
      </c>
      <c r="O200" s="29">
        <f t="shared" si="14"/>
        <v>12</v>
      </c>
    </row>
    <row r="201" spans="1:15" x14ac:dyDescent="0.45">
      <c r="A201" s="11" t="s">
        <v>248</v>
      </c>
      <c r="B201" s="12">
        <v>45726.665972222225</v>
      </c>
      <c r="C201" s="13">
        <v>240</v>
      </c>
      <c r="D201" s="14">
        <v>0.43</v>
      </c>
      <c r="E201" s="14">
        <v>0.42</v>
      </c>
      <c r="F201" s="14">
        <v>0.43</v>
      </c>
      <c r="G201" s="15">
        <v>-0.1</v>
      </c>
      <c r="H201" s="16">
        <v>-0.18870000000000001</v>
      </c>
      <c r="I201" s="17">
        <v>3476</v>
      </c>
      <c r="J201" s="17">
        <v>11030</v>
      </c>
      <c r="K201" s="18">
        <v>0.2681</v>
      </c>
      <c r="L201" s="26" t="b">
        <f t="shared" si="15"/>
        <v>0</v>
      </c>
      <c r="M201" s="26" t="str">
        <f t="shared" si="13"/>
        <v>put</v>
      </c>
      <c r="N201" s="28">
        <f t="shared" si="12"/>
        <v>45947</v>
      </c>
      <c r="O201" s="29">
        <f t="shared" si="14"/>
        <v>12</v>
      </c>
    </row>
    <row r="202" spans="1:15" x14ac:dyDescent="0.45">
      <c r="A202" s="11" t="s">
        <v>249</v>
      </c>
      <c r="B202" s="12">
        <v>45726.663194444445</v>
      </c>
      <c r="C202" s="13">
        <v>242.5</v>
      </c>
      <c r="D202" s="14">
        <v>0.57999999999999996</v>
      </c>
      <c r="E202" s="14">
        <v>0.56000000000000005</v>
      </c>
      <c r="F202" s="14">
        <v>0.59</v>
      </c>
      <c r="G202" s="15">
        <v>-0.1</v>
      </c>
      <c r="H202" s="16">
        <v>-0.14710000000000001</v>
      </c>
      <c r="I202" s="14">
        <v>538</v>
      </c>
      <c r="J202" s="17">
        <v>4127</v>
      </c>
      <c r="K202" s="18">
        <v>0.2586</v>
      </c>
      <c r="L202" s="26" t="b">
        <f t="shared" si="15"/>
        <v>0</v>
      </c>
      <c r="M202" s="26" t="str">
        <f t="shared" si="13"/>
        <v>put</v>
      </c>
      <c r="N202" s="28">
        <f t="shared" si="12"/>
        <v>45947</v>
      </c>
      <c r="O202" s="29">
        <f t="shared" si="14"/>
        <v>12</v>
      </c>
    </row>
    <row r="203" spans="1:15" x14ac:dyDescent="0.45">
      <c r="A203" s="11" t="s">
        <v>250</v>
      </c>
      <c r="B203" s="12">
        <v>45726.663194444445</v>
      </c>
      <c r="C203" s="13">
        <v>245</v>
      </c>
      <c r="D203" s="14">
        <v>0.83</v>
      </c>
      <c r="E203" s="14">
        <v>0.78</v>
      </c>
      <c r="F203" s="14">
        <v>0.81</v>
      </c>
      <c r="G203" s="15">
        <v>-0.15</v>
      </c>
      <c r="H203" s="16">
        <v>-0.15310000000000001</v>
      </c>
      <c r="I203" s="17">
        <v>3488</v>
      </c>
      <c r="J203" s="17">
        <v>6333</v>
      </c>
      <c r="K203" s="18">
        <v>0.24929999999999999</v>
      </c>
      <c r="L203" s="26" t="b">
        <f t="shared" si="15"/>
        <v>0</v>
      </c>
      <c r="M203" s="26" t="str">
        <f t="shared" si="13"/>
        <v>put</v>
      </c>
      <c r="N203" s="28">
        <f t="shared" si="12"/>
        <v>45947</v>
      </c>
      <c r="O203" s="29">
        <f t="shared" si="14"/>
        <v>12</v>
      </c>
    </row>
    <row r="204" spans="1:15" x14ac:dyDescent="0.45">
      <c r="A204" s="11" t="s">
        <v>251</v>
      </c>
      <c r="B204" s="12">
        <v>45726.665972222225</v>
      </c>
      <c r="C204" s="13">
        <v>247.5</v>
      </c>
      <c r="D204" s="14">
        <v>1.1000000000000001</v>
      </c>
      <c r="E204" s="14">
        <v>1.08</v>
      </c>
      <c r="F204" s="14">
        <v>1.1200000000000001</v>
      </c>
      <c r="G204" s="15">
        <v>-0.28000000000000003</v>
      </c>
      <c r="H204" s="16">
        <v>-0.2029</v>
      </c>
      <c r="I204" s="14">
        <v>738</v>
      </c>
      <c r="J204" s="17">
        <v>4856</v>
      </c>
      <c r="K204" s="18">
        <v>0.2409</v>
      </c>
      <c r="L204" s="26" t="b">
        <f t="shared" si="15"/>
        <v>0</v>
      </c>
      <c r="M204" s="26" t="str">
        <f t="shared" si="13"/>
        <v>put</v>
      </c>
      <c r="N204" s="28">
        <f t="shared" si="12"/>
        <v>45947</v>
      </c>
      <c r="O204" s="29">
        <f t="shared" si="14"/>
        <v>12</v>
      </c>
    </row>
    <row r="205" spans="1:15" x14ac:dyDescent="0.45">
      <c r="A205" s="11" t="s">
        <v>252</v>
      </c>
      <c r="B205" s="12">
        <v>45726.665972222225</v>
      </c>
      <c r="C205" s="13">
        <v>250</v>
      </c>
      <c r="D205" s="14">
        <v>1.51</v>
      </c>
      <c r="E205" s="14">
        <v>1.51</v>
      </c>
      <c r="F205" s="14">
        <v>1.54</v>
      </c>
      <c r="G205" s="15">
        <v>-0.33</v>
      </c>
      <c r="H205" s="16">
        <v>-0.17929999999999999</v>
      </c>
      <c r="I205" s="17">
        <v>9626</v>
      </c>
      <c r="J205" s="17">
        <v>9776</v>
      </c>
      <c r="K205" s="18">
        <v>0.2326</v>
      </c>
      <c r="L205" s="26" t="b">
        <f t="shared" si="15"/>
        <v>0</v>
      </c>
      <c r="M205" s="26" t="str">
        <f t="shared" si="13"/>
        <v>put</v>
      </c>
      <c r="N205" s="28">
        <f t="shared" si="12"/>
        <v>45947</v>
      </c>
      <c r="O205" s="29">
        <f t="shared" si="14"/>
        <v>12</v>
      </c>
    </row>
    <row r="206" spans="1:15" x14ac:dyDescent="0.45">
      <c r="A206" s="11" t="s">
        <v>253</v>
      </c>
      <c r="B206" s="12">
        <v>45726.664583333331</v>
      </c>
      <c r="C206" s="13">
        <v>252.5</v>
      </c>
      <c r="D206" s="14">
        <v>2.12</v>
      </c>
      <c r="E206" s="14">
        <v>2.08</v>
      </c>
      <c r="F206" s="14">
        <v>2.1800000000000002</v>
      </c>
      <c r="G206" s="19">
        <v>-0.44</v>
      </c>
      <c r="H206" s="20">
        <v>-0.1719</v>
      </c>
      <c r="I206" s="17">
        <v>2045</v>
      </c>
      <c r="J206" s="17">
        <v>2734</v>
      </c>
      <c r="K206" s="18">
        <v>0.22900000000000001</v>
      </c>
      <c r="L206" s="26" t="b">
        <f t="shared" si="15"/>
        <v>0</v>
      </c>
      <c r="M206" s="26" t="str">
        <f t="shared" si="13"/>
        <v>put</v>
      </c>
      <c r="N206" s="28">
        <f t="shared" si="12"/>
        <v>45947</v>
      </c>
      <c r="O206" s="29">
        <f t="shared" si="14"/>
        <v>12</v>
      </c>
    </row>
    <row r="207" spans="1:15" x14ac:dyDescent="0.45">
      <c r="A207" s="11" t="s">
        <v>254</v>
      </c>
      <c r="B207" s="12">
        <v>45726.665972222225</v>
      </c>
      <c r="C207" s="13">
        <v>255</v>
      </c>
      <c r="D207" s="14">
        <v>2.9</v>
      </c>
      <c r="E207" s="14">
        <v>2.82</v>
      </c>
      <c r="F207" s="14">
        <v>2.94</v>
      </c>
      <c r="G207" s="15">
        <v>-0.5</v>
      </c>
      <c r="H207" s="16">
        <v>-0.14710000000000001</v>
      </c>
      <c r="I207" s="17">
        <v>6349</v>
      </c>
      <c r="J207" s="17">
        <v>5622</v>
      </c>
      <c r="K207" s="18">
        <v>0.22170000000000001</v>
      </c>
      <c r="L207" s="26" t="b">
        <f t="shared" si="15"/>
        <v>0</v>
      </c>
      <c r="M207" s="26" t="str">
        <f t="shared" si="13"/>
        <v>put</v>
      </c>
      <c r="N207" s="28">
        <f t="shared" si="12"/>
        <v>45947</v>
      </c>
      <c r="O207" s="29">
        <f t="shared" si="14"/>
        <v>12</v>
      </c>
    </row>
    <row r="208" spans="1:15" x14ac:dyDescent="0.45">
      <c r="A208" s="11" t="s">
        <v>255</v>
      </c>
      <c r="B208" s="12">
        <v>45726.665972222225</v>
      </c>
      <c r="C208" s="13">
        <v>257.5</v>
      </c>
      <c r="D208" s="14">
        <v>3.8</v>
      </c>
      <c r="E208" s="14">
        <v>3.8</v>
      </c>
      <c r="F208" s="14">
        <v>3.9</v>
      </c>
      <c r="G208" s="15">
        <v>-0.69</v>
      </c>
      <c r="H208" s="16">
        <v>-0.1537</v>
      </c>
      <c r="I208" s="17">
        <v>4641</v>
      </c>
      <c r="J208" s="17">
        <v>1815</v>
      </c>
      <c r="K208" s="18">
        <v>0.21410000000000001</v>
      </c>
      <c r="L208" s="26" t="b">
        <f t="shared" si="15"/>
        <v>0</v>
      </c>
      <c r="M208" s="26" t="str">
        <f t="shared" si="13"/>
        <v>put</v>
      </c>
      <c r="N208" s="28">
        <f t="shared" si="12"/>
        <v>45947</v>
      </c>
      <c r="O208" s="29">
        <f t="shared" si="14"/>
        <v>12</v>
      </c>
    </row>
    <row r="209" spans="1:15" x14ac:dyDescent="0.45">
      <c r="A209" s="1" t="s">
        <v>256</v>
      </c>
      <c r="B209" s="2">
        <v>45726.665277777778</v>
      </c>
      <c r="C209" s="3">
        <v>260</v>
      </c>
      <c r="D209" s="4">
        <v>5.13</v>
      </c>
      <c r="E209" s="4">
        <v>5.05</v>
      </c>
      <c r="F209" s="4">
        <v>5.15</v>
      </c>
      <c r="G209" s="8">
        <v>-0.77</v>
      </c>
      <c r="H209" s="9">
        <v>-0.1305</v>
      </c>
      <c r="I209" s="10">
        <v>1564</v>
      </c>
      <c r="J209" s="10">
        <v>2390</v>
      </c>
      <c r="K209" s="5">
        <v>0.20949999999999999</v>
      </c>
      <c r="L209" s="26" t="b">
        <f t="shared" si="15"/>
        <v>1</v>
      </c>
      <c r="M209" s="26" t="str">
        <f t="shared" si="13"/>
        <v>put</v>
      </c>
      <c r="N209" s="28">
        <f t="shared" si="12"/>
        <v>45947</v>
      </c>
      <c r="O209" s="29">
        <f t="shared" si="14"/>
        <v>12</v>
      </c>
    </row>
    <row r="210" spans="1:15" x14ac:dyDescent="0.45">
      <c r="A210" s="1" t="s">
        <v>257</v>
      </c>
      <c r="B210" s="2">
        <v>45726.65347222222</v>
      </c>
      <c r="C210" s="3">
        <v>262.5</v>
      </c>
      <c r="D210" s="4">
        <v>6.5</v>
      </c>
      <c r="E210" s="4">
        <v>6.5</v>
      </c>
      <c r="F210" s="4">
        <v>6.65</v>
      </c>
      <c r="G210" s="4">
        <v>-0.9</v>
      </c>
      <c r="H210" s="5">
        <v>-0.1216</v>
      </c>
      <c r="I210" s="4">
        <v>130</v>
      </c>
      <c r="J210" s="4">
        <v>126</v>
      </c>
      <c r="K210" s="5">
        <v>0.20519999999999999</v>
      </c>
      <c r="L210" s="26" t="b">
        <f t="shared" si="15"/>
        <v>1</v>
      </c>
      <c r="M210" s="26" t="str">
        <f t="shared" si="13"/>
        <v>put</v>
      </c>
      <c r="N210" s="28">
        <f t="shared" si="12"/>
        <v>45947</v>
      </c>
      <c r="O210" s="29">
        <f t="shared" si="14"/>
        <v>12</v>
      </c>
    </row>
    <row r="211" spans="1:15" x14ac:dyDescent="0.45">
      <c r="A211" s="1" t="s">
        <v>258</v>
      </c>
      <c r="B211" s="2">
        <v>45726.627083333333</v>
      </c>
      <c r="C211" s="3">
        <v>265</v>
      </c>
      <c r="D211" s="4">
        <v>8.5500000000000007</v>
      </c>
      <c r="E211" s="4">
        <v>8.3000000000000007</v>
      </c>
      <c r="F211" s="4">
        <v>8.4</v>
      </c>
      <c r="G211" s="4">
        <v>-0.39</v>
      </c>
      <c r="H211" s="5">
        <v>-4.36E-2</v>
      </c>
      <c r="I211" s="4">
        <v>220</v>
      </c>
      <c r="J211" s="4">
        <v>368</v>
      </c>
      <c r="K211" s="5">
        <v>0.20180000000000001</v>
      </c>
      <c r="L211" s="26" t="b">
        <f t="shared" si="15"/>
        <v>1</v>
      </c>
      <c r="M211" s="26" t="str">
        <f t="shared" si="13"/>
        <v>put</v>
      </c>
      <c r="N211" s="28">
        <f t="shared" si="12"/>
        <v>45947</v>
      </c>
      <c r="O211" s="29">
        <f t="shared" si="14"/>
        <v>12</v>
      </c>
    </row>
    <row r="212" spans="1:15" x14ac:dyDescent="0.45">
      <c r="A212" s="1" t="s">
        <v>259</v>
      </c>
      <c r="B212" s="2">
        <v>45726.645833333336</v>
      </c>
      <c r="C212" s="3">
        <v>267.5</v>
      </c>
      <c r="D212" s="4">
        <v>10.55</v>
      </c>
      <c r="E212" s="4">
        <v>10.25</v>
      </c>
      <c r="F212" s="4">
        <v>10.4</v>
      </c>
      <c r="G212" s="4">
        <v>0</v>
      </c>
      <c r="H212" s="5">
        <v>0</v>
      </c>
      <c r="I212" s="4">
        <v>23</v>
      </c>
      <c r="J212" s="4">
        <v>89</v>
      </c>
      <c r="K212" s="5">
        <v>0.2019</v>
      </c>
      <c r="L212" s="26" t="b">
        <f t="shared" si="15"/>
        <v>1</v>
      </c>
      <c r="M212" s="26" t="str">
        <f t="shared" si="13"/>
        <v>put</v>
      </c>
      <c r="N212" s="28">
        <f t="shared" si="12"/>
        <v>45947</v>
      </c>
      <c r="O212" s="29">
        <f t="shared" si="14"/>
        <v>12</v>
      </c>
    </row>
    <row r="213" spans="1:15" x14ac:dyDescent="0.45">
      <c r="A213" s="1" t="s">
        <v>260</v>
      </c>
      <c r="B213" s="2">
        <v>45726.599305555559</v>
      </c>
      <c r="C213" s="3">
        <v>270</v>
      </c>
      <c r="D213" s="4">
        <v>12.73</v>
      </c>
      <c r="E213" s="4">
        <v>12.15</v>
      </c>
      <c r="F213" s="4">
        <v>12.65</v>
      </c>
      <c r="G213" s="4">
        <v>-0.37</v>
      </c>
      <c r="H213" s="5">
        <v>-2.8199999999999999E-2</v>
      </c>
      <c r="I213" s="4">
        <v>98</v>
      </c>
      <c r="J213" s="4">
        <v>110</v>
      </c>
      <c r="K213" s="5">
        <v>0.2114</v>
      </c>
      <c r="L213" s="26" t="b">
        <f t="shared" si="15"/>
        <v>1</v>
      </c>
      <c r="M213" s="26" t="str">
        <f t="shared" si="13"/>
        <v>put</v>
      </c>
      <c r="N213" s="28">
        <f t="shared" si="12"/>
        <v>45947</v>
      </c>
      <c r="O213" s="29">
        <f t="shared" si="14"/>
        <v>12</v>
      </c>
    </row>
    <row r="214" spans="1:15" x14ac:dyDescent="0.45">
      <c r="A214" s="1" t="s">
        <v>261</v>
      </c>
      <c r="B214" s="2">
        <v>45726.484722222223</v>
      </c>
      <c r="C214" s="3">
        <v>275</v>
      </c>
      <c r="D214" s="4">
        <v>16.559999999999999</v>
      </c>
      <c r="E214" s="4">
        <v>16.600000000000001</v>
      </c>
      <c r="F214" s="4">
        <v>17.600000000000001</v>
      </c>
      <c r="G214" s="8">
        <v>-0.89</v>
      </c>
      <c r="H214" s="9">
        <v>-5.0999999999999997E-2</v>
      </c>
      <c r="I214" s="4">
        <v>10</v>
      </c>
      <c r="J214" s="4">
        <v>101</v>
      </c>
      <c r="K214" s="5">
        <v>0.26279999999999998</v>
      </c>
      <c r="L214" s="26" t="b">
        <f t="shared" si="15"/>
        <v>1</v>
      </c>
      <c r="M214" s="26" t="str">
        <f t="shared" si="13"/>
        <v>put</v>
      </c>
      <c r="N214" s="28">
        <f t="shared" si="12"/>
        <v>45947</v>
      </c>
      <c r="O214" s="29">
        <f t="shared" si="14"/>
        <v>12</v>
      </c>
    </row>
    <row r="215" spans="1:15" x14ac:dyDescent="0.45">
      <c r="A215" s="1" t="s">
        <v>262</v>
      </c>
      <c r="B215" s="2">
        <v>45726.415972222225</v>
      </c>
      <c r="C215" s="3">
        <v>280</v>
      </c>
      <c r="D215" s="4">
        <v>22.55</v>
      </c>
      <c r="E215" s="4">
        <v>21.4</v>
      </c>
      <c r="F215" s="4">
        <v>22.55</v>
      </c>
      <c r="G215" s="6">
        <v>0.55000000000000004</v>
      </c>
      <c r="H215" s="7">
        <v>2.5000000000000001E-2</v>
      </c>
      <c r="I215" s="4">
        <v>12</v>
      </c>
      <c r="J215" s="4">
        <v>5</v>
      </c>
      <c r="K215" s="5">
        <v>0.30880000000000002</v>
      </c>
      <c r="L215" s="26" t="b">
        <f t="shared" si="15"/>
        <v>1</v>
      </c>
      <c r="M215" s="26" t="str">
        <f t="shared" si="13"/>
        <v>put</v>
      </c>
      <c r="N215" s="28">
        <f t="shared" si="12"/>
        <v>45947</v>
      </c>
      <c r="O215" s="29">
        <f t="shared" si="14"/>
        <v>12</v>
      </c>
    </row>
    <row r="216" spans="1:15" x14ac:dyDescent="0.45">
      <c r="A216" s="1" t="s">
        <v>263</v>
      </c>
      <c r="B216" s="2">
        <v>45726.454861111109</v>
      </c>
      <c r="C216" s="3">
        <v>285</v>
      </c>
      <c r="D216" s="4">
        <v>27.05</v>
      </c>
      <c r="E216" s="4">
        <v>26.6</v>
      </c>
      <c r="F216" s="4">
        <v>27.5</v>
      </c>
      <c r="G216" s="8">
        <v>-0.05</v>
      </c>
      <c r="H216" s="9">
        <v>-1.8E-3</v>
      </c>
      <c r="I216" s="4">
        <v>6</v>
      </c>
      <c r="J216" s="4">
        <v>0</v>
      </c>
      <c r="K216" s="5">
        <v>0.35060000000000002</v>
      </c>
      <c r="L216" s="26" t="b">
        <f t="shared" si="15"/>
        <v>1</v>
      </c>
      <c r="M216" s="26" t="str">
        <f t="shared" si="13"/>
        <v>put</v>
      </c>
      <c r="N216" s="28">
        <f t="shared" si="12"/>
        <v>45947</v>
      </c>
      <c r="O216" s="29">
        <f t="shared" si="14"/>
        <v>12</v>
      </c>
    </row>
    <row r="217" spans="1:15" x14ac:dyDescent="0.45">
      <c r="A217" s="1" t="s">
        <v>264</v>
      </c>
      <c r="B217" s="4" t="s">
        <v>265</v>
      </c>
      <c r="C217" s="3">
        <v>290</v>
      </c>
      <c r="D217" s="4">
        <v>31.75</v>
      </c>
      <c r="E217" s="4">
        <v>31.3</v>
      </c>
      <c r="F217" s="4">
        <v>32.35</v>
      </c>
      <c r="G217" s="8">
        <v>-20.7</v>
      </c>
      <c r="H217" s="9">
        <v>-0.3947</v>
      </c>
      <c r="I217" s="4">
        <v>3</v>
      </c>
      <c r="J217" s="4">
        <v>0</v>
      </c>
      <c r="K217" s="5">
        <v>0.36959999999999998</v>
      </c>
      <c r="L217" s="26" t="b">
        <f t="shared" si="15"/>
        <v>1</v>
      </c>
      <c r="M217" s="26" t="str">
        <f t="shared" si="13"/>
        <v>put</v>
      </c>
      <c r="N217" s="28">
        <f t="shared" si="12"/>
        <v>45947</v>
      </c>
      <c r="O217" s="29">
        <f t="shared" si="14"/>
        <v>12</v>
      </c>
    </row>
    <row r="218" spans="1:15" x14ac:dyDescent="0.45">
      <c r="A218" s="1" t="s">
        <v>266</v>
      </c>
      <c r="B218" s="2">
        <v>45939.659722222219</v>
      </c>
      <c r="C218" s="3">
        <v>295</v>
      </c>
      <c r="D218" s="4">
        <v>68.150000000000006</v>
      </c>
      <c r="E218" s="4">
        <v>36.35</v>
      </c>
      <c r="F218" s="4">
        <v>37.549999999999997</v>
      </c>
      <c r="G218" s="4">
        <v>0</v>
      </c>
      <c r="H218" s="5">
        <v>0</v>
      </c>
      <c r="I218" s="4">
        <v>2</v>
      </c>
      <c r="J218" s="4">
        <v>0</v>
      </c>
      <c r="K218" s="5">
        <v>0.44950000000000001</v>
      </c>
      <c r="L218" s="26" t="b">
        <f t="shared" si="15"/>
        <v>1</v>
      </c>
      <c r="M218" s="26" t="str">
        <f t="shared" si="13"/>
        <v>put</v>
      </c>
      <c r="N218" s="28">
        <f t="shared" si="12"/>
        <v>45947</v>
      </c>
      <c r="O218" s="29">
        <f t="shared" si="14"/>
        <v>12</v>
      </c>
    </row>
    <row r="219" spans="1:15" x14ac:dyDescent="0.45">
      <c r="A219" s="1" t="s">
        <v>267</v>
      </c>
      <c r="B219" s="2">
        <v>45667.441666666666</v>
      </c>
      <c r="C219" s="3">
        <v>300</v>
      </c>
      <c r="D219" s="4">
        <v>44.1</v>
      </c>
      <c r="E219" s="4">
        <v>41.65</v>
      </c>
      <c r="F219" s="4">
        <v>42.55</v>
      </c>
      <c r="G219" s="4">
        <v>0</v>
      </c>
      <c r="H219" s="5">
        <v>0</v>
      </c>
      <c r="I219" s="4">
        <v>3</v>
      </c>
      <c r="J219" s="4">
        <v>0</v>
      </c>
      <c r="K219" s="5">
        <v>0.49270000000000003</v>
      </c>
      <c r="L219" s="26" t="b">
        <f t="shared" si="15"/>
        <v>1</v>
      </c>
      <c r="M219" s="26" t="str">
        <f t="shared" si="13"/>
        <v>put</v>
      </c>
      <c r="N219" s="28">
        <f t="shared" si="12"/>
        <v>45947</v>
      </c>
      <c r="O219" s="29">
        <f t="shared" si="14"/>
        <v>12</v>
      </c>
    </row>
    <row r="220" spans="1:15" x14ac:dyDescent="0.45">
      <c r="A220" s="1" t="s">
        <v>268</v>
      </c>
      <c r="B220" s="2">
        <v>45939.659722222219</v>
      </c>
      <c r="C220" s="3">
        <v>305</v>
      </c>
      <c r="D220" s="4">
        <v>78.150000000000006</v>
      </c>
      <c r="E220" s="4">
        <v>46.3</v>
      </c>
      <c r="F220" s="4">
        <v>47.45</v>
      </c>
      <c r="G220" s="4">
        <v>0</v>
      </c>
      <c r="H220" s="5">
        <v>0</v>
      </c>
      <c r="I220" s="4">
        <v>1</v>
      </c>
      <c r="J220" s="4">
        <v>0</v>
      </c>
      <c r="K220" s="5">
        <v>0.51470000000000005</v>
      </c>
      <c r="L220" s="26" t="b">
        <f t="shared" si="15"/>
        <v>1</v>
      </c>
      <c r="M220" s="26" t="str">
        <f t="shared" si="13"/>
        <v>put</v>
      </c>
      <c r="N220" s="28">
        <f t="shared" si="12"/>
        <v>45947</v>
      </c>
      <c r="O220" s="29">
        <f t="shared" si="14"/>
        <v>12</v>
      </c>
    </row>
    <row r="221" spans="1:15" x14ac:dyDescent="0.45">
      <c r="A221" s="1" t="s">
        <v>269</v>
      </c>
      <c r="B221" s="4" t="s">
        <v>270</v>
      </c>
      <c r="C221" s="3">
        <v>315</v>
      </c>
      <c r="D221" s="4">
        <v>69.7</v>
      </c>
      <c r="E221" s="4">
        <v>56.35</v>
      </c>
      <c r="F221" s="4">
        <v>57.65</v>
      </c>
      <c r="G221" s="4">
        <v>0</v>
      </c>
      <c r="H221" s="5">
        <v>0</v>
      </c>
      <c r="I221" s="4">
        <v>1</v>
      </c>
      <c r="J221" s="4">
        <v>0</v>
      </c>
      <c r="K221" s="5">
        <v>0.63329999999999997</v>
      </c>
      <c r="L221" s="26" t="b">
        <f t="shared" si="15"/>
        <v>1</v>
      </c>
      <c r="M221" s="26" t="str">
        <f t="shared" si="13"/>
        <v>put</v>
      </c>
      <c r="N221" s="28">
        <f t="shared" si="12"/>
        <v>45947</v>
      </c>
      <c r="O221" s="29">
        <f t="shared" si="14"/>
        <v>12</v>
      </c>
    </row>
    <row r="222" spans="1:15" x14ac:dyDescent="0.45">
      <c r="A222" s="1" t="s">
        <v>271</v>
      </c>
      <c r="B222" s="4" t="s">
        <v>272</v>
      </c>
      <c r="C222" s="3">
        <v>320</v>
      </c>
      <c r="D222" s="4">
        <v>65.400000000000006</v>
      </c>
      <c r="E222" s="4">
        <v>61.35</v>
      </c>
      <c r="F222" s="4">
        <v>62.65</v>
      </c>
      <c r="G222" s="4">
        <v>0</v>
      </c>
      <c r="H222" s="5">
        <v>0</v>
      </c>
      <c r="I222" s="4">
        <v>1</v>
      </c>
      <c r="J222" s="4">
        <v>0</v>
      </c>
      <c r="K222" s="5">
        <v>0.6724</v>
      </c>
      <c r="L222" s="26" t="b">
        <f t="shared" si="15"/>
        <v>1</v>
      </c>
      <c r="M222" s="26" t="str">
        <f t="shared" si="13"/>
        <v>put</v>
      </c>
      <c r="N222" s="28">
        <f t="shared" si="12"/>
        <v>45947</v>
      </c>
      <c r="O222" s="29">
        <f t="shared" si="14"/>
        <v>12</v>
      </c>
    </row>
    <row r="223" spans="1:15" x14ac:dyDescent="0.45">
      <c r="A223" s="1" t="s">
        <v>273</v>
      </c>
      <c r="B223" s="4" t="s">
        <v>274</v>
      </c>
      <c r="C223" s="3">
        <v>330</v>
      </c>
      <c r="D223" s="4">
        <v>98.75</v>
      </c>
      <c r="E223" s="4">
        <v>74.2</v>
      </c>
      <c r="F223" s="4">
        <v>75.099999999999994</v>
      </c>
      <c r="G223" s="4">
        <v>0</v>
      </c>
      <c r="H223" s="5">
        <v>0</v>
      </c>
      <c r="I223" s="4">
        <v>0</v>
      </c>
      <c r="J223" s="4">
        <v>0</v>
      </c>
      <c r="K223" s="5">
        <v>1.0201</v>
      </c>
      <c r="L223" s="26" t="b">
        <f t="shared" si="15"/>
        <v>1</v>
      </c>
      <c r="M223" s="26" t="str">
        <f t="shared" si="13"/>
        <v>put</v>
      </c>
      <c r="N223" s="28">
        <f t="shared" si="12"/>
        <v>45947</v>
      </c>
      <c r="O223" s="29">
        <f t="shared" si="14"/>
        <v>12</v>
      </c>
    </row>
    <row r="224" spans="1:15" x14ac:dyDescent="0.45">
      <c r="A224" s="1" t="s">
        <v>275</v>
      </c>
      <c r="B224" s="4" t="s">
        <v>276</v>
      </c>
      <c r="C224" s="3">
        <v>335</v>
      </c>
      <c r="D224" s="4">
        <v>89.55</v>
      </c>
      <c r="E224" s="4">
        <v>76.400000000000006</v>
      </c>
      <c r="F224" s="4">
        <v>77.5</v>
      </c>
      <c r="G224" s="4">
        <v>0</v>
      </c>
      <c r="H224" s="5">
        <v>0</v>
      </c>
      <c r="I224" s="4">
        <v>5</v>
      </c>
      <c r="J224" s="4">
        <v>0</v>
      </c>
      <c r="K224" s="5">
        <v>0.748</v>
      </c>
      <c r="L224" s="26" t="b">
        <f t="shared" si="15"/>
        <v>1</v>
      </c>
      <c r="M224" s="26" t="str">
        <f t="shared" ref="M224:M227" si="16">IF(MID(A224,11,1)="C","call","put")</f>
        <v>put</v>
      </c>
      <c r="N224" s="28">
        <f t="shared" ref="N224:N227" si="17">DATE(MID(A224,5,2)+2000,MID(A224,7,2),MID(A224,9,2))</f>
        <v>45947</v>
      </c>
      <c r="O224" s="29">
        <f t="shared" si="14"/>
        <v>12</v>
      </c>
    </row>
    <row r="225" spans="1:15" x14ac:dyDescent="0.45">
      <c r="A225" s="1" t="s">
        <v>277</v>
      </c>
      <c r="B225" s="2">
        <v>45965.656944444447</v>
      </c>
      <c r="C225" s="3">
        <v>355</v>
      </c>
      <c r="D225" s="4">
        <v>157.02000000000001</v>
      </c>
      <c r="E225" s="4">
        <v>141.19999999999999</v>
      </c>
      <c r="F225" s="4">
        <v>142.44999999999999</v>
      </c>
      <c r="G225" s="4">
        <v>0</v>
      </c>
      <c r="H225" s="5">
        <v>0</v>
      </c>
      <c r="I225" s="4">
        <v>0</v>
      </c>
      <c r="J225" s="4">
        <v>0</v>
      </c>
      <c r="K225" s="5">
        <v>3.7774000000000001</v>
      </c>
      <c r="L225" s="26" t="b">
        <f t="shared" si="15"/>
        <v>1</v>
      </c>
      <c r="M225" s="26" t="str">
        <f t="shared" si="16"/>
        <v>put</v>
      </c>
      <c r="N225" s="28">
        <f t="shared" si="17"/>
        <v>45947</v>
      </c>
      <c r="O225" s="29">
        <f t="shared" si="14"/>
        <v>12</v>
      </c>
    </row>
    <row r="226" spans="1:15" x14ac:dyDescent="0.45">
      <c r="A226" s="1" t="s">
        <v>278</v>
      </c>
      <c r="B226" s="2">
        <v>45965.656944444447</v>
      </c>
      <c r="C226" s="3">
        <v>360</v>
      </c>
      <c r="D226" s="4">
        <v>162.01</v>
      </c>
      <c r="E226" s="4">
        <v>146.25</v>
      </c>
      <c r="F226" s="4">
        <v>147.6</v>
      </c>
      <c r="G226" s="4">
        <v>0</v>
      </c>
      <c r="H226" s="5">
        <v>0</v>
      </c>
      <c r="I226" s="4">
        <v>0</v>
      </c>
      <c r="J226" s="4">
        <v>0</v>
      </c>
      <c r="K226" s="5">
        <v>3.8363999999999998</v>
      </c>
      <c r="L226" s="26" t="b">
        <f t="shared" si="15"/>
        <v>1</v>
      </c>
      <c r="M226" s="26" t="str">
        <f t="shared" si="16"/>
        <v>put</v>
      </c>
      <c r="N226" s="28">
        <f t="shared" si="17"/>
        <v>45947</v>
      </c>
      <c r="O226" s="29">
        <f t="shared" si="14"/>
        <v>12</v>
      </c>
    </row>
    <row r="227" spans="1:15" x14ac:dyDescent="0.45">
      <c r="A227" s="21" t="s">
        <v>279</v>
      </c>
      <c r="B227" s="22" t="s">
        <v>280</v>
      </c>
      <c r="C227" s="23">
        <v>370</v>
      </c>
      <c r="D227" s="22">
        <v>159.94999999999999</v>
      </c>
      <c r="E227" s="22">
        <v>114.25</v>
      </c>
      <c r="F227" s="22">
        <v>115.25</v>
      </c>
      <c r="G227" s="22">
        <v>0</v>
      </c>
      <c r="H227" s="24">
        <v>0</v>
      </c>
      <c r="I227" s="22">
        <v>0</v>
      </c>
      <c r="J227" s="22">
        <v>0</v>
      </c>
      <c r="K227" s="24">
        <v>1.3493999999999999</v>
      </c>
      <c r="L227" s="26" t="b">
        <f t="shared" si="15"/>
        <v>1</v>
      </c>
      <c r="M227" s="26" t="str">
        <f t="shared" si="16"/>
        <v>put</v>
      </c>
      <c r="N227" s="28">
        <f t="shared" si="17"/>
        <v>45947</v>
      </c>
      <c r="O227" s="29">
        <f t="shared" si="14"/>
        <v>12</v>
      </c>
    </row>
    <row r="228" spans="1:15" x14ac:dyDescent="0.45">
      <c r="A228" s="1" t="s">
        <v>283</v>
      </c>
      <c r="B228" s="4" t="s">
        <v>284</v>
      </c>
      <c r="C228" s="3">
        <v>110</v>
      </c>
      <c r="D228" s="4">
        <v>143.35</v>
      </c>
      <c r="E228" s="4">
        <v>147.44999999999999</v>
      </c>
      <c r="F228" s="4">
        <v>148.80000000000001</v>
      </c>
      <c r="G228" s="4">
        <v>0</v>
      </c>
      <c r="H228" s="5">
        <v>0</v>
      </c>
      <c r="I228" s="4">
        <v>1</v>
      </c>
      <c r="J228" s="4">
        <v>3</v>
      </c>
      <c r="K228" s="5">
        <v>1.4414</v>
      </c>
      <c r="L228" s="26" t="b">
        <f t="shared" si="15"/>
        <v>1</v>
      </c>
      <c r="M228" s="26" t="str">
        <f t="shared" ref="M228:M291" si="18">IF(MID(A228,11,1)="C","call","put")</f>
        <v>call</v>
      </c>
      <c r="N228" s="28">
        <f t="shared" ref="N228:N291" si="19">DATE(MID(A228,5,2)+2000,MID(A228,7,2),MID(A228,9,2))</f>
        <v>45954</v>
      </c>
      <c r="O228" s="29">
        <f t="shared" si="14"/>
        <v>19</v>
      </c>
    </row>
    <row r="229" spans="1:15" x14ac:dyDescent="0.45">
      <c r="A229" s="1" t="s">
        <v>285</v>
      </c>
      <c r="B229" s="4" t="s">
        <v>284</v>
      </c>
      <c r="C229" s="3">
        <v>120</v>
      </c>
      <c r="D229" s="4">
        <v>133.19</v>
      </c>
      <c r="E229" s="4">
        <v>137.44999999999999</v>
      </c>
      <c r="F229" s="4">
        <v>138.80000000000001</v>
      </c>
      <c r="G229" s="4">
        <v>0</v>
      </c>
      <c r="H229" s="5">
        <v>0</v>
      </c>
      <c r="I229" s="4">
        <v>0</v>
      </c>
      <c r="J229" s="4">
        <v>1</v>
      </c>
      <c r="K229" s="5">
        <v>1.3047</v>
      </c>
      <c r="L229" s="26" t="b">
        <f t="shared" si="15"/>
        <v>1</v>
      </c>
      <c r="M229" s="26" t="str">
        <f t="shared" si="18"/>
        <v>call</v>
      </c>
      <c r="N229" s="28">
        <f t="shared" si="19"/>
        <v>45954</v>
      </c>
      <c r="O229" s="29">
        <f t="shared" si="14"/>
        <v>19</v>
      </c>
    </row>
    <row r="230" spans="1:15" x14ac:dyDescent="0.45">
      <c r="A230" s="1" t="s">
        <v>286</v>
      </c>
      <c r="B230" s="2">
        <v>45667.459722222222</v>
      </c>
      <c r="C230" s="3">
        <v>140</v>
      </c>
      <c r="D230" s="4">
        <v>116.1</v>
      </c>
      <c r="E230" s="4">
        <v>117.55</v>
      </c>
      <c r="F230" s="4">
        <v>119</v>
      </c>
      <c r="G230" s="4">
        <v>0</v>
      </c>
      <c r="H230" s="5">
        <v>0</v>
      </c>
      <c r="I230" s="4">
        <v>1</v>
      </c>
      <c r="J230" s="4">
        <v>1</v>
      </c>
      <c r="K230" s="5">
        <v>1.1856</v>
      </c>
      <c r="L230" s="26" t="b">
        <f t="shared" si="15"/>
        <v>1</v>
      </c>
      <c r="M230" s="26" t="str">
        <f t="shared" si="18"/>
        <v>call</v>
      </c>
      <c r="N230" s="28">
        <f t="shared" si="19"/>
        <v>45954</v>
      </c>
      <c r="O230" s="29">
        <f t="shared" si="14"/>
        <v>19</v>
      </c>
    </row>
    <row r="231" spans="1:15" x14ac:dyDescent="0.45">
      <c r="A231" s="1" t="s">
        <v>287</v>
      </c>
      <c r="B231" s="4" t="s">
        <v>288</v>
      </c>
      <c r="C231" s="3">
        <v>165</v>
      </c>
      <c r="D231" s="4">
        <v>90.95</v>
      </c>
      <c r="E231" s="4">
        <v>93.1</v>
      </c>
      <c r="F231" s="4">
        <v>94.05</v>
      </c>
      <c r="G231" s="4">
        <v>0</v>
      </c>
      <c r="H231" s="5">
        <v>0</v>
      </c>
      <c r="I231" s="4">
        <v>1</v>
      </c>
      <c r="J231" s="4">
        <v>2</v>
      </c>
      <c r="K231" s="5">
        <v>1.0117</v>
      </c>
      <c r="L231" s="26" t="b">
        <f t="shared" si="15"/>
        <v>1</v>
      </c>
      <c r="M231" s="26" t="str">
        <f t="shared" si="18"/>
        <v>call</v>
      </c>
      <c r="N231" s="28">
        <f t="shared" si="19"/>
        <v>45954</v>
      </c>
      <c r="O231" s="29">
        <f t="shared" si="14"/>
        <v>19</v>
      </c>
    </row>
    <row r="232" spans="1:15" x14ac:dyDescent="0.45">
      <c r="A232" s="1" t="s">
        <v>289</v>
      </c>
      <c r="B232" s="4" t="s">
        <v>290</v>
      </c>
      <c r="C232" s="3">
        <v>170</v>
      </c>
      <c r="D232" s="4">
        <v>76.03</v>
      </c>
      <c r="E232" s="4">
        <v>87.85</v>
      </c>
      <c r="F232" s="4">
        <v>88.95</v>
      </c>
      <c r="G232" s="4">
        <v>0</v>
      </c>
      <c r="H232" s="5">
        <v>0</v>
      </c>
      <c r="I232" s="4">
        <v>6</v>
      </c>
      <c r="J232" s="4">
        <v>6</v>
      </c>
      <c r="K232" s="5">
        <v>0.89449999999999996</v>
      </c>
      <c r="L232" s="26" t="b">
        <f t="shared" si="15"/>
        <v>1</v>
      </c>
      <c r="M232" s="26" t="str">
        <f t="shared" si="18"/>
        <v>call</v>
      </c>
      <c r="N232" s="28">
        <f t="shared" si="19"/>
        <v>45954</v>
      </c>
      <c r="O232" s="29">
        <f t="shared" si="14"/>
        <v>19</v>
      </c>
    </row>
    <row r="233" spans="1:15" x14ac:dyDescent="0.45">
      <c r="A233" s="1" t="s">
        <v>291</v>
      </c>
      <c r="B233" s="4" t="s">
        <v>292</v>
      </c>
      <c r="C233" s="3">
        <v>175</v>
      </c>
      <c r="D233" s="4">
        <v>83.45</v>
      </c>
      <c r="E233" s="4">
        <v>82.8</v>
      </c>
      <c r="F233" s="4">
        <v>84.15</v>
      </c>
      <c r="G233" s="4">
        <v>3.25</v>
      </c>
      <c r="H233" s="5">
        <v>4.0500000000000001E-2</v>
      </c>
      <c r="I233" s="4">
        <v>1</v>
      </c>
      <c r="J233" s="4">
        <v>1</v>
      </c>
      <c r="K233" s="5">
        <v>0.86519999999999997</v>
      </c>
      <c r="L233" s="26" t="b">
        <f t="shared" si="15"/>
        <v>1</v>
      </c>
      <c r="M233" s="26" t="str">
        <f t="shared" si="18"/>
        <v>call</v>
      </c>
      <c r="N233" s="28">
        <f t="shared" si="19"/>
        <v>45954</v>
      </c>
      <c r="O233" s="29">
        <f t="shared" si="14"/>
        <v>19</v>
      </c>
    </row>
    <row r="234" spans="1:15" x14ac:dyDescent="0.45">
      <c r="A234" s="1" t="s">
        <v>293</v>
      </c>
      <c r="B234" s="4" t="s">
        <v>294</v>
      </c>
      <c r="C234" s="3">
        <v>180</v>
      </c>
      <c r="D234" s="4">
        <v>76.77</v>
      </c>
      <c r="E234" s="4">
        <v>78</v>
      </c>
      <c r="F234" s="4">
        <v>79.05</v>
      </c>
      <c r="G234" s="4">
        <v>0</v>
      </c>
      <c r="H234" s="5">
        <v>0</v>
      </c>
      <c r="I234" s="4">
        <v>9</v>
      </c>
      <c r="J234" s="4">
        <v>11</v>
      </c>
      <c r="K234" s="5">
        <v>0.82520000000000004</v>
      </c>
      <c r="L234" s="26" t="b">
        <f t="shared" si="15"/>
        <v>1</v>
      </c>
      <c r="M234" s="26" t="str">
        <f t="shared" si="18"/>
        <v>call</v>
      </c>
      <c r="N234" s="28">
        <f t="shared" si="19"/>
        <v>45954</v>
      </c>
      <c r="O234" s="29">
        <f t="shared" si="14"/>
        <v>19</v>
      </c>
    </row>
    <row r="235" spans="1:15" x14ac:dyDescent="0.45">
      <c r="A235" s="1" t="s">
        <v>295</v>
      </c>
      <c r="B235" s="4" t="s">
        <v>296</v>
      </c>
      <c r="C235" s="3">
        <v>185</v>
      </c>
      <c r="D235" s="4">
        <v>69.8</v>
      </c>
      <c r="E235" s="4">
        <v>73.2</v>
      </c>
      <c r="F235" s="4">
        <v>74.2</v>
      </c>
      <c r="G235" s="4">
        <v>0</v>
      </c>
      <c r="H235" s="5">
        <v>0</v>
      </c>
      <c r="I235" s="4">
        <v>1</v>
      </c>
      <c r="J235" s="4">
        <v>2</v>
      </c>
      <c r="K235" s="5">
        <v>0.8145</v>
      </c>
      <c r="L235" s="26" t="b">
        <f t="shared" si="15"/>
        <v>1</v>
      </c>
      <c r="M235" s="26" t="str">
        <f t="shared" si="18"/>
        <v>call</v>
      </c>
      <c r="N235" s="28">
        <f t="shared" si="19"/>
        <v>45954</v>
      </c>
      <c r="O235" s="29">
        <f t="shared" si="14"/>
        <v>19</v>
      </c>
    </row>
    <row r="236" spans="1:15" x14ac:dyDescent="0.45">
      <c r="A236" s="1" t="s">
        <v>297</v>
      </c>
      <c r="B236" s="2">
        <v>45726.555555555555</v>
      </c>
      <c r="C236" s="3">
        <v>190</v>
      </c>
      <c r="D236" s="4">
        <v>68.989999999999995</v>
      </c>
      <c r="E236" s="4">
        <v>68</v>
      </c>
      <c r="F236" s="4">
        <v>69.099999999999994</v>
      </c>
      <c r="G236" s="6">
        <v>0.34</v>
      </c>
      <c r="H236" s="7">
        <v>5.0000000000000001E-3</v>
      </c>
      <c r="I236" s="4">
        <v>1</v>
      </c>
      <c r="J236" s="4">
        <v>17</v>
      </c>
      <c r="K236" s="5">
        <v>0.72460000000000002</v>
      </c>
      <c r="L236" s="26" t="b">
        <f t="shared" si="15"/>
        <v>1</v>
      </c>
      <c r="M236" s="26" t="str">
        <f t="shared" si="18"/>
        <v>call</v>
      </c>
      <c r="N236" s="28">
        <f t="shared" si="19"/>
        <v>45954</v>
      </c>
      <c r="O236" s="29">
        <f t="shared" si="14"/>
        <v>19</v>
      </c>
    </row>
    <row r="237" spans="1:15" x14ac:dyDescent="0.45">
      <c r="A237" s="1" t="s">
        <v>298</v>
      </c>
      <c r="B237" s="4" t="s">
        <v>299</v>
      </c>
      <c r="C237" s="3">
        <v>195</v>
      </c>
      <c r="D237" s="4">
        <v>59.86</v>
      </c>
      <c r="E237" s="4">
        <v>62.7</v>
      </c>
      <c r="F237" s="4">
        <v>64.25</v>
      </c>
      <c r="G237" s="4">
        <v>0</v>
      </c>
      <c r="H237" s="5">
        <v>0</v>
      </c>
      <c r="I237" s="4">
        <v>6</v>
      </c>
      <c r="J237" s="4">
        <v>8</v>
      </c>
      <c r="K237" s="5">
        <v>0.65380000000000005</v>
      </c>
      <c r="L237" s="26" t="b">
        <f t="shared" si="15"/>
        <v>1</v>
      </c>
      <c r="M237" s="26" t="str">
        <f t="shared" si="18"/>
        <v>call</v>
      </c>
      <c r="N237" s="28">
        <f t="shared" si="19"/>
        <v>45954</v>
      </c>
      <c r="O237" s="29">
        <f t="shared" si="14"/>
        <v>19</v>
      </c>
    </row>
    <row r="238" spans="1:15" x14ac:dyDescent="0.45">
      <c r="A238" s="1" t="s">
        <v>300</v>
      </c>
      <c r="B238" s="2">
        <v>45726.657638888886</v>
      </c>
      <c r="C238" s="3">
        <v>200</v>
      </c>
      <c r="D238" s="4">
        <v>58.16</v>
      </c>
      <c r="E238" s="4">
        <v>58.3</v>
      </c>
      <c r="F238" s="4">
        <v>59.2</v>
      </c>
      <c r="G238" s="4">
        <v>-0.46</v>
      </c>
      <c r="H238" s="5">
        <v>-7.7999999999999996E-3</v>
      </c>
      <c r="I238" s="4">
        <v>6</v>
      </c>
      <c r="J238" s="4">
        <v>71</v>
      </c>
      <c r="K238" s="5">
        <v>0.66059999999999997</v>
      </c>
      <c r="L238" s="26" t="b">
        <f t="shared" si="15"/>
        <v>1</v>
      </c>
      <c r="M238" s="26" t="str">
        <f t="shared" si="18"/>
        <v>call</v>
      </c>
      <c r="N238" s="28">
        <f t="shared" si="19"/>
        <v>45954</v>
      </c>
      <c r="O238" s="29">
        <f t="shared" si="14"/>
        <v>19</v>
      </c>
    </row>
    <row r="239" spans="1:15" x14ac:dyDescent="0.45">
      <c r="A239" s="1" t="s">
        <v>301</v>
      </c>
      <c r="B239" s="2">
        <v>45698.570833333331</v>
      </c>
      <c r="C239" s="3">
        <v>205</v>
      </c>
      <c r="D239" s="4">
        <v>53.43</v>
      </c>
      <c r="E239" s="4">
        <v>53.15</v>
      </c>
      <c r="F239" s="4">
        <v>54.2</v>
      </c>
      <c r="G239" s="8">
        <v>0</v>
      </c>
      <c r="H239" s="9">
        <v>0</v>
      </c>
      <c r="I239" s="4">
        <v>2</v>
      </c>
      <c r="J239" s="4">
        <v>17</v>
      </c>
      <c r="K239" s="5">
        <v>0.59419999999999995</v>
      </c>
      <c r="L239" s="26" t="b">
        <f t="shared" si="15"/>
        <v>1</v>
      </c>
      <c r="M239" s="26" t="str">
        <f t="shared" si="18"/>
        <v>call</v>
      </c>
      <c r="N239" s="28">
        <f t="shared" si="19"/>
        <v>45954</v>
      </c>
      <c r="O239" s="29">
        <f t="shared" si="14"/>
        <v>19</v>
      </c>
    </row>
    <row r="240" spans="1:15" x14ac:dyDescent="0.45">
      <c r="A240" s="1" t="s">
        <v>302</v>
      </c>
      <c r="B240" s="2">
        <v>45667.477777777778</v>
      </c>
      <c r="C240" s="3">
        <v>210</v>
      </c>
      <c r="D240" s="4">
        <v>46.12</v>
      </c>
      <c r="E240" s="4">
        <v>47.9</v>
      </c>
      <c r="F240" s="4">
        <v>49.15</v>
      </c>
      <c r="G240" s="6">
        <v>0</v>
      </c>
      <c r="H240" s="7">
        <v>0</v>
      </c>
      <c r="I240" s="4">
        <v>1</v>
      </c>
      <c r="J240" s="4">
        <v>46</v>
      </c>
      <c r="K240" s="5">
        <v>0.5151</v>
      </c>
      <c r="L240" s="26" t="b">
        <f t="shared" si="15"/>
        <v>1</v>
      </c>
      <c r="M240" s="26" t="str">
        <f t="shared" si="18"/>
        <v>call</v>
      </c>
      <c r="N240" s="28">
        <f t="shared" si="19"/>
        <v>45954</v>
      </c>
      <c r="O240" s="29">
        <f t="shared" si="14"/>
        <v>19</v>
      </c>
    </row>
    <row r="241" spans="1:15" x14ac:dyDescent="0.45">
      <c r="A241" s="1" t="s">
        <v>303</v>
      </c>
      <c r="B241" s="2">
        <v>45726.482638888891</v>
      </c>
      <c r="C241" s="3">
        <v>215</v>
      </c>
      <c r="D241" s="4">
        <v>44.48</v>
      </c>
      <c r="E241" s="4">
        <v>42.9</v>
      </c>
      <c r="F241" s="4">
        <v>44.25</v>
      </c>
      <c r="G241" s="6">
        <v>2.2599999999999998</v>
      </c>
      <c r="H241" s="7">
        <v>5.3499999999999999E-2</v>
      </c>
      <c r="I241" s="4">
        <v>43</v>
      </c>
      <c r="J241" s="4">
        <v>79</v>
      </c>
      <c r="K241" s="5">
        <v>0.56910000000000005</v>
      </c>
      <c r="L241" s="26" t="b">
        <f t="shared" si="15"/>
        <v>1</v>
      </c>
      <c r="M241" s="26" t="str">
        <f t="shared" si="18"/>
        <v>call</v>
      </c>
      <c r="N241" s="28">
        <f t="shared" si="19"/>
        <v>45954</v>
      </c>
      <c r="O241" s="29">
        <f t="shared" si="14"/>
        <v>19</v>
      </c>
    </row>
    <row r="242" spans="1:15" x14ac:dyDescent="0.45">
      <c r="A242" s="1" t="s">
        <v>304</v>
      </c>
      <c r="B242" s="2">
        <v>45698.441666666666</v>
      </c>
      <c r="C242" s="3">
        <v>220</v>
      </c>
      <c r="D242" s="4">
        <v>39.14</v>
      </c>
      <c r="E242" s="4">
        <v>38.200000000000003</v>
      </c>
      <c r="F242" s="4">
        <v>39.35</v>
      </c>
      <c r="G242" s="6">
        <v>1.87</v>
      </c>
      <c r="H242" s="7">
        <v>5.0200000000000002E-2</v>
      </c>
      <c r="I242" s="4">
        <v>1</v>
      </c>
      <c r="J242" s="4">
        <v>573</v>
      </c>
      <c r="K242" s="5">
        <v>0.52390000000000003</v>
      </c>
      <c r="L242" s="26" t="b">
        <f t="shared" si="15"/>
        <v>1</v>
      </c>
      <c r="M242" s="26" t="str">
        <f t="shared" si="18"/>
        <v>call</v>
      </c>
      <c r="N242" s="28">
        <f t="shared" si="19"/>
        <v>45954</v>
      </c>
      <c r="O242" s="29">
        <f t="shared" si="14"/>
        <v>19</v>
      </c>
    </row>
    <row r="243" spans="1:15" x14ac:dyDescent="0.45">
      <c r="A243" s="1" t="s">
        <v>305</v>
      </c>
      <c r="B243" s="2">
        <v>45726.627083333333</v>
      </c>
      <c r="C243" s="3">
        <v>225</v>
      </c>
      <c r="D243" s="4">
        <v>34.049999999999997</v>
      </c>
      <c r="E243" s="4">
        <v>33.5</v>
      </c>
      <c r="F243" s="4">
        <v>34.4</v>
      </c>
      <c r="G243" s="6">
        <v>0.76</v>
      </c>
      <c r="H243" s="7">
        <v>2.2800000000000001E-2</v>
      </c>
      <c r="I243" s="4">
        <v>16</v>
      </c>
      <c r="J243" s="4">
        <v>527</v>
      </c>
      <c r="K243" s="5">
        <v>0.47239999999999999</v>
      </c>
      <c r="L243" s="26" t="b">
        <f t="shared" si="15"/>
        <v>1</v>
      </c>
      <c r="M243" s="26" t="str">
        <f t="shared" si="18"/>
        <v>call</v>
      </c>
      <c r="N243" s="28">
        <f t="shared" si="19"/>
        <v>45954</v>
      </c>
      <c r="O243" s="29">
        <f t="shared" si="14"/>
        <v>19</v>
      </c>
    </row>
    <row r="244" spans="1:15" x14ac:dyDescent="0.45">
      <c r="A244" s="1" t="s">
        <v>306</v>
      </c>
      <c r="B244" s="2">
        <v>45726.54791666667</v>
      </c>
      <c r="C244" s="3">
        <v>230</v>
      </c>
      <c r="D244" s="4">
        <v>28.84</v>
      </c>
      <c r="E244" s="4">
        <v>28.7</v>
      </c>
      <c r="F244" s="4">
        <v>29.3</v>
      </c>
      <c r="G244" s="6">
        <v>0.39</v>
      </c>
      <c r="H244" s="7">
        <v>1.37E-2</v>
      </c>
      <c r="I244" s="4">
        <v>79</v>
      </c>
      <c r="J244" s="10">
        <v>1326</v>
      </c>
      <c r="K244" s="5">
        <v>0.40649999999999997</v>
      </c>
      <c r="L244" s="26" t="b">
        <f t="shared" si="15"/>
        <v>1</v>
      </c>
      <c r="M244" s="26" t="str">
        <f t="shared" si="18"/>
        <v>call</v>
      </c>
      <c r="N244" s="28">
        <f t="shared" si="19"/>
        <v>45954</v>
      </c>
      <c r="O244" s="29">
        <f t="shared" si="14"/>
        <v>19</v>
      </c>
    </row>
    <row r="245" spans="1:15" x14ac:dyDescent="0.45">
      <c r="A245" s="1" t="s">
        <v>307</v>
      </c>
      <c r="B245" s="2">
        <v>45726.620833333334</v>
      </c>
      <c r="C245" s="3">
        <v>235</v>
      </c>
      <c r="D245" s="4">
        <v>23.75</v>
      </c>
      <c r="E245" s="4">
        <v>23.9</v>
      </c>
      <c r="F245" s="4">
        <v>24.3</v>
      </c>
      <c r="G245" s="6">
        <v>7.0000000000000007E-2</v>
      </c>
      <c r="H245" s="7">
        <v>3.0000000000000001E-3</v>
      </c>
      <c r="I245" s="4">
        <v>120</v>
      </c>
      <c r="J245" s="10">
        <v>1848</v>
      </c>
      <c r="K245" s="5">
        <v>0.35020000000000001</v>
      </c>
      <c r="L245" s="26" t="b">
        <f t="shared" si="15"/>
        <v>1</v>
      </c>
      <c r="M245" s="26" t="str">
        <f t="shared" si="18"/>
        <v>call</v>
      </c>
      <c r="N245" s="28">
        <f t="shared" si="19"/>
        <v>45954</v>
      </c>
      <c r="O245" s="29">
        <f t="shared" si="14"/>
        <v>19</v>
      </c>
    </row>
    <row r="246" spans="1:15" x14ac:dyDescent="0.45">
      <c r="A246" s="1" t="s">
        <v>308</v>
      </c>
      <c r="B246" s="2">
        <v>45726.655555555553</v>
      </c>
      <c r="C246" s="3">
        <v>240</v>
      </c>
      <c r="D246" s="4">
        <v>19.25</v>
      </c>
      <c r="E246" s="4">
        <v>19.350000000000001</v>
      </c>
      <c r="F246" s="4">
        <v>19.55</v>
      </c>
      <c r="G246" s="4">
        <v>0.25</v>
      </c>
      <c r="H246" s="5">
        <v>1.32E-2</v>
      </c>
      <c r="I246" s="4">
        <v>292</v>
      </c>
      <c r="J246" s="10">
        <v>2581</v>
      </c>
      <c r="K246" s="5">
        <v>0.31130000000000002</v>
      </c>
      <c r="L246" s="26" t="b">
        <f t="shared" si="15"/>
        <v>1</v>
      </c>
      <c r="M246" s="26" t="str">
        <f t="shared" si="18"/>
        <v>call</v>
      </c>
      <c r="N246" s="28">
        <f t="shared" si="19"/>
        <v>45954</v>
      </c>
      <c r="O246" s="29">
        <f t="shared" si="14"/>
        <v>19</v>
      </c>
    </row>
    <row r="247" spans="1:15" x14ac:dyDescent="0.45">
      <c r="A247" s="1" t="s">
        <v>309</v>
      </c>
      <c r="B247" s="2">
        <v>45726.65902777778</v>
      </c>
      <c r="C247" s="3">
        <v>245</v>
      </c>
      <c r="D247" s="4">
        <v>14.97</v>
      </c>
      <c r="E247" s="4">
        <v>14.9</v>
      </c>
      <c r="F247" s="4">
        <v>15.1</v>
      </c>
      <c r="G247" s="8">
        <v>0.28999999999999998</v>
      </c>
      <c r="H247" s="9">
        <v>1.9800000000000002E-2</v>
      </c>
      <c r="I247" s="4">
        <v>286</v>
      </c>
      <c r="J247" s="10">
        <v>2935</v>
      </c>
      <c r="K247" s="5">
        <v>0.28370000000000001</v>
      </c>
      <c r="L247" s="26" t="b">
        <f t="shared" si="15"/>
        <v>1</v>
      </c>
      <c r="M247" s="26" t="str">
        <f t="shared" si="18"/>
        <v>call</v>
      </c>
      <c r="N247" s="28">
        <f t="shared" si="19"/>
        <v>45954</v>
      </c>
      <c r="O247" s="29">
        <f t="shared" si="14"/>
        <v>19</v>
      </c>
    </row>
    <row r="248" spans="1:15" x14ac:dyDescent="0.45">
      <c r="A248" s="1" t="s">
        <v>310</v>
      </c>
      <c r="B248" s="2">
        <v>45726.65902777778</v>
      </c>
      <c r="C248" s="3">
        <v>250</v>
      </c>
      <c r="D248" s="4">
        <v>10.65</v>
      </c>
      <c r="E248" s="4">
        <v>10.85</v>
      </c>
      <c r="F248" s="4">
        <v>11</v>
      </c>
      <c r="G248" s="6">
        <v>0.1</v>
      </c>
      <c r="H248" s="7">
        <v>9.4999999999999998E-3</v>
      </c>
      <c r="I248" s="10">
        <v>3125</v>
      </c>
      <c r="J248" s="10">
        <v>10399</v>
      </c>
      <c r="K248" s="5">
        <v>0.26050000000000001</v>
      </c>
      <c r="L248" s="26" t="b">
        <f t="shared" si="15"/>
        <v>1</v>
      </c>
      <c r="M248" s="26" t="str">
        <f t="shared" si="18"/>
        <v>call</v>
      </c>
      <c r="N248" s="28">
        <f t="shared" si="19"/>
        <v>45954</v>
      </c>
      <c r="O248" s="29">
        <f t="shared" si="14"/>
        <v>19</v>
      </c>
    </row>
    <row r="249" spans="1:15" x14ac:dyDescent="0.45">
      <c r="A249" s="1" t="s">
        <v>311</v>
      </c>
      <c r="B249" s="2">
        <v>45726.665277777778</v>
      </c>
      <c r="C249" s="3">
        <v>255</v>
      </c>
      <c r="D249" s="4">
        <v>7.35</v>
      </c>
      <c r="E249" s="4">
        <v>7.35</v>
      </c>
      <c r="F249" s="4">
        <v>7.45</v>
      </c>
      <c r="G249" s="6">
        <v>0.17</v>
      </c>
      <c r="H249" s="7">
        <v>2.3699999999999999E-2</v>
      </c>
      <c r="I249" s="10">
        <v>1276</v>
      </c>
      <c r="J249" s="10">
        <v>4985</v>
      </c>
      <c r="K249" s="5">
        <v>0.24279999999999999</v>
      </c>
      <c r="L249" s="26" t="b">
        <f t="shared" si="15"/>
        <v>1</v>
      </c>
      <c r="M249" s="26" t="str">
        <f t="shared" si="18"/>
        <v>call</v>
      </c>
      <c r="N249" s="28">
        <f t="shared" si="19"/>
        <v>45954</v>
      </c>
      <c r="O249" s="29">
        <f t="shared" si="14"/>
        <v>19</v>
      </c>
    </row>
    <row r="250" spans="1:15" x14ac:dyDescent="0.45">
      <c r="A250" s="11" t="s">
        <v>312</v>
      </c>
      <c r="B250" s="12">
        <v>45726.665972222225</v>
      </c>
      <c r="C250" s="13">
        <v>260</v>
      </c>
      <c r="D250" s="14">
        <v>4.6500000000000004</v>
      </c>
      <c r="E250" s="14">
        <v>4.55</v>
      </c>
      <c r="F250" s="14">
        <v>4.7</v>
      </c>
      <c r="G250" s="19">
        <v>-0.05</v>
      </c>
      <c r="H250" s="20">
        <v>-1.06E-2</v>
      </c>
      <c r="I250" s="17">
        <v>3190</v>
      </c>
      <c r="J250" s="17">
        <v>15507</v>
      </c>
      <c r="K250" s="18">
        <v>0.23300000000000001</v>
      </c>
      <c r="L250" s="26" t="b">
        <f t="shared" si="15"/>
        <v>0</v>
      </c>
      <c r="M250" s="26" t="str">
        <f t="shared" si="18"/>
        <v>call</v>
      </c>
      <c r="N250" s="28">
        <f t="shared" si="19"/>
        <v>45954</v>
      </c>
      <c r="O250" s="29">
        <f t="shared" si="14"/>
        <v>19</v>
      </c>
    </row>
    <row r="251" spans="1:15" x14ac:dyDescent="0.45">
      <c r="A251" s="11" t="s">
        <v>313</v>
      </c>
      <c r="B251" s="12">
        <v>45726.665972222225</v>
      </c>
      <c r="C251" s="13">
        <v>265</v>
      </c>
      <c r="D251" s="14">
        <v>2.62</v>
      </c>
      <c r="E251" s="14">
        <v>2.62</v>
      </c>
      <c r="F251" s="14">
        <v>2.67</v>
      </c>
      <c r="G251" s="15">
        <v>-0.13</v>
      </c>
      <c r="H251" s="16">
        <v>-4.7300000000000002E-2</v>
      </c>
      <c r="I251" s="17">
        <v>3268</v>
      </c>
      <c r="J251" s="17">
        <v>5057</v>
      </c>
      <c r="K251" s="18">
        <v>0.2238</v>
      </c>
      <c r="L251" s="26" t="b">
        <f t="shared" si="15"/>
        <v>0</v>
      </c>
      <c r="M251" s="26" t="str">
        <f t="shared" si="18"/>
        <v>call</v>
      </c>
      <c r="N251" s="28">
        <f t="shared" si="19"/>
        <v>45954</v>
      </c>
      <c r="O251" s="29">
        <f t="shared" si="14"/>
        <v>19</v>
      </c>
    </row>
    <row r="252" spans="1:15" x14ac:dyDescent="0.45">
      <c r="A252" s="11" t="s">
        <v>314</v>
      </c>
      <c r="B252" s="12">
        <v>45726.665972222225</v>
      </c>
      <c r="C252" s="13">
        <v>270</v>
      </c>
      <c r="D252" s="14">
        <v>1.4</v>
      </c>
      <c r="E252" s="14">
        <v>1.39</v>
      </c>
      <c r="F252" s="14">
        <v>1.42</v>
      </c>
      <c r="G252" s="19">
        <v>-0.06</v>
      </c>
      <c r="H252" s="20">
        <v>-4.1099999999999998E-2</v>
      </c>
      <c r="I252" s="17">
        <v>2149</v>
      </c>
      <c r="J252" s="17">
        <v>8538</v>
      </c>
      <c r="K252" s="18">
        <v>0.2205</v>
      </c>
      <c r="L252" s="26" t="b">
        <f t="shared" si="15"/>
        <v>0</v>
      </c>
      <c r="M252" s="26" t="str">
        <f t="shared" si="18"/>
        <v>call</v>
      </c>
      <c r="N252" s="28">
        <f t="shared" si="19"/>
        <v>45954</v>
      </c>
      <c r="O252" s="29">
        <f t="shared" si="14"/>
        <v>19</v>
      </c>
    </row>
    <row r="253" spans="1:15" x14ac:dyDescent="0.45">
      <c r="A253" s="11" t="s">
        <v>315</v>
      </c>
      <c r="B253" s="12">
        <v>45726.665972222225</v>
      </c>
      <c r="C253" s="13">
        <v>275</v>
      </c>
      <c r="D253" s="14">
        <v>0.73</v>
      </c>
      <c r="E253" s="14">
        <v>0.71</v>
      </c>
      <c r="F253" s="14">
        <v>0.74</v>
      </c>
      <c r="G253" s="15">
        <v>-0.08</v>
      </c>
      <c r="H253" s="16">
        <v>-9.8799999999999999E-2</v>
      </c>
      <c r="I253" s="17">
        <v>3457</v>
      </c>
      <c r="J253" s="17">
        <v>3354</v>
      </c>
      <c r="K253" s="18">
        <v>0.22239999999999999</v>
      </c>
      <c r="L253" s="26" t="b">
        <f t="shared" si="15"/>
        <v>0</v>
      </c>
      <c r="M253" s="26" t="str">
        <f t="shared" si="18"/>
        <v>call</v>
      </c>
      <c r="N253" s="28">
        <f t="shared" si="19"/>
        <v>45954</v>
      </c>
      <c r="O253" s="29">
        <f t="shared" ref="O253:O316" si="20">N253-DATE(2025,10,5)</f>
        <v>19</v>
      </c>
    </row>
    <row r="254" spans="1:15" x14ac:dyDescent="0.45">
      <c r="A254" s="11" t="s">
        <v>316</v>
      </c>
      <c r="B254" s="12">
        <v>45726.664583333331</v>
      </c>
      <c r="C254" s="13">
        <v>280</v>
      </c>
      <c r="D254" s="14">
        <v>0.39</v>
      </c>
      <c r="E254" s="14">
        <v>0.38</v>
      </c>
      <c r="F254" s="14">
        <v>0.4</v>
      </c>
      <c r="G254" s="19">
        <v>-0.08</v>
      </c>
      <c r="H254" s="20">
        <v>-0.17019999999999999</v>
      </c>
      <c r="I254" s="17">
        <v>1020</v>
      </c>
      <c r="J254" s="17">
        <v>1453</v>
      </c>
      <c r="K254" s="18">
        <v>0.2293</v>
      </c>
      <c r="L254" s="26" t="b">
        <f t="shared" si="15"/>
        <v>0</v>
      </c>
      <c r="M254" s="26" t="str">
        <f t="shared" si="18"/>
        <v>call</v>
      </c>
      <c r="N254" s="28">
        <f t="shared" si="19"/>
        <v>45954</v>
      </c>
      <c r="O254" s="29">
        <f t="shared" si="20"/>
        <v>19</v>
      </c>
    </row>
    <row r="255" spans="1:15" x14ac:dyDescent="0.45">
      <c r="A255" s="11" t="s">
        <v>317</v>
      </c>
      <c r="B255" s="12">
        <v>45726.663888888892</v>
      </c>
      <c r="C255" s="13">
        <v>285</v>
      </c>
      <c r="D255" s="14">
        <v>0.21</v>
      </c>
      <c r="E255" s="14">
        <v>0.21</v>
      </c>
      <c r="F255" s="14">
        <v>0.22</v>
      </c>
      <c r="G255" s="15">
        <v>-0.06</v>
      </c>
      <c r="H255" s="16">
        <v>-0.22220000000000001</v>
      </c>
      <c r="I255" s="17">
        <v>1743</v>
      </c>
      <c r="J255" s="17">
        <v>4490</v>
      </c>
      <c r="K255" s="18">
        <v>0.23730000000000001</v>
      </c>
      <c r="L255" s="26" t="b">
        <f t="shared" si="15"/>
        <v>0</v>
      </c>
      <c r="M255" s="26" t="str">
        <f t="shared" si="18"/>
        <v>call</v>
      </c>
      <c r="N255" s="28">
        <f t="shared" si="19"/>
        <v>45954</v>
      </c>
      <c r="O255" s="29">
        <f t="shared" si="20"/>
        <v>19</v>
      </c>
    </row>
    <row r="256" spans="1:15" x14ac:dyDescent="0.45">
      <c r="A256" s="11" t="s">
        <v>318</v>
      </c>
      <c r="B256" s="12">
        <v>45726.654166666667</v>
      </c>
      <c r="C256" s="13">
        <v>290</v>
      </c>
      <c r="D256" s="14">
        <v>0.13</v>
      </c>
      <c r="E256" s="14">
        <v>0.11</v>
      </c>
      <c r="F256" s="14">
        <v>0.13</v>
      </c>
      <c r="G256" s="19">
        <v>-0.03</v>
      </c>
      <c r="H256" s="20">
        <v>-0.1875</v>
      </c>
      <c r="I256" s="14">
        <v>339</v>
      </c>
      <c r="J256" s="17">
        <v>4446</v>
      </c>
      <c r="K256" s="18">
        <v>0.24809999999999999</v>
      </c>
      <c r="L256" s="26" t="b">
        <f t="shared" ref="L256:L319" si="21">IF(M256="call",C256&lt;$P$1,C256&gt;$P$1)</f>
        <v>0</v>
      </c>
      <c r="M256" s="26" t="str">
        <f t="shared" si="18"/>
        <v>call</v>
      </c>
      <c r="N256" s="28">
        <f t="shared" si="19"/>
        <v>45954</v>
      </c>
      <c r="O256" s="29">
        <f t="shared" si="20"/>
        <v>19</v>
      </c>
    </row>
    <row r="257" spans="1:15" x14ac:dyDescent="0.45">
      <c r="A257" s="11" t="s">
        <v>319</v>
      </c>
      <c r="B257" s="12">
        <v>45726.665277777778</v>
      </c>
      <c r="C257" s="13">
        <v>295</v>
      </c>
      <c r="D257" s="14">
        <v>7.0000000000000007E-2</v>
      </c>
      <c r="E257" s="14">
        <v>0.06</v>
      </c>
      <c r="F257" s="14">
        <v>0.08</v>
      </c>
      <c r="G257" s="19">
        <v>-0.03</v>
      </c>
      <c r="H257" s="20">
        <v>-0.3</v>
      </c>
      <c r="I257" s="14">
        <v>59</v>
      </c>
      <c r="J257" s="14">
        <v>374</v>
      </c>
      <c r="K257" s="18">
        <v>0.25879999999999997</v>
      </c>
      <c r="L257" s="26" t="b">
        <f t="shared" si="21"/>
        <v>0</v>
      </c>
      <c r="M257" s="26" t="str">
        <f t="shared" si="18"/>
        <v>call</v>
      </c>
      <c r="N257" s="28">
        <f t="shared" si="19"/>
        <v>45954</v>
      </c>
      <c r="O257" s="29">
        <f t="shared" si="20"/>
        <v>19</v>
      </c>
    </row>
    <row r="258" spans="1:15" x14ac:dyDescent="0.45">
      <c r="A258" s="11" t="s">
        <v>320</v>
      </c>
      <c r="B258" s="12">
        <v>45726.665277777778</v>
      </c>
      <c r="C258" s="13">
        <v>300</v>
      </c>
      <c r="D258" s="14">
        <v>0.05</v>
      </c>
      <c r="E258" s="14">
        <v>0.04</v>
      </c>
      <c r="F258" s="14">
        <v>0.05</v>
      </c>
      <c r="G258" s="19">
        <v>-0.01</v>
      </c>
      <c r="H258" s="20">
        <v>-0.16669999999999999</v>
      </c>
      <c r="I258" s="14">
        <v>250</v>
      </c>
      <c r="J258" s="17">
        <v>1531</v>
      </c>
      <c r="K258" s="18">
        <v>0.26950000000000002</v>
      </c>
      <c r="L258" s="26" t="b">
        <f t="shared" si="21"/>
        <v>0</v>
      </c>
      <c r="M258" s="26" t="str">
        <f t="shared" si="18"/>
        <v>call</v>
      </c>
      <c r="N258" s="28">
        <f t="shared" si="19"/>
        <v>45954</v>
      </c>
      <c r="O258" s="29">
        <f t="shared" si="20"/>
        <v>19</v>
      </c>
    </row>
    <row r="259" spans="1:15" x14ac:dyDescent="0.45">
      <c r="A259" s="11" t="s">
        <v>321</v>
      </c>
      <c r="B259" s="12">
        <v>45726.467361111114</v>
      </c>
      <c r="C259" s="13">
        <v>305</v>
      </c>
      <c r="D259" s="14">
        <v>0.04</v>
      </c>
      <c r="E259" s="14">
        <v>0.03</v>
      </c>
      <c r="F259" s="14">
        <v>0.04</v>
      </c>
      <c r="G259" s="19">
        <v>0</v>
      </c>
      <c r="H259" s="20">
        <v>0</v>
      </c>
      <c r="I259" s="14">
        <v>2</v>
      </c>
      <c r="J259" s="14">
        <v>147</v>
      </c>
      <c r="K259" s="18">
        <v>0.28710000000000002</v>
      </c>
      <c r="L259" s="26" t="b">
        <f t="shared" si="21"/>
        <v>0</v>
      </c>
      <c r="M259" s="26" t="str">
        <f t="shared" si="18"/>
        <v>call</v>
      </c>
      <c r="N259" s="28">
        <f t="shared" si="19"/>
        <v>45954</v>
      </c>
      <c r="O259" s="29">
        <f t="shared" si="20"/>
        <v>19</v>
      </c>
    </row>
    <row r="260" spans="1:15" x14ac:dyDescent="0.45">
      <c r="A260" s="11" t="s">
        <v>322</v>
      </c>
      <c r="B260" s="12">
        <v>45726.51458333333</v>
      </c>
      <c r="C260" s="13">
        <v>310</v>
      </c>
      <c r="D260" s="14">
        <v>0.03</v>
      </c>
      <c r="E260" s="14">
        <v>0.01</v>
      </c>
      <c r="F260" s="14">
        <v>0.03</v>
      </c>
      <c r="G260" s="19">
        <v>0.01</v>
      </c>
      <c r="H260" s="20">
        <v>0.5</v>
      </c>
      <c r="I260" s="14">
        <v>2</v>
      </c>
      <c r="J260" s="14">
        <v>29</v>
      </c>
      <c r="K260" s="18">
        <v>0.30270000000000002</v>
      </c>
      <c r="L260" s="26" t="b">
        <f t="shared" si="21"/>
        <v>0</v>
      </c>
      <c r="M260" s="26" t="str">
        <f t="shared" si="18"/>
        <v>call</v>
      </c>
      <c r="N260" s="28">
        <f t="shared" si="19"/>
        <v>45954</v>
      </c>
      <c r="O260" s="29">
        <f t="shared" si="20"/>
        <v>19</v>
      </c>
    </row>
    <row r="261" spans="1:15" x14ac:dyDescent="0.45">
      <c r="A261" s="11" t="s">
        <v>323</v>
      </c>
      <c r="B261" s="12">
        <v>45726.413888888892</v>
      </c>
      <c r="C261" s="13">
        <v>315</v>
      </c>
      <c r="D261" s="14">
        <v>0.02</v>
      </c>
      <c r="E261" s="14">
        <v>0</v>
      </c>
      <c r="F261" s="14">
        <v>0.02</v>
      </c>
      <c r="G261" s="19">
        <v>0</v>
      </c>
      <c r="H261" s="20">
        <v>0</v>
      </c>
      <c r="I261" s="14">
        <v>3</v>
      </c>
      <c r="J261" s="14">
        <v>109</v>
      </c>
      <c r="K261" s="18">
        <v>0.3125</v>
      </c>
      <c r="L261" s="26" t="b">
        <f t="shared" si="21"/>
        <v>0</v>
      </c>
      <c r="M261" s="26" t="str">
        <f t="shared" si="18"/>
        <v>call</v>
      </c>
      <c r="N261" s="28">
        <f t="shared" si="19"/>
        <v>45954</v>
      </c>
      <c r="O261" s="29">
        <f t="shared" si="20"/>
        <v>19</v>
      </c>
    </row>
    <row r="262" spans="1:15" x14ac:dyDescent="0.45">
      <c r="A262" s="11" t="s">
        <v>324</v>
      </c>
      <c r="B262" s="12">
        <v>45667.651388888888</v>
      </c>
      <c r="C262" s="13">
        <v>320</v>
      </c>
      <c r="D262" s="14">
        <v>0.02</v>
      </c>
      <c r="E262" s="14">
        <v>0</v>
      </c>
      <c r="F262" s="14">
        <v>0.02</v>
      </c>
      <c r="G262" s="15">
        <v>0</v>
      </c>
      <c r="H262" s="16">
        <v>0</v>
      </c>
      <c r="I262" s="14">
        <v>1</v>
      </c>
      <c r="J262" s="14">
        <v>72</v>
      </c>
      <c r="K262" s="18">
        <v>0.33400000000000002</v>
      </c>
      <c r="L262" s="26" t="b">
        <f t="shared" si="21"/>
        <v>0</v>
      </c>
      <c r="M262" s="26" t="str">
        <f t="shared" si="18"/>
        <v>call</v>
      </c>
      <c r="N262" s="28">
        <f t="shared" si="19"/>
        <v>45954</v>
      </c>
      <c r="O262" s="29">
        <f t="shared" si="20"/>
        <v>19</v>
      </c>
    </row>
    <row r="263" spans="1:15" x14ac:dyDescent="0.45">
      <c r="A263" s="11" t="s">
        <v>325</v>
      </c>
      <c r="B263" s="12">
        <v>45698.451388888891</v>
      </c>
      <c r="C263" s="13">
        <v>325</v>
      </c>
      <c r="D263" s="14">
        <v>0.01</v>
      </c>
      <c r="E263" s="14">
        <v>0</v>
      </c>
      <c r="F263" s="14">
        <v>0.01</v>
      </c>
      <c r="G263" s="15">
        <v>0</v>
      </c>
      <c r="H263" s="16">
        <v>0</v>
      </c>
      <c r="I263" s="14">
        <v>1</v>
      </c>
      <c r="J263" s="14">
        <v>48</v>
      </c>
      <c r="K263" s="18">
        <v>0.33589999999999998</v>
      </c>
      <c r="L263" s="26" t="b">
        <f t="shared" si="21"/>
        <v>0</v>
      </c>
      <c r="M263" s="26" t="str">
        <f t="shared" si="18"/>
        <v>call</v>
      </c>
      <c r="N263" s="28">
        <f t="shared" si="19"/>
        <v>45954</v>
      </c>
      <c r="O263" s="29">
        <f t="shared" si="20"/>
        <v>19</v>
      </c>
    </row>
    <row r="264" spans="1:15" x14ac:dyDescent="0.45">
      <c r="A264" s="11" t="s">
        <v>326</v>
      </c>
      <c r="B264" s="12">
        <v>45726.587500000001</v>
      </c>
      <c r="C264" s="13">
        <v>110</v>
      </c>
      <c r="D264" s="14">
        <v>0.01</v>
      </c>
      <c r="E264" s="14">
        <v>0</v>
      </c>
      <c r="F264" s="14">
        <v>0.24</v>
      </c>
      <c r="G264" s="14">
        <v>-0.03</v>
      </c>
      <c r="H264" s="18">
        <v>-0.75</v>
      </c>
      <c r="I264" s="14">
        <v>3</v>
      </c>
      <c r="J264" s="14">
        <v>50</v>
      </c>
      <c r="K264" s="18">
        <v>1.4648000000000001</v>
      </c>
      <c r="L264" s="26" t="b">
        <f t="shared" si="21"/>
        <v>0</v>
      </c>
      <c r="M264" s="26" t="str">
        <f t="shared" si="18"/>
        <v>put</v>
      </c>
      <c r="N264" s="28">
        <f t="shared" si="19"/>
        <v>45954</v>
      </c>
      <c r="O264" s="29">
        <f t="shared" si="20"/>
        <v>19</v>
      </c>
    </row>
    <row r="265" spans="1:15" x14ac:dyDescent="0.45">
      <c r="A265" s="11" t="s">
        <v>327</v>
      </c>
      <c r="B265" s="12">
        <v>45698.660416666666</v>
      </c>
      <c r="C265" s="13">
        <v>130</v>
      </c>
      <c r="D265" s="14">
        <v>0.01</v>
      </c>
      <c r="E265" s="14">
        <v>0</v>
      </c>
      <c r="F265" s="14">
        <v>0.02</v>
      </c>
      <c r="G265" s="14">
        <v>0</v>
      </c>
      <c r="H265" s="18">
        <v>0</v>
      </c>
      <c r="I265" s="14">
        <v>1</v>
      </c>
      <c r="J265" s="14">
        <v>3</v>
      </c>
      <c r="K265" s="18">
        <v>0.9375</v>
      </c>
      <c r="L265" s="26" t="b">
        <f t="shared" si="21"/>
        <v>0</v>
      </c>
      <c r="M265" s="26" t="str">
        <f t="shared" si="18"/>
        <v>put</v>
      </c>
      <c r="N265" s="28">
        <f t="shared" si="19"/>
        <v>45954</v>
      </c>
      <c r="O265" s="29">
        <f t="shared" si="20"/>
        <v>19</v>
      </c>
    </row>
    <row r="266" spans="1:15" x14ac:dyDescent="0.45">
      <c r="A266" s="11" t="s">
        <v>328</v>
      </c>
      <c r="B266" s="12">
        <v>45698.513194444444</v>
      </c>
      <c r="C266" s="13">
        <v>135</v>
      </c>
      <c r="D266" s="14">
        <v>0.02</v>
      </c>
      <c r="E266" s="14">
        <v>0</v>
      </c>
      <c r="F266" s="14">
        <v>0.02</v>
      </c>
      <c r="G266" s="14">
        <v>0</v>
      </c>
      <c r="H266" s="18">
        <v>0</v>
      </c>
      <c r="I266" s="14">
        <v>100</v>
      </c>
      <c r="J266" s="14">
        <v>103</v>
      </c>
      <c r="K266" s="18">
        <v>0.89059999999999995</v>
      </c>
      <c r="L266" s="26" t="b">
        <f t="shared" si="21"/>
        <v>0</v>
      </c>
      <c r="M266" s="26" t="str">
        <f t="shared" si="18"/>
        <v>put</v>
      </c>
      <c r="N266" s="28">
        <f t="shared" si="19"/>
        <v>45954</v>
      </c>
      <c r="O266" s="29">
        <f t="shared" si="20"/>
        <v>19</v>
      </c>
    </row>
    <row r="267" spans="1:15" x14ac:dyDescent="0.45">
      <c r="A267" s="11" t="s">
        <v>329</v>
      </c>
      <c r="B267" s="12">
        <v>45726.525694444441</v>
      </c>
      <c r="C267" s="13">
        <v>140</v>
      </c>
      <c r="D267" s="14">
        <v>0.01</v>
      </c>
      <c r="E267" s="14">
        <v>0.01</v>
      </c>
      <c r="F267" s="14">
        <v>0.02</v>
      </c>
      <c r="G267" s="14">
        <v>-0.01</v>
      </c>
      <c r="H267" s="18">
        <v>-0.5</v>
      </c>
      <c r="I267" s="14">
        <v>1</v>
      </c>
      <c r="J267" s="14">
        <v>225</v>
      </c>
      <c r="K267" s="18">
        <v>0.875</v>
      </c>
      <c r="L267" s="26" t="b">
        <f t="shared" si="21"/>
        <v>0</v>
      </c>
      <c r="M267" s="26" t="str">
        <f t="shared" si="18"/>
        <v>put</v>
      </c>
      <c r="N267" s="28">
        <f t="shared" si="19"/>
        <v>45954</v>
      </c>
      <c r="O267" s="29">
        <f t="shared" si="20"/>
        <v>19</v>
      </c>
    </row>
    <row r="268" spans="1:15" x14ac:dyDescent="0.45">
      <c r="A268" s="11" t="s">
        <v>330</v>
      </c>
      <c r="B268" s="14" t="s">
        <v>331</v>
      </c>
      <c r="C268" s="13">
        <v>145</v>
      </c>
      <c r="D268" s="14">
        <v>0.02</v>
      </c>
      <c r="E268" s="14">
        <v>0</v>
      </c>
      <c r="F268" s="14">
        <v>0.03</v>
      </c>
      <c r="G268" s="14">
        <v>0</v>
      </c>
      <c r="H268" s="18">
        <v>0</v>
      </c>
      <c r="I268" s="14">
        <v>1</v>
      </c>
      <c r="J268" s="14">
        <v>46</v>
      </c>
      <c r="K268" s="18">
        <v>0.82809999999999995</v>
      </c>
      <c r="L268" s="26" t="b">
        <f t="shared" si="21"/>
        <v>0</v>
      </c>
      <c r="M268" s="26" t="str">
        <f t="shared" si="18"/>
        <v>put</v>
      </c>
      <c r="N268" s="28">
        <f t="shared" si="19"/>
        <v>45954</v>
      </c>
      <c r="O268" s="29">
        <f t="shared" si="20"/>
        <v>19</v>
      </c>
    </row>
    <row r="269" spans="1:15" x14ac:dyDescent="0.45">
      <c r="A269" s="11" t="s">
        <v>332</v>
      </c>
      <c r="B269" s="12">
        <v>45698.436111111114</v>
      </c>
      <c r="C269" s="13">
        <v>150</v>
      </c>
      <c r="D269" s="14">
        <v>0.01</v>
      </c>
      <c r="E269" s="14">
        <v>0.01</v>
      </c>
      <c r="F269" s="14">
        <v>0.03</v>
      </c>
      <c r="G269" s="14">
        <v>0</v>
      </c>
      <c r="H269" s="18">
        <v>0</v>
      </c>
      <c r="I269" s="14">
        <v>75</v>
      </c>
      <c r="J269" s="14">
        <v>73</v>
      </c>
      <c r="K269" s="18">
        <v>0.79690000000000005</v>
      </c>
      <c r="L269" s="26" t="b">
        <f t="shared" si="21"/>
        <v>0</v>
      </c>
      <c r="M269" s="26" t="str">
        <f t="shared" si="18"/>
        <v>put</v>
      </c>
      <c r="N269" s="28">
        <f t="shared" si="19"/>
        <v>45954</v>
      </c>
      <c r="O269" s="29">
        <f t="shared" si="20"/>
        <v>19</v>
      </c>
    </row>
    <row r="270" spans="1:15" x14ac:dyDescent="0.45">
      <c r="A270" s="11" t="s">
        <v>333</v>
      </c>
      <c r="B270" s="14" t="s">
        <v>334</v>
      </c>
      <c r="C270" s="13">
        <v>155</v>
      </c>
      <c r="D270" s="14">
        <v>0.05</v>
      </c>
      <c r="E270" s="14">
        <v>0.01</v>
      </c>
      <c r="F270" s="14">
        <v>0.04</v>
      </c>
      <c r="G270" s="14">
        <v>0</v>
      </c>
      <c r="H270" s="18">
        <v>0</v>
      </c>
      <c r="I270" s="14">
        <v>3</v>
      </c>
      <c r="J270" s="14">
        <v>6</v>
      </c>
      <c r="K270" s="18">
        <v>0.76949999999999996</v>
      </c>
      <c r="L270" s="26" t="b">
        <f t="shared" si="21"/>
        <v>0</v>
      </c>
      <c r="M270" s="26" t="str">
        <f t="shared" si="18"/>
        <v>put</v>
      </c>
      <c r="N270" s="28">
        <f t="shared" si="19"/>
        <v>45954</v>
      </c>
      <c r="O270" s="29">
        <f t="shared" si="20"/>
        <v>19</v>
      </c>
    </row>
    <row r="271" spans="1:15" x14ac:dyDescent="0.45">
      <c r="A271" s="11" t="s">
        <v>335</v>
      </c>
      <c r="B271" s="14" t="s">
        <v>336</v>
      </c>
      <c r="C271" s="13">
        <v>160</v>
      </c>
      <c r="D271" s="14">
        <v>0.03</v>
      </c>
      <c r="E271" s="14">
        <v>0.01</v>
      </c>
      <c r="F271" s="14">
        <v>0.04</v>
      </c>
      <c r="G271" s="14">
        <v>0.01</v>
      </c>
      <c r="H271" s="18">
        <v>0.5</v>
      </c>
      <c r="I271" s="14">
        <v>4</v>
      </c>
      <c r="J271" s="14">
        <v>26</v>
      </c>
      <c r="K271" s="18">
        <v>0.72660000000000002</v>
      </c>
      <c r="L271" s="26" t="b">
        <f t="shared" si="21"/>
        <v>0</v>
      </c>
      <c r="M271" s="26" t="str">
        <f t="shared" si="18"/>
        <v>put</v>
      </c>
      <c r="N271" s="28">
        <f t="shared" si="19"/>
        <v>45954</v>
      </c>
      <c r="O271" s="29">
        <f t="shared" si="20"/>
        <v>19</v>
      </c>
    </row>
    <row r="272" spans="1:15" x14ac:dyDescent="0.45">
      <c r="A272" s="11" t="s">
        <v>337</v>
      </c>
      <c r="B272" s="14" t="s">
        <v>338</v>
      </c>
      <c r="C272" s="13">
        <v>165</v>
      </c>
      <c r="D272" s="14">
        <v>0.05</v>
      </c>
      <c r="E272" s="14">
        <v>0.01</v>
      </c>
      <c r="F272" s="14">
        <v>0.05</v>
      </c>
      <c r="G272" s="14">
        <v>0</v>
      </c>
      <c r="H272" s="18">
        <v>0</v>
      </c>
      <c r="I272" s="14">
        <v>1</v>
      </c>
      <c r="J272" s="14">
        <v>16</v>
      </c>
      <c r="K272" s="18">
        <v>0.69530000000000003</v>
      </c>
      <c r="L272" s="26" t="b">
        <f t="shared" si="21"/>
        <v>0</v>
      </c>
      <c r="M272" s="26" t="str">
        <f t="shared" si="18"/>
        <v>put</v>
      </c>
      <c r="N272" s="28">
        <f t="shared" si="19"/>
        <v>45954</v>
      </c>
      <c r="O272" s="29">
        <f t="shared" si="20"/>
        <v>19</v>
      </c>
    </row>
    <row r="273" spans="1:15" x14ac:dyDescent="0.45">
      <c r="A273" s="11" t="s">
        <v>339</v>
      </c>
      <c r="B273" s="12">
        <v>45726.40902777778</v>
      </c>
      <c r="C273" s="13">
        <v>170</v>
      </c>
      <c r="D273" s="14">
        <v>0.04</v>
      </c>
      <c r="E273" s="14">
        <v>0.02</v>
      </c>
      <c r="F273" s="14">
        <v>0.05</v>
      </c>
      <c r="G273" s="14">
        <v>0</v>
      </c>
      <c r="H273" s="18">
        <v>0</v>
      </c>
      <c r="I273" s="14">
        <v>1</v>
      </c>
      <c r="J273" s="14">
        <v>55</v>
      </c>
      <c r="K273" s="18">
        <v>0.66020000000000001</v>
      </c>
      <c r="L273" s="26" t="b">
        <f t="shared" si="21"/>
        <v>0</v>
      </c>
      <c r="M273" s="26" t="str">
        <f t="shared" si="18"/>
        <v>put</v>
      </c>
      <c r="N273" s="28">
        <f t="shared" si="19"/>
        <v>45954</v>
      </c>
      <c r="O273" s="29">
        <f t="shared" si="20"/>
        <v>19</v>
      </c>
    </row>
    <row r="274" spans="1:15" x14ac:dyDescent="0.45">
      <c r="A274" s="11" t="s">
        <v>340</v>
      </c>
      <c r="B274" s="12">
        <v>45726.572916666664</v>
      </c>
      <c r="C274" s="13">
        <v>175</v>
      </c>
      <c r="D274" s="14">
        <v>0.05</v>
      </c>
      <c r="E274" s="14">
        <v>0.03</v>
      </c>
      <c r="F274" s="14">
        <v>0.06</v>
      </c>
      <c r="G274" s="14">
        <v>0</v>
      </c>
      <c r="H274" s="18">
        <v>0</v>
      </c>
      <c r="I274" s="14">
        <v>50</v>
      </c>
      <c r="J274" s="14">
        <v>34</v>
      </c>
      <c r="K274" s="18">
        <v>0.63670000000000004</v>
      </c>
      <c r="L274" s="26" t="b">
        <f t="shared" si="21"/>
        <v>0</v>
      </c>
      <c r="M274" s="26" t="str">
        <f t="shared" si="18"/>
        <v>put</v>
      </c>
      <c r="N274" s="28">
        <f t="shared" si="19"/>
        <v>45954</v>
      </c>
      <c r="O274" s="29">
        <f t="shared" si="20"/>
        <v>19</v>
      </c>
    </row>
    <row r="275" spans="1:15" x14ac:dyDescent="0.45">
      <c r="A275" s="11" t="s">
        <v>341</v>
      </c>
      <c r="B275" s="12">
        <v>45698.493750000001</v>
      </c>
      <c r="C275" s="13">
        <v>180</v>
      </c>
      <c r="D275" s="14">
        <v>0.05</v>
      </c>
      <c r="E275" s="14">
        <v>0.03</v>
      </c>
      <c r="F275" s="14">
        <v>0.06</v>
      </c>
      <c r="G275" s="14">
        <v>0</v>
      </c>
      <c r="H275" s="18">
        <v>0</v>
      </c>
      <c r="I275" s="14">
        <v>1</v>
      </c>
      <c r="J275" s="14">
        <v>35</v>
      </c>
      <c r="K275" s="18">
        <v>0.59379999999999999</v>
      </c>
      <c r="L275" s="26" t="b">
        <f t="shared" si="21"/>
        <v>0</v>
      </c>
      <c r="M275" s="26" t="str">
        <f t="shared" si="18"/>
        <v>put</v>
      </c>
      <c r="N275" s="28">
        <f t="shared" si="19"/>
        <v>45954</v>
      </c>
      <c r="O275" s="29">
        <f t="shared" si="20"/>
        <v>19</v>
      </c>
    </row>
    <row r="276" spans="1:15" x14ac:dyDescent="0.45">
      <c r="A276" s="11" t="s">
        <v>342</v>
      </c>
      <c r="B276" s="12">
        <v>45726.45416666667</v>
      </c>
      <c r="C276" s="13">
        <v>185</v>
      </c>
      <c r="D276" s="14">
        <v>0.05</v>
      </c>
      <c r="E276" s="14">
        <v>0.04</v>
      </c>
      <c r="F276" s="14">
        <v>7.0000000000000007E-2</v>
      </c>
      <c r="G276" s="19">
        <v>-0.02</v>
      </c>
      <c r="H276" s="20">
        <v>-0.28570000000000001</v>
      </c>
      <c r="I276" s="14">
        <v>20</v>
      </c>
      <c r="J276" s="14">
        <v>556</v>
      </c>
      <c r="K276" s="18">
        <v>0.5645</v>
      </c>
      <c r="L276" s="26" t="b">
        <f t="shared" si="21"/>
        <v>0</v>
      </c>
      <c r="M276" s="26" t="str">
        <f t="shared" si="18"/>
        <v>put</v>
      </c>
      <c r="N276" s="28">
        <f t="shared" si="19"/>
        <v>45954</v>
      </c>
      <c r="O276" s="29">
        <f t="shared" si="20"/>
        <v>19</v>
      </c>
    </row>
    <row r="277" spans="1:15" x14ac:dyDescent="0.45">
      <c r="A277" s="11" t="s">
        <v>343</v>
      </c>
      <c r="B277" s="12">
        <v>45726.540972222225</v>
      </c>
      <c r="C277" s="13">
        <v>190</v>
      </c>
      <c r="D277" s="14">
        <v>0.06</v>
      </c>
      <c r="E277" s="14">
        <v>0.06</v>
      </c>
      <c r="F277" s="14">
        <v>0.08</v>
      </c>
      <c r="G277" s="14">
        <v>-0.02</v>
      </c>
      <c r="H277" s="18">
        <v>-0.25</v>
      </c>
      <c r="I277" s="14">
        <v>1</v>
      </c>
      <c r="J277" s="14">
        <v>65</v>
      </c>
      <c r="K277" s="18">
        <v>0.53910000000000002</v>
      </c>
      <c r="L277" s="26" t="b">
        <f t="shared" si="21"/>
        <v>0</v>
      </c>
      <c r="M277" s="26" t="str">
        <f t="shared" si="18"/>
        <v>put</v>
      </c>
      <c r="N277" s="28">
        <f t="shared" si="19"/>
        <v>45954</v>
      </c>
      <c r="O277" s="29">
        <f t="shared" si="20"/>
        <v>19</v>
      </c>
    </row>
    <row r="278" spans="1:15" x14ac:dyDescent="0.45">
      <c r="A278" s="11" t="s">
        <v>344</v>
      </c>
      <c r="B278" s="12">
        <v>45726.411111111112</v>
      </c>
      <c r="C278" s="13">
        <v>195</v>
      </c>
      <c r="D278" s="14">
        <v>7.0000000000000007E-2</v>
      </c>
      <c r="E278" s="14">
        <v>0.05</v>
      </c>
      <c r="F278" s="14">
        <v>0.08</v>
      </c>
      <c r="G278" s="15">
        <v>-0.01</v>
      </c>
      <c r="H278" s="16">
        <v>-0.125</v>
      </c>
      <c r="I278" s="14">
        <v>4</v>
      </c>
      <c r="J278" s="14">
        <v>178</v>
      </c>
      <c r="K278" s="18">
        <v>0.50590000000000002</v>
      </c>
      <c r="L278" s="26" t="b">
        <f t="shared" si="21"/>
        <v>0</v>
      </c>
      <c r="M278" s="26" t="str">
        <f t="shared" si="18"/>
        <v>put</v>
      </c>
      <c r="N278" s="28">
        <f t="shared" si="19"/>
        <v>45954</v>
      </c>
      <c r="O278" s="29">
        <f t="shared" si="20"/>
        <v>19</v>
      </c>
    </row>
    <row r="279" spans="1:15" x14ac:dyDescent="0.45">
      <c r="A279" s="11" t="s">
        <v>345</v>
      </c>
      <c r="B279" s="12">
        <v>45726.646527777775</v>
      </c>
      <c r="C279" s="13">
        <v>200</v>
      </c>
      <c r="D279" s="14">
        <v>0.09</v>
      </c>
      <c r="E279" s="14">
        <v>0.08</v>
      </c>
      <c r="F279" s="14">
        <v>0.1</v>
      </c>
      <c r="G279" s="15">
        <v>-0.01</v>
      </c>
      <c r="H279" s="16">
        <v>-0.1</v>
      </c>
      <c r="I279" s="14">
        <v>11</v>
      </c>
      <c r="J279" s="17">
        <v>2589</v>
      </c>
      <c r="K279" s="18">
        <v>0.47849999999999998</v>
      </c>
      <c r="L279" s="26" t="b">
        <f t="shared" si="21"/>
        <v>0</v>
      </c>
      <c r="M279" s="26" t="str">
        <f t="shared" si="18"/>
        <v>put</v>
      </c>
      <c r="N279" s="28">
        <f t="shared" si="19"/>
        <v>45954</v>
      </c>
      <c r="O279" s="29">
        <f t="shared" si="20"/>
        <v>19</v>
      </c>
    </row>
    <row r="280" spans="1:15" x14ac:dyDescent="0.45">
      <c r="A280" s="11" t="s">
        <v>346</v>
      </c>
      <c r="B280" s="12">
        <v>45726.554861111108</v>
      </c>
      <c r="C280" s="13">
        <v>205</v>
      </c>
      <c r="D280" s="14">
        <v>0.1</v>
      </c>
      <c r="E280" s="14">
        <v>0.09</v>
      </c>
      <c r="F280" s="14">
        <v>0.11</v>
      </c>
      <c r="G280" s="15">
        <v>-0.01</v>
      </c>
      <c r="H280" s="16">
        <v>-9.0899999999999995E-2</v>
      </c>
      <c r="I280" s="14">
        <v>28</v>
      </c>
      <c r="J280" s="17">
        <v>2448</v>
      </c>
      <c r="K280" s="18">
        <v>0.44240000000000002</v>
      </c>
      <c r="L280" s="26" t="b">
        <f t="shared" si="21"/>
        <v>0</v>
      </c>
      <c r="M280" s="26" t="str">
        <f t="shared" si="18"/>
        <v>put</v>
      </c>
      <c r="N280" s="28">
        <f t="shared" si="19"/>
        <v>45954</v>
      </c>
      <c r="O280" s="29">
        <f t="shared" si="20"/>
        <v>19</v>
      </c>
    </row>
    <row r="281" spans="1:15" x14ac:dyDescent="0.45">
      <c r="A281" s="11" t="s">
        <v>347</v>
      </c>
      <c r="B281" s="12">
        <v>45726.647222222222</v>
      </c>
      <c r="C281" s="13">
        <v>210</v>
      </c>
      <c r="D281" s="14">
        <v>0.12</v>
      </c>
      <c r="E281" s="14">
        <v>0.11</v>
      </c>
      <c r="F281" s="14">
        <v>0.13</v>
      </c>
      <c r="G281" s="14">
        <v>-0.01</v>
      </c>
      <c r="H281" s="18">
        <v>-7.6899999999999996E-2</v>
      </c>
      <c r="I281" s="14">
        <v>212</v>
      </c>
      <c r="J281" s="14">
        <v>654</v>
      </c>
      <c r="K281" s="18">
        <v>0.41110000000000002</v>
      </c>
      <c r="L281" s="26" t="b">
        <f t="shared" si="21"/>
        <v>0</v>
      </c>
      <c r="M281" s="26" t="str">
        <f t="shared" si="18"/>
        <v>put</v>
      </c>
      <c r="N281" s="28">
        <f t="shared" si="19"/>
        <v>45954</v>
      </c>
      <c r="O281" s="29">
        <f t="shared" si="20"/>
        <v>19</v>
      </c>
    </row>
    <row r="282" spans="1:15" x14ac:dyDescent="0.45">
      <c r="A282" s="11" t="s">
        <v>348</v>
      </c>
      <c r="B282" s="12">
        <v>45726.526388888888</v>
      </c>
      <c r="C282" s="13">
        <v>215</v>
      </c>
      <c r="D282" s="14">
        <v>0.15</v>
      </c>
      <c r="E282" s="14">
        <v>0.13</v>
      </c>
      <c r="F282" s="14">
        <v>0.16</v>
      </c>
      <c r="G282" s="14">
        <v>0</v>
      </c>
      <c r="H282" s="18">
        <v>0</v>
      </c>
      <c r="I282" s="14">
        <v>34</v>
      </c>
      <c r="J282" s="14">
        <v>609</v>
      </c>
      <c r="K282" s="18">
        <v>0.38179999999999997</v>
      </c>
      <c r="L282" s="26" t="b">
        <f t="shared" si="21"/>
        <v>0</v>
      </c>
      <c r="M282" s="26" t="str">
        <f t="shared" si="18"/>
        <v>put</v>
      </c>
      <c r="N282" s="28">
        <f t="shared" si="19"/>
        <v>45954</v>
      </c>
      <c r="O282" s="29">
        <f t="shared" si="20"/>
        <v>19</v>
      </c>
    </row>
    <row r="283" spans="1:15" x14ac:dyDescent="0.45">
      <c r="A283" s="11" t="s">
        <v>349</v>
      </c>
      <c r="B283" s="12">
        <v>45726.649305555555</v>
      </c>
      <c r="C283" s="13">
        <v>220</v>
      </c>
      <c r="D283" s="14">
        <v>0.19</v>
      </c>
      <c r="E283" s="14">
        <v>0.18</v>
      </c>
      <c r="F283" s="14">
        <v>0.2</v>
      </c>
      <c r="G283" s="15">
        <v>-0.02</v>
      </c>
      <c r="H283" s="16">
        <v>-9.5200000000000007E-2</v>
      </c>
      <c r="I283" s="14">
        <v>195</v>
      </c>
      <c r="J283" s="17">
        <v>3354</v>
      </c>
      <c r="K283" s="18">
        <v>0.35249999999999998</v>
      </c>
      <c r="L283" s="26" t="b">
        <f t="shared" si="21"/>
        <v>0</v>
      </c>
      <c r="M283" s="26" t="str">
        <f t="shared" si="18"/>
        <v>put</v>
      </c>
      <c r="N283" s="28">
        <f t="shared" si="19"/>
        <v>45954</v>
      </c>
      <c r="O283" s="29">
        <f t="shared" si="20"/>
        <v>19</v>
      </c>
    </row>
    <row r="284" spans="1:15" x14ac:dyDescent="0.45">
      <c r="A284" s="11" t="s">
        <v>350</v>
      </c>
      <c r="B284" s="12">
        <v>45726.647916666669</v>
      </c>
      <c r="C284" s="13">
        <v>225</v>
      </c>
      <c r="D284" s="14">
        <v>0.25</v>
      </c>
      <c r="E284" s="14">
        <v>0.23</v>
      </c>
      <c r="F284" s="14">
        <v>0.26</v>
      </c>
      <c r="G284" s="15">
        <v>-0.02</v>
      </c>
      <c r="H284" s="16">
        <v>-7.4099999999999999E-2</v>
      </c>
      <c r="I284" s="14">
        <v>96</v>
      </c>
      <c r="J284" s="14">
        <v>956</v>
      </c>
      <c r="K284" s="18">
        <v>0.32469999999999999</v>
      </c>
      <c r="L284" s="26" t="b">
        <f t="shared" si="21"/>
        <v>0</v>
      </c>
      <c r="M284" s="26" t="str">
        <f t="shared" si="18"/>
        <v>put</v>
      </c>
      <c r="N284" s="28">
        <f t="shared" si="19"/>
        <v>45954</v>
      </c>
      <c r="O284" s="29">
        <f t="shared" si="20"/>
        <v>19</v>
      </c>
    </row>
    <row r="285" spans="1:15" x14ac:dyDescent="0.45">
      <c r="A285" s="11" t="s">
        <v>351</v>
      </c>
      <c r="B285" s="12">
        <v>45726.665972222225</v>
      </c>
      <c r="C285" s="13">
        <v>230</v>
      </c>
      <c r="D285" s="14">
        <v>0.35</v>
      </c>
      <c r="E285" s="14">
        <v>0.33</v>
      </c>
      <c r="F285" s="14">
        <v>0.36</v>
      </c>
      <c r="G285" s="15">
        <v>-0.04</v>
      </c>
      <c r="H285" s="16">
        <v>-0.1026</v>
      </c>
      <c r="I285" s="14">
        <v>954</v>
      </c>
      <c r="J285" s="17">
        <v>2786</v>
      </c>
      <c r="K285" s="18">
        <v>0.29930000000000001</v>
      </c>
      <c r="L285" s="26" t="b">
        <f t="shared" si="21"/>
        <v>0</v>
      </c>
      <c r="M285" s="26" t="str">
        <f t="shared" si="18"/>
        <v>put</v>
      </c>
      <c r="N285" s="28">
        <f t="shared" si="19"/>
        <v>45954</v>
      </c>
      <c r="O285" s="29">
        <f t="shared" si="20"/>
        <v>19</v>
      </c>
    </row>
    <row r="286" spans="1:15" x14ac:dyDescent="0.45">
      <c r="A286" s="11" t="s">
        <v>352</v>
      </c>
      <c r="B286" s="12">
        <v>45726.665277777778</v>
      </c>
      <c r="C286" s="13">
        <v>235</v>
      </c>
      <c r="D286" s="14">
        <v>0.52</v>
      </c>
      <c r="E286" s="14">
        <v>0.5</v>
      </c>
      <c r="F286" s="14">
        <v>0.53</v>
      </c>
      <c r="G286" s="15">
        <v>-0.09</v>
      </c>
      <c r="H286" s="16">
        <v>-0.14749999999999999</v>
      </c>
      <c r="I286" s="14">
        <v>476</v>
      </c>
      <c r="J286" s="17">
        <v>2622</v>
      </c>
      <c r="K286" s="18">
        <v>0.27660000000000001</v>
      </c>
      <c r="L286" s="26" t="b">
        <f t="shared" si="21"/>
        <v>0</v>
      </c>
      <c r="M286" s="26" t="str">
        <f t="shared" si="18"/>
        <v>put</v>
      </c>
      <c r="N286" s="28">
        <f t="shared" si="19"/>
        <v>45954</v>
      </c>
      <c r="O286" s="29">
        <f t="shared" si="20"/>
        <v>19</v>
      </c>
    </row>
    <row r="287" spans="1:15" x14ac:dyDescent="0.45">
      <c r="A287" s="11" t="s">
        <v>353</v>
      </c>
      <c r="B287" s="12">
        <v>45726.663888888892</v>
      </c>
      <c r="C287" s="13">
        <v>240</v>
      </c>
      <c r="D287" s="14">
        <v>0.83</v>
      </c>
      <c r="E287" s="14">
        <v>0.8</v>
      </c>
      <c r="F287" s="14">
        <v>0.84</v>
      </c>
      <c r="G287" s="14">
        <v>-0.14000000000000001</v>
      </c>
      <c r="H287" s="18">
        <v>-0.14430000000000001</v>
      </c>
      <c r="I287" s="14">
        <v>488</v>
      </c>
      <c r="J287" s="17">
        <v>1740</v>
      </c>
      <c r="K287" s="18">
        <v>0.2576</v>
      </c>
      <c r="L287" s="26" t="b">
        <f t="shared" si="21"/>
        <v>0</v>
      </c>
      <c r="M287" s="26" t="str">
        <f t="shared" si="18"/>
        <v>put</v>
      </c>
      <c r="N287" s="28">
        <f t="shared" si="19"/>
        <v>45954</v>
      </c>
      <c r="O287" s="29">
        <f t="shared" si="20"/>
        <v>19</v>
      </c>
    </row>
    <row r="288" spans="1:15" x14ac:dyDescent="0.45">
      <c r="A288" s="11" t="s">
        <v>354</v>
      </c>
      <c r="B288" s="12">
        <v>45726.665972222225</v>
      </c>
      <c r="C288" s="13">
        <v>245</v>
      </c>
      <c r="D288" s="14">
        <v>1.37</v>
      </c>
      <c r="E288" s="14">
        <v>1.35</v>
      </c>
      <c r="F288" s="14">
        <v>1.39</v>
      </c>
      <c r="G288" s="15">
        <v>-0.23</v>
      </c>
      <c r="H288" s="16">
        <v>-0.14380000000000001</v>
      </c>
      <c r="I288" s="17">
        <v>1852</v>
      </c>
      <c r="J288" s="17">
        <v>2872</v>
      </c>
      <c r="K288" s="18">
        <v>0.24179999999999999</v>
      </c>
      <c r="L288" s="26" t="b">
        <f t="shared" si="21"/>
        <v>0</v>
      </c>
      <c r="M288" s="26" t="str">
        <f t="shared" si="18"/>
        <v>put</v>
      </c>
      <c r="N288" s="28">
        <f t="shared" si="19"/>
        <v>45954</v>
      </c>
      <c r="O288" s="29">
        <f t="shared" si="20"/>
        <v>19</v>
      </c>
    </row>
    <row r="289" spans="1:15" x14ac:dyDescent="0.45">
      <c r="A289" s="11" t="s">
        <v>355</v>
      </c>
      <c r="B289" s="12">
        <v>45726.665972222225</v>
      </c>
      <c r="C289" s="13">
        <v>250</v>
      </c>
      <c r="D289" s="14">
        <v>2.3199999999999998</v>
      </c>
      <c r="E289" s="14">
        <v>2.27</v>
      </c>
      <c r="F289" s="14">
        <v>2.33</v>
      </c>
      <c r="G289" s="15">
        <v>-0.24</v>
      </c>
      <c r="H289" s="16">
        <v>-9.3799999999999994E-2</v>
      </c>
      <c r="I289" s="14">
        <v>901</v>
      </c>
      <c r="J289" s="17">
        <v>1815</v>
      </c>
      <c r="K289" s="18">
        <v>0.2286</v>
      </c>
      <c r="L289" s="26" t="b">
        <f t="shared" si="21"/>
        <v>0</v>
      </c>
      <c r="M289" s="26" t="str">
        <f t="shared" si="18"/>
        <v>put</v>
      </c>
      <c r="N289" s="28">
        <f t="shared" si="19"/>
        <v>45954</v>
      </c>
      <c r="O289" s="29">
        <f t="shared" si="20"/>
        <v>19</v>
      </c>
    </row>
    <row r="290" spans="1:15" x14ac:dyDescent="0.45">
      <c r="A290" s="11" t="s">
        <v>356</v>
      </c>
      <c r="B290" s="12">
        <v>45726.665972222225</v>
      </c>
      <c r="C290" s="13">
        <v>255</v>
      </c>
      <c r="D290" s="14">
        <v>3.8</v>
      </c>
      <c r="E290" s="14">
        <v>3.75</v>
      </c>
      <c r="F290" s="14">
        <v>3.85</v>
      </c>
      <c r="G290" s="15">
        <v>-0.5</v>
      </c>
      <c r="H290" s="16">
        <v>-0.1163</v>
      </c>
      <c r="I290" s="17">
        <v>1540</v>
      </c>
      <c r="J290" s="17">
        <v>2552</v>
      </c>
      <c r="K290" s="18">
        <v>0.218</v>
      </c>
      <c r="L290" s="26" t="b">
        <f t="shared" si="21"/>
        <v>0</v>
      </c>
      <c r="M290" s="26" t="str">
        <f t="shared" si="18"/>
        <v>put</v>
      </c>
      <c r="N290" s="28">
        <f t="shared" si="19"/>
        <v>45954</v>
      </c>
      <c r="O290" s="29">
        <f t="shared" si="20"/>
        <v>19</v>
      </c>
    </row>
    <row r="291" spans="1:15" x14ac:dyDescent="0.45">
      <c r="A291" s="1" t="s">
        <v>357</v>
      </c>
      <c r="B291" s="2">
        <v>45726.665277777778</v>
      </c>
      <c r="C291" s="3">
        <v>260</v>
      </c>
      <c r="D291" s="4">
        <v>6.07</v>
      </c>
      <c r="E291" s="4">
        <v>5.95</v>
      </c>
      <c r="F291" s="4">
        <v>6.05</v>
      </c>
      <c r="G291" s="6">
        <v>-0.63</v>
      </c>
      <c r="H291" s="7">
        <v>-9.4E-2</v>
      </c>
      <c r="I291" s="4">
        <v>888</v>
      </c>
      <c r="J291" s="4">
        <v>430</v>
      </c>
      <c r="K291" s="5">
        <v>0.20669999999999999</v>
      </c>
      <c r="L291" s="26" t="b">
        <f t="shared" si="21"/>
        <v>1</v>
      </c>
      <c r="M291" s="26" t="str">
        <f t="shared" si="18"/>
        <v>put</v>
      </c>
      <c r="N291" s="28">
        <f t="shared" si="19"/>
        <v>45954</v>
      </c>
      <c r="O291" s="29">
        <f t="shared" si="20"/>
        <v>19</v>
      </c>
    </row>
    <row r="292" spans="1:15" x14ac:dyDescent="0.45">
      <c r="A292" s="1" t="s">
        <v>358</v>
      </c>
      <c r="B292" s="2">
        <v>45726.662499999999</v>
      </c>
      <c r="C292" s="3">
        <v>265</v>
      </c>
      <c r="D292" s="4">
        <v>9.1999999999999993</v>
      </c>
      <c r="E292" s="4">
        <v>9</v>
      </c>
      <c r="F292" s="4">
        <v>9.15</v>
      </c>
      <c r="G292" s="8">
        <v>-0.7</v>
      </c>
      <c r="H292" s="9">
        <v>-7.0699999999999999E-2</v>
      </c>
      <c r="I292" s="4">
        <v>33</v>
      </c>
      <c r="J292" s="4">
        <v>42</v>
      </c>
      <c r="K292" s="5">
        <v>0.20019999999999999</v>
      </c>
      <c r="L292" s="26" t="b">
        <f t="shared" si="21"/>
        <v>1</v>
      </c>
      <c r="M292" s="26" t="str">
        <f t="shared" ref="M292:M299" si="22">IF(MID(A292,11,1)="C","call","put")</f>
        <v>put</v>
      </c>
      <c r="N292" s="28">
        <f t="shared" ref="N292:N299" si="23">DATE(MID(A292,5,2)+2000,MID(A292,7,2),MID(A292,9,2))</f>
        <v>45954</v>
      </c>
      <c r="O292" s="29">
        <f t="shared" si="20"/>
        <v>19</v>
      </c>
    </row>
    <row r="293" spans="1:15" x14ac:dyDescent="0.45">
      <c r="A293" s="1" t="s">
        <v>359</v>
      </c>
      <c r="B293" s="2">
        <v>45726.560416666667</v>
      </c>
      <c r="C293" s="3">
        <v>270</v>
      </c>
      <c r="D293" s="4">
        <v>12.75</v>
      </c>
      <c r="E293" s="4">
        <v>12.65</v>
      </c>
      <c r="F293" s="4">
        <v>13.05</v>
      </c>
      <c r="G293" s="8">
        <v>-0.71</v>
      </c>
      <c r="H293" s="9">
        <v>-5.2699999999999997E-2</v>
      </c>
      <c r="I293" s="4">
        <v>30</v>
      </c>
      <c r="J293" s="4">
        <v>226</v>
      </c>
      <c r="K293" s="5">
        <v>0.19869999999999999</v>
      </c>
      <c r="L293" s="26" t="b">
        <f t="shared" si="21"/>
        <v>1</v>
      </c>
      <c r="M293" s="26" t="str">
        <f t="shared" si="22"/>
        <v>put</v>
      </c>
      <c r="N293" s="28">
        <f t="shared" si="23"/>
        <v>45954</v>
      </c>
      <c r="O293" s="29">
        <f t="shared" si="20"/>
        <v>19</v>
      </c>
    </row>
    <row r="294" spans="1:15" x14ac:dyDescent="0.45">
      <c r="A294" s="1" t="s">
        <v>360</v>
      </c>
      <c r="B294" s="2">
        <v>45698.599305555559</v>
      </c>
      <c r="C294" s="3">
        <v>275</v>
      </c>
      <c r="D294" s="4">
        <v>17.739999999999998</v>
      </c>
      <c r="E294" s="4">
        <v>17.05</v>
      </c>
      <c r="F294" s="4">
        <v>17.600000000000001</v>
      </c>
      <c r="G294" s="8">
        <v>0</v>
      </c>
      <c r="H294" s="9">
        <v>0</v>
      </c>
      <c r="I294" s="4">
        <v>3</v>
      </c>
      <c r="J294" s="4">
        <v>104</v>
      </c>
      <c r="K294" s="5">
        <v>0.21190000000000001</v>
      </c>
      <c r="L294" s="26" t="b">
        <f t="shared" si="21"/>
        <v>1</v>
      </c>
      <c r="M294" s="26" t="str">
        <f t="shared" si="22"/>
        <v>put</v>
      </c>
      <c r="N294" s="28">
        <f t="shared" si="23"/>
        <v>45954</v>
      </c>
      <c r="O294" s="29">
        <f t="shared" si="20"/>
        <v>19</v>
      </c>
    </row>
    <row r="295" spans="1:15" x14ac:dyDescent="0.45">
      <c r="A295" s="1" t="s">
        <v>361</v>
      </c>
      <c r="B295" s="2">
        <v>45726.555555555555</v>
      </c>
      <c r="C295" s="3">
        <v>280</v>
      </c>
      <c r="D295" s="4">
        <v>21.55</v>
      </c>
      <c r="E295" s="4">
        <v>21.65</v>
      </c>
      <c r="F295" s="4">
        <v>22.4</v>
      </c>
      <c r="G295" s="8">
        <v>-0.75</v>
      </c>
      <c r="H295" s="9">
        <v>-3.3599999999999998E-2</v>
      </c>
      <c r="I295" s="4">
        <v>6</v>
      </c>
      <c r="J295" s="4">
        <v>6</v>
      </c>
      <c r="K295" s="5">
        <v>0.2319</v>
      </c>
      <c r="L295" s="26" t="b">
        <f t="shared" si="21"/>
        <v>1</v>
      </c>
      <c r="M295" s="26" t="str">
        <f t="shared" si="22"/>
        <v>put</v>
      </c>
      <c r="N295" s="28">
        <f t="shared" si="23"/>
        <v>45954</v>
      </c>
      <c r="O295" s="29">
        <f t="shared" si="20"/>
        <v>19</v>
      </c>
    </row>
    <row r="296" spans="1:15" x14ac:dyDescent="0.45">
      <c r="A296" s="1" t="s">
        <v>362</v>
      </c>
      <c r="B296" s="2">
        <v>45909.55</v>
      </c>
      <c r="C296" s="3">
        <v>290</v>
      </c>
      <c r="D296" s="4">
        <v>51.75</v>
      </c>
      <c r="E296" s="4">
        <v>31.4</v>
      </c>
      <c r="F296" s="4">
        <v>32.6</v>
      </c>
      <c r="G296" s="8">
        <v>0</v>
      </c>
      <c r="H296" s="9">
        <v>0</v>
      </c>
      <c r="I296" s="4">
        <v>0</v>
      </c>
      <c r="J296" s="4">
        <v>0</v>
      </c>
      <c r="K296" s="5">
        <v>0.33250000000000002</v>
      </c>
      <c r="L296" s="26" t="b">
        <f t="shared" si="21"/>
        <v>1</v>
      </c>
      <c r="M296" s="26" t="str">
        <f t="shared" si="22"/>
        <v>put</v>
      </c>
      <c r="N296" s="28">
        <f t="shared" si="23"/>
        <v>45954</v>
      </c>
      <c r="O296" s="29">
        <f t="shared" si="20"/>
        <v>19</v>
      </c>
    </row>
    <row r="297" spans="1:15" x14ac:dyDescent="0.45">
      <c r="A297" s="1" t="s">
        <v>363</v>
      </c>
      <c r="B297" s="2">
        <v>45667.415972222225</v>
      </c>
      <c r="C297" s="3">
        <v>295</v>
      </c>
      <c r="D297" s="4">
        <v>38.47</v>
      </c>
      <c r="E297" s="4">
        <v>36.4</v>
      </c>
      <c r="F297" s="4">
        <v>37.4</v>
      </c>
      <c r="G297" s="8">
        <v>0</v>
      </c>
      <c r="H297" s="9">
        <v>0</v>
      </c>
      <c r="I297" s="4">
        <v>1</v>
      </c>
      <c r="J297" s="4">
        <v>0</v>
      </c>
      <c r="K297" s="5">
        <v>0.34060000000000001</v>
      </c>
      <c r="L297" s="26" t="b">
        <f t="shared" si="21"/>
        <v>1</v>
      </c>
      <c r="M297" s="26" t="str">
        <f t="shared" si="22"/>
        <v>put</v>
      </c>
      <c r="N297" s="28">
        <f t="shared" si="23"/>
        <v>45954</v>
      </c>
      <c r="O297" s="29">
        <f t="shared" si="20"/>
        <v>19</v>
      </c>
    </row>
    <row r="298" spans="1:15" x14ac:dyDescent="0.45">
      <c r="A298" s="1" t="s">
        <v>364</v>
      </c>
      <c r="B298" s="4" t="s">
        <v>365</v>
      </c>
      <c r="C298" s="3">
        <v>300</v>
      </c>
      <c r="D298" s="4">
        <v>44.2</v>
      </c>
      <c r="E298" s="4">
        <v>41.4</v>
      </c>
      <c r="F298" s="4">
        <v>42.55</v>
      </c>
      <c r="G298" s="8">
        <v>0</v>
      </c>
      <c r="H298" s="9">
        <v>0</v>
      </c>
      <c r="I298" s="4">
        <v>0</v>
      </c>
      <c r="J298" s="4">
        <v>0</v>
      </c>
      <c r="K298" s="5">
        <v>0.3972</v>
      </c>
      <c r="L298" s="26" t="b">
        <f t="shared" si="21"/>
        <v>1</v>
      </c>
      <c r="M298" s="26" t="str">
        <f t="shared" si="22"/>
        <v>put</v>
      </c>
      <c r="N298" s="28">
        <f t="shared" si="23"/>
        <v>45954</v>
      </c>
      <c r="O298" s="29">
        <f t="shared" si="20"/>
        <v>19</v>
      </c>
    </row>
    <row r="299" spans="1:15" x14ac:dyDescent="0.45">
      <c r="A299" s="21" t="s">
        <v>366</v>
      </c>
      <c r="B299" s="30">
        <v>45939.527083333334</v>
      </c>
      <c r="C299" s="23">
        <v>325</v>
      </c>
      <c r="D299" s="22">
        <v>97.87</v>
      </c>
      <c r="E299" s="22">
        <v>66.45</v>
      </c>
      <c r="F299" s="22">
        <v>67.349999999999994</v>
      </c>
      <c r="G299" s="31">
        <v>0</v>
      </c>
      <c r="H299" s="32">
        <v>0</v>
      </c>
      <c r="I299" s="22">
        <v>0</v>
      </c>
      <c r="J299" s="22">
        <v>0</v>
      </c>
      <c r="K299" s="24">
        <v>0.5151</v>
      </c>
      <c r="L299" s="26" t="b">
        <f t="shared" si="21"/>
        <v>1</v>
      </c>
      <c r="M299" s="26" t="str">
        <f t="shared" si="22"/>
        <v>put</v>
      </c>
      <c r="N299" s="28">
        <f t="shared" si="23"/>
        <v>45954</v>
      </c>
      <c r="O299" s="29">
        <f t="shared" si="20"/>
        <v>19</v>
      </c>
    </row>
    <row r="300" spans="1:15" x14ac:dyDescent="0.45">
      <c r="A300" s="1" t="s">
        <v>367</v>
      </c>
      <c r="B300" s="2">
        <v>45667.461111111108</v>
      </c>
      <c r="C300" s="3">
        <v>140</v>
      </c>
      <c r="D300" s="4">
        <v>116.35</v>
      </c>
      <c r="E300" s="4">
        <v>118.05</v>
      </c>
      <c r="F300" s="4">
        <v>119.05</v>
      </c>
      <c r="G300" s="4">
        <v>0</v>
      </c>
      <c r="H300" s="5">
        <v>0</v>
      </c>
      <c r="I300" s="4">
        <v>1</v>
      </c>
      <c r="J300" s="4">
        <v>3</v>
      </c>
      <c r="K300" s="5">
        <v>1.1382000000000001</v>
      </c>
      <c r="L300" s="26" t="b">
        <f t="shared" si="21"/>
        <v>1</v>
      </c>
      <c r="M300" s="26" t="str">
        <f t="shared" ref="M300:M360" si="24">IF(MID(A300,11,1)="C","call","put")</f>
        <v>call</v>
      </c>
      <c r="N300" s="28">
        <f t="shared" ref="N300:N360" si="25">DATE(MID(A300,5,2)+2000,MID(A300,7,2),MID(A300,9,2))</f>
        <v>45961</v>
      </c>
      <c r="O300" s="29">
        <f t="shared" si="20"/>
        <v>26</v>
      </c>
    </row>
    <row r="301" spans="1:15" x14ac:dyDescent="0.45">
      <c r="A301" s="1" t="s">
        <v>368</v>
      </c>
      <c r="B301" s="4" t="s">
        <v>369</v>
      </c>
      <c r="C301" s="3">
        <v>155</v>
      </c>
      <c r="D301" s="4">
        <v>99.15</v>
      </c>
      <c r="E301" s="4">
        <v>102.7</v>
      </c>
      <c r="F301" s="4">
        <v>104.25</v>
      </c>
      <c r="G301" s="4">
        <v>0</v>
      </c>
      <c r="H301" s="5">
        <v>0</v>
      </c>
      <c r="I301" s="4">
        <v>1</v>
      </c>
      <c r="J301" s="4">
        <v>1</v>
      </c>
      <c r="K301" s="5">
        <v>0.94479999999999997</v>
      </c>
      <c r="L301" s="26" t="b">
        <f t="shared" si="21"/>
        <v>1</v>
      </c>
      <c r="M301" s="26" t="str">
        <f t="shared" si="24"/>
        <v>call</v>
      </c>
      <c r="N301" s="28">
        <f t="shared" si="25"/>
        <v>45961</v>
      </c>
      <c r="O301" s="29">
        <f t="shared" si="20"/>
        <v>26</v>
      </c>
    </row>
    <row r="302" spans="1:15" x14ac:dyDescent="0.45">
      <c r="A302" s="1" t="s">
        <v>370</v>
      </c>
      <c r="B302" s="4" t="s">
        <v>371</v>
      </c>
      <c r="C302" s="3">
        <v>170</v>
      </c>
      <c r="D302" s="4">
        <v>84.96</v>
      </c>
      <c r="E302" s="4">
        <v>87.95</v>
      </c>
      <c r="F302" s="4">
        <v>89.1</v>
      </c>
      <c r="G302" s="4">
        <v>0</v>
      </c>
      <c r="H302" s="5">
        <v>0</v>
      </c>
      <c r="I302" s="4">
        <v>1</v>
      </c>
      <c r="J302" s="4">
        <v>7</v>
      </c>
      <c r="K302" s="5">
        <v>0.80659999999999998</v>
      </c>
      <c r="L302" s="26" t="b">
        <f t="shared" si="21"/>
        <v>1</v>
      </c>
      <c r="M302" s="26" t="str">
        <f t="shared" si="24"/>
        <v>call</v>
      </c>
      <c r="N302" s="28">
        <f t="shared" si="25"/>
        <v>45961</v>
      </c>
      <c r="O302" s="29">
        <f t="shared" si="20"/>
        <v>26</v>
      </c>
    </row>
    <row r="303" spans="1:15" x14ac:dyDescent="0.45">
      <c r="A303" s="1" t="s">
        <v>372</v>
      </c>
      <c r="B303" s="2">
        <v>45726.425694444442</v>
      </c>
      <c r="C303" s="3">
        <v>180</v>
      </c>
      <c r="D303" s="4">
        <v>79.38</v>
      </c>
      <c r="E303" s="4">
        <v>78.150000000000006</v>
      </c>
      <c r="F303" s="4">
        <v>79.400000000000006</v>
      </c>
      <c r="G303" s="4">
        <v>2.33</v>
      </c>
      <c r="H303" s="5">
        <v>3.0200000000000001E-2</v>
      </c>
      <c r="I303" s="4">
        <v>9</v>
      </c>
      <c r="J303" s="4">
        <v>12</v>
      </c>
      <c r="K303" s="5">
        <v>0.76419999999999999</v>
      </c>
      <c r="L303" s="26" t="b">
        <f t="shared" si="21"/>
        <v>1</v>
      </c>
      <c r="M303" s="26" t="str">
        <f t="shared" si="24"/>
        <v>call</v>
      </c>
      <c r="N303" s="28">
        <f t="shared" si="25"/>
        <v>45961</v>
      </c>
      <c r="O303" s="29">
        <f t="shared" si="20"/>
        <v>26</v>
      </c>
    </row>
    <row r="304" spans="1:15" x14ac:dyDescent="0.45">
      <c r="A304" s="1" t="s">
        <v>373</v>
      </c>
      <c r="B304" s="4" t="s">
        <v>374</v>
      </c>
      <c r="C304" s="3">
        <v>185</v>
      </c>
      <c r="D304" s="4">
        <v>72.14</v>
      </c>
      <c r="E304" s="4">
        <v>73.05</v>
      </c>
      <c r="F304" s="4">
        <v>74.150000000000006</v>
      </c>
      <c r="G304" s="4">
        <v>0</v>
      </c>
      <c r="H304" s="5">
        <v>0</v>
      </c>
      <c r="I304" s="4">
        <v>2</v>
      </c>
      <c r="J304" s="4">
        <v>4</v>
      </c>
      <c r="K304" s="5">
        <v>0.6804</v>
      </c>
      <c r="L304" s="26" t="b">
        <f t="shared" si="21"/>
        <v>1</v>
      </c>
      <c r="M304" s="26" t="str">
        <f t="shared" si="24"/>
        <v>call</v>
      </c>
      <c r="N304" s="28">
        <f t="shared" si="25"/>
        <v>45961</v>
      </c>
      <c r="O304" s="29">
        <f t="shared" si="20"/>
        <v>26</v>
      </c>
    </row>
    <row r="305" spans="1:15" x14ac:dyDescent="0.45">
      <c r="A305" s="1" t="s">
        <v>375</v>
      </c>
      <c r="B305" s="2">
        <v>45698.417361111111</v>
      </c>
      <c r="C305" s="3">
        <v>190</v>
      </c>
      <c r="D305" s="4">
        <v>66.78</v>
      </c>
      <c r="E305" s="4">
        <v>67.95</v>
      </c>
      <c r="F305" s="4">
        <v>69.150000000000006</v>
      </c>
      <c r="G305" s="4">
        <v>0</v>
      </c>
      <c r="H305" s="5">
        <v>0</v>
      </c>
      <c r="I305" s="4">
        <v>1</v>
      </c>
      <c r="J305" s="4">
        <v>6</v>
      </c>
      <c r="K305" s="5">
        <v>0.62350000000000005</v>
      </c>
      <c r="L305" s="26" t="b">
        <f t="shared" si="21"/>
        <v>1</v>
      </c>
      <c r="M305" s="26" t="str">
        <f t="shared" si="24"/>
        <v>call</v>
      </c>
      <c r="N305" s="28">
        <f t="shared" si="25"/>
        <v>45961</v>
      </c>
      <c r="O305" s="29">
        <f t="shared" si="20"/>
        <v>26</v>
      </c>
    </row>
    <row r="306" spans="1:15" x14ac:dyDescent="0.45">
      <c r="A306" s="1" t="s">
        <v>376</v>
      </c>
      <c r="B306" s="2">
        <v>45726.572916666664</v>
      </c>
      <c r="C306" s="3">
        <v>195</v>
      </c>
      <c r="D306" s="4">
        <v>63.33</v>
      </c>
      <c r="E306" s="4">
        <v>62.9</v>
      </c>
      <c r="F306" s="4">
        <v>64.55</v>
      </c>
      <c r="G306" s="4">
        <v>2</v>
      </c>
      <c r="H306" s="5">
        <v>3.2599999999999997E-2</v>
      </c>
      <c r="I306" s="4">
        <v>3</v>
      </c>
      <c r="J306" s="4">
        <v>146</v>
      </c>
      <c r="K306" s="5">
        <v>0.61080000000000001</v>
      </c>
      <c r="L306" s="26" t="b">
        <f t="shared" si="21"/>
        <v>1</v>
      </c>
      <c r="M306" s="26" t="str">
        <f t="shared" si="24"/>
        <v>call</v>
      </c>
      <c r="N306" s="28">
        <f t="shared" si="25"/>
        <v>45961</v>
      </c>
      <c r="O306" s="29">
        <f t="shared" si="20"/>
        <v>26</v>
      </c>
    </row>
    <row r="307" spans="1:15" x14ac:dyDescent="0.45">
      <c r="A307" s="1" t="s">
        <v>377</v>
      </c>
      <c r="B307" s="2">
        <v>45667.493750000001</v>
      </c>
      <c r="C307" s="3">
        <v>200</v>
      </c>
      <c r="D307" s="4">
        <v>56.92</v>
      </c>
      <c r="E307" s="4">
        <v>58</v>
      </c>
      <c r="F307" s="4">
        <v>59.25</v>
      </c>
      <c r="G307" s="4">
        <v>0</v>
      </c>
      <c r="H307" s="5">
        <v>0</v>
      </c>
      <c r="I307" s="4">
        <v>2</v>
      </c>
      <c r="J307" s="4">
        <v>82</v>
      </c>
      <c r="K307" s="5">
        <v>0.54790000000000005</v>
      </c>
      <c r="L307" s="26" t="b">
        <f t="shared" si="21"/>
        <v>1</v>
      </c>
      <c r="M307" s="26" t="str">
        <f t="shared" si="24"/>
        <v>call</v>
      </c>
      <c r="N307" s="28">
        <f t="shared" si="25"/>
        <v>45961</v>
      </c>
      <c r="O307" s="29">
        <f t="shared" si="20"/>
        <v>26</v>
      </c>
    </row>
    <row r="308" spans="1:15" x14ac:dyDescent="0.45">
      <c r="A308" s="1" t="s">
        <v>378</v>
      </c>
      <c r="B308" s="4" t="s">
        <v>379</v>
      </c>
      <c r="C308" s="3">
        <v>205</v>
      </c>
      <c r="D308" s="4">
        <v>54.51</v>
      </c>
      <c r="E308" s="4">
        <v>53.45</v>
      </c>
      <c r="F308" s="4">
        <v>54.45</v>
      </c>
      <c r="G308" s="6">
        <v>3.96</v>
      </c>
      <c r="H308" s="7">
        <v>7.8299999999999995E-2</v>
      </c>
      <c r="I308" s="4">
        <v>1</v>
      </c>
      <c r="J308" s="4">
        <v>5</v>
      </c>
      <c r="K308" s="5">
        <v>0.55079999999999996</v>
      </c>
      <c r="L308" s="26" t="b">
        <f t="shared" si="21"/>
        <v>1</v>
      </c>
      <c r="M308" s="26" t="str">
        <f t="shared" si="24"/>
        <v>call</v>
      </c>
      <c r="N308" s="28">
        <f t="shared" si="25"/>
        <v>45961</v>
      </c>
      <c r="O308" s="29">
        <f t="shared" si="20"/>
        <v>26</v>
      </c>
    </row>
    <row r="309" spans="1:15" x14ac:dyDescent="0.45">
      <c r="A309" s="1" t="s">
        <v>380</v>
      </c>
      <c r="B309" s="2">
        <v>45726.447222222225</v>
      </c>
      <c r="C309" s="3">
        <v>210</v>
      </c>
      <c r="D309" s="4">
        <v>49.05</v>
      </c>
      <c r="E309" s="4">
        <v>48.35</v>
      </c>
      <c r="F309" s="4">
        <v>49.5</v>
      </c>
      <c r="G309" s="4">
        <v>0.55000000000000004</v>
      </c>
      <c r="H309" s="5">
        <v>1.1299999999999999E-2</v>
      </c>
      <c r="I309" s="4">
        <v>11</v>
      </c>
      <c r="J309" s="4">
        <v>58</v>
      </c>
      <c r="K309" s="5">
        <v>0.501</v>
      </c>
      <c r="L309" s="26" t="b">
        <f t="shared" si="21"/>
        <v>1</v>
      </c>
      <c r="M309" s="26" t="str">
        <f t="shared" si="24"/>
        <v>call</v>
      </c>
      <c r="N309" s="28">
        <f t="shared" si="25"/>
        <v>45961</v>
      </c>
      <c r="O309" s="29">
        <f t="shared" si="20"/>
        <v>26</v>
      </c>
    </row>
    <row r="310" spans="1:15" x14ac:dyDescent="0.45">
      <c r="A310" s="1" t="s">
        <v>381</v>
      </c>
      <c r="B310" s="2">
        <v>45726.473611111112</v>
      </c>
      <c r="C310" s="3">
        <v>215</v>
      </c>
      <c r="D310" s="4">
        <v>44.5</v>
      </c>
      <c r="E310" s="4">
        <v>43.35</v>
      </c>
      <c r="F310" s="4">
        <v>44.7</v>
      </c>
      <c r="G310" s="4">
        <v>0.84</v>
      </c>
      <c r="H310" s="5">
        <v>1.9199999999999998E-2</v>
      </c>
      <c r="I310" s="4">
        <v>1</v>
      </c>
      <c r="J310" s="4">
        <v>79</v>
      </c>
      <c r="K310" s="5">
        <v>0.53159999999999996</v>
      </c>
      <c r="L310" s="26" t="b">
        <f t="shared" si="21"/>
        <v>1</v>
      </c>
      <c r="M310" s="26" t="str">
        <f t="shared" si="24"/>
        <v>call</v>
      </c>
      <c r="N310" s="28">
        <f t="shared" si="25"/>
        <v>45961</v>
      </c>
      <c r="O310" s="29">
        <f t="shared" si="20"/>
        <v>26</v>
      </c>
    </row>
    <row r="311" spans="1:15" x14ac:dyDescent="0.45">
      <c r="A311" s="1" t="s">
        <v>382</v>
      </c>
      <c r="B311" s="2">
        <v>45726.509722222225</v>
      </c>
      <c r="C311" s="3">
        <v>220</v>
      </c>
      <c r="D311" s="4">
        <v>39.5</v>
      </c>
      <c r="E311" s="4">
        <v>38.9</v>
      </c>
      <c r="F311" s="4">
        <v>39.65</v>
      </c>
      <c r="G311" s="8">
        <v>0.5</v>
      </c>
      <c r="H311" s="9">
        <v>1.2800000000000001E-2</v>
      </c>
      <c r="I311" s="4">
        <v>2</v>
      </c>
      <c r="J311" s="4">
        <v>82</v>
      </c>
      <c r="K311" s="5">
        <v>0.47670000000000001</v>
      </c>
      <c r="L311" s="26" t="b">
        <f t="shared" si="21"/>
        <v>1</v>
      </c>
      <c r="M311" s="26" t="str">
        <f t="shared" si="24"/>
        <v>call</v>
      </c>
      <c r="N311" s="28">
        <f t="shared" si="25"/>
        <v>45961</v>
      </c>
      <c r="O311" s="29">
        <f t="shared" si="20"/>
        <v>26</v>
      </c>
    </row>
    <row r="312" spans="1:15" x14ac:dyDescent="0.45">
      <c r="A312" s="1" t="s">
        <v>383</v>
      </c>
      <c r="B312" s="2">
        <v>45726.595833333333</v>
      </c>
      <c r="C312" s="3">
        <v>225</v>
      </c>
      <c r="D312" s="4">
        <v>34.15</v>
      </c>
      <c r="E312" s="4">
        <v>34</v>
      </c>
      <c r="F312" s="4">
        <v>34.700000000000003</v>
      </c>
      <c r="G312" s="6">
        <v>0.21</v>
      </c>
      <c r="H312" s="7">
        <v>6.1999999999999998E-3</v>
      </c>
      <c r="I312" s="4">
        <v>20</v>
      </c>
      <c r="J312" s="10">
        <v>2156</v>
      </c>
      <c r="K312" s="5">
        <v>0.43020000000000003</v>
      </c>
      <c r="L312" s="26" t="b">
        <f t="shared" si="21"/>
        <v>1</v>
      </c>
      <c r="M312" s="26" t="str">
        <f t="shared" si="24"/>
        <v>call</v>
      </c>
      <c r="N312" s="28">
        <f t="shared" si="25"/>
        <v>45961</v>
      </c>
      <c r="O312" s="29">
        <f t="shared" si="20"/>
        <v>26</v>
      </c>
    </row>
    <row r="313" spans="1:15" x14ac:dyDescent="0.45">
      <c r="A313" s="1" t="s">
        <v>384</v>
      </c>
      <c r="B313" s="2">
        <v>45726.652777777781</v>
      </c>
      <c r="C313" s="3">
        <v>230</v>
      </c>
      <c r="D313" s="4">
        <v>29.61</v>
      </c>
      <c r="E313" s="4">
        <v>29.4</v>
      </c>
      <c r="F313" s="4">
        <v>29.95</v>
      </c>
      <c r="G313" s="6">
        <v>0.19</v>
      </c>
      <c r="H313" s="7">
        <v>6.4999999999999997E-3</v>
      </c>
      <c r="I313" s="4">
        <v>46</v>
      </c>
      <c r="J313" s="4">
        <v>843</v>
      </c>
      <c r="K313" s="5">
        <v>0.3967</v>
      </c>
      <c r="L313" s="26" t="b">
        <f t="shared" si="21"/>
        <v>1</v>
      </c>
      <c r="M313" s="26" t="str">
        <f t="shared" si="24"/>
        <v>call</v>
      </c>
      <c r="N313" s="28">
        <f t="shared" si="25"/>
        <v>45961</v>
      </c>
      <c r="O313" s="29">
        <f t="shared" si="20"/>
        <v>26</v>
      </c>
    </row>
    <row r="314" spans="1:15" x14ac:dyDescent="0.45">
      <c r="A314" s="1" t="s">
        <v>385</v>
      </c>
      <c r="B314" s="2">
        <v>45726.63958333333</v>
      </c>
      <c r="C314" s="3">
        <v>235</v>
      </c>
      <c r="D314" s="4">
        <v>24.97</v>
      </c>
      <c r="E314" s="4">
        <v>24.95</v>
      </c>
      <c r="F314" s="4">
        <v>25.2</v>
      </c>
      <c r="G314" s="6">
        <v>0.14000000000000001</v>
      </c>
      <c r="H314" s="7">
        <v>5.5999999999999999E-3</v>
      </c>
      <c r="I314" s="4">
        <v>51</v>
      </c>
      <c r="J314" s="4">
        <v>907</v>
      </c>
      <c r="K314" s="5">
        <v>0.35949999999999999</v>
      </c>
      <c r="L314" s="26" t="b">
        <f t="shared" si="21"/>
        <v>1</v>
      </c>
      <c r="M314" s="26" t="str">
        <f t="shared" si="24"/>
        <v>call</v>
      </c>
      <c r="N314" s="28">
        <f t="shared" si="25"/>
        <v>45961</v>
      </c>
      <c r="O314" s="29">
        <f t="shared" si="20"/>
        <v>26</v>
      </c>
    </row>
    <row r="315" spans="1:15" x14ac:dyDescent="0.45">
      <c r="A315" s="1" t="s">
        <v>386</v>
      </c>
      <c r="B315" s="2">
        <v>45726.656944444447</v>
      </c>
      <c r="C315" s="3">
        <v>240</v>
      </c>
      <c r="D315" s="4">
        <v>20.8</v>
      </c>
      <c r="E315" s="4">
        <v>20.6</v>
      </c>
      <c r="F315" s="4">
        <v>20.85</v>
      </c>
      <c r="G315" s="6">
        <v>0.4</v>
      </c>
      <c r="H315" s="7">
        <v>1.9599999999999999E-2</v>
      </c>
      <c r="I315" s="4">
        <v>227</v>
      </c>
      <c r="J315" s="10">
        <v>1948</v>
      </c>
      <c r="K315" s="5">
        <v>0.33900000000000002</v>
      </c>
      <c r="L315" s="26" t="b">
        <f t="shared" si="21"/>
        <v>1</v>
      </c>
      <c r="M315" s="26" t="str">
        <f t="shared" si="24"/>
        <v>call</v>
      </c>
      <c r="N315" s="28">
        <f t="shared" si="25"/>
        <v>45961</v>
      </c>
      <c r="O315" s="29">
        <f t="shared" si="20"/>
        <v>26</v>
      </c>
    </row>
    <row r="316" spans="1:15" x14ac:dyDescent="0.45">
      <c r="A316" s="1" t="s">
        <v>387</v>
      </c>
      <c r="B316" s="2">
        <v>45726.654166666667</v>
      </c>
      <c r="C316" s="3">
        <v>245</v>
      </c>
      <c r="D316" s="4">
        <v>16.75</v>
      </c>
      <c r="E316" s="4">
        <v>16.5</v>
      </c>
      <c r="F316" s="4">
        <v>16.850000000000001</v>
      </c>
      <c r="G316" s="6">
        <v>0.65</v>
      </c>
      <c r="H316" s="7">
        <v>4.0399999999999998E-2</v>
      </c>
      <c r="I316" s="4">
        <v>245</v>
      </c>
      <c r="J316" s="10">
        <v>1164</v>
      </c>
      <c r="K316" s="5">
        <v>0.32479999999999998</v>
      </c>
      <c r="L316" s="26" t="b">
        <f t="shared" si="21"/>
        <v>1</v>
      </c>
      <c r="M316" s="26" t="str">
        <f t="shared" si="24"/>
        <v>call</v>
      </c>
      <c r="N316" s="28">
        <f t="shared" si="25"/>
        <v>45961</v>
      </c>
      <c r="O316" s="29">
        <f t="shared" si="20"/>
        <v>26</v>
      </c>
    </row>
    <row r="317" spans="1:15" x14ac:dyDescent="0.45">
      <c r="A317" s="1" t="s">
        <v>388</v>
      </c>
      <c r="B317" s="2">
        <v>45726.662499999999</v>
      </c>
      <c r="C317" s="3">
        <v>250</v>
      </c>
      <c r="D317" s="4">
        <v>12.6</v>
      </c>
      <c r="E317" s="4">
        <v>12.85</v>
      </c>
      <c r="F317" s="4">
        <v>13</v>
      </c>
      <c r="G317" s="6">
        <v>-0.05</v>
      </c>
      <c r="H317" s="7">
        <v>-4.0000000000000001E-3</v>
      </c>
      <c r="I317" s="4">
        <v>508</v>
      </c>
      <c r="J317" s="10">
        <v>5362</v>
      </c>
      <c r="K317" s="5">
        <v>0.3044</v>
      </c>
      <c r="L317" s="26" t="b">
        <f t="shared" si="21"/>
        <v>1</v>
      </c>
      <c r="M317" s="26" t="str">
        <f t="shared" si="24"/>
        <v>call</v>
      </c>
      <c r="N317" s="28">
        <f t="shared" si="25"/>
        <v>45961</v>
      </c>
      <c r="O317" s="29">
        <f t="shared" ref="O317:O380" si="26">N317-DATE(2025,10,5)</f>
        <v>26</v>
      </c>
    </row>
    <row r="318" spans="1:15" x14ac:dyDescent="0.45">
      <c r="A318" s="1" t="s">
        <v>389</v>
      </c>
      <c r="B318" s="2">
        <v>45726.662499999999</v>
      </c>
      <c r="C318" s="3">
        <v>255</v>
      </c>
      <c r="D318" s="4">
        <v>9.48</v>
      </c>
      <c r="E318" s="4">
        <v>9.6</v>
      </c>
      <c r="F318" s="4">
        <v>9.75</v>
      </c>
      <c r="G318" s="4">
        <v>0.13</v>
      </c>
      <c r="H318" s="5">
        <v>1.3899999999999999E-2</v>
      </c>
      <c r="I318" s="10">
        <v>1264</v>
      </c>
      <c r="J318" s="10">
        <v>3443</v>
      </c>
      <c r="K318" s="5">
        <v>0.29289999999999999</v>
      </c>
      <c r="L318" s="26" t="b">
        <f t="shared" si="21"/>
        <v>1</v>
      </c>
      <c r="M318" s="26" t="str">
        <f t="shared" si="24"/>
        <v>call</v>
      </c>
      <c r="N318" s="28">
        <f t="shared" si="25"/>
        <v>45961</v>
      </c>
      <c r="O318" s="29">
        <f t="shared" si="26"/>
        <v>26</v>
      </c>
    </row>
    <row r="319" spans="1:15" x14ac:dyDescent="0.45">
      <c r="A319" s="11" t="s">
        <v>390</v>
      </c>
      <c r="B319" s="12">
        <v>45726.665972222225</v>
      </c>
      <c r="C319" s="13">
        <v>260</v>
      </c>
      <c r="D319" s="14">
        <v>6.95</v>
      </c>
      <c r="E319" s="14">
        <v>6.9</v>
      </c>
      <c r="F319" s="14">
        <v>7</v>
      </c>
      <c r="G319" s="15">
        <v>0.15</v>
      </c>
      <c r="H319" s="16">
        <v>2.2100000000000002E-2</v>
      </c>
      <c r="I319" s="17">
        <v>1614</v>
      </c>
      <c r="J319" s="17">
        <v>5537</v>
      </c>
      <c r="K319" s="18">
        <v>0.28299999999999997</v>
      </c>
      <c r="L319" s="26" t="b">
        <f t="shared" si="21"/>
        <v>0</v>
      </c>
      <c r="M319" s="26" t="str">
        <f t="shared" si="24"/>
        <v>call</v>
      </c>
      <c r="N319" s="28">
        <f t="shared" si="25"/>
        <v>45961</v>
      </c>
      <c r="O319" s="29">
        <f t="shared" si="26"/>
        <v>26</v>
      </c>
    </row>
    <row r="320" spans="1:15" x14ac:dyDescent="0.45">
      <c r="A320" s="11" t="s">
        <v>391</v>
      </c>
      <c r="B320" s="12">
        <v>45726.664583333331</v>
      </c>
      <c r="C320" s="13">
        <v>265</v>
      </c>
      <c r="D320" s="14">
        <v>4.74</v>
      </c>
      <c r="E320" s="14">
        <v>4.7</v>
      </c>
      <c r="F320" s="14">
        <v>4.8499999999999996</v>
      </c>
      <c r="G320" s="19">
        <v>-0.01</v>
      </c>
      <c r="H320" s="20">
        <v>-2.0999999999999999E-3</v>
      </c>
      <c r="I320" s="17">
        <v>1125</v>
      </c>
      <c r="J320" s="17">
        <v>3570</v>
      </c>
      <c r="K320" s="18">
        <v>0.2767</v>
      </c>
      <c r="L320" s="26" t="b">
        <f t="shared" ref="L320:L383" si="27">IF(M320="call",C320&lt;$P$1,C320&gt;$P$1)</f>
        <v>0</v>
      </c>
      <c r="M320" s="26" t="str">
        <f t="shared" si="24"/>
        <v>call</v>
      </c>
      <c r="N320" s="28">
        <f t="shared" si="25"/>
        <v>45961</v>
      </c>
      <c r="O320" s="29">
        <f t="shared" si="26"/>
        <v>26</v>
      </c>
    </row>
    <row r="321" spans="1:15" x14ac:dyDescent="0.45">
      <c r="A321" s="11" t="s">
        <v>392</v>
      </c>
      <c r="B321" s="12">
        <v>45726.665972222225</v>
      </c>
      <c r="C321" s="13">
        <v>270</v>
      </c>
      <c r="D321" s="14">
        <v>3.1</v>
      </c>
      <c r="E321" s="14">
        <v>3.1</v>
      </c>
      <c r="F321" s="14">
        <v>3.2</v>
      </c>
      <c r="G321" s="19">
        <v>-0.1</v>
      </c>
      <c r="H321" s="20">
        <v>-3.1300000000000001E-2</v>
      </c>
      <c r="I321" s="17">
        <v>1987</v>
      </c>
      <c r="J321" s="17">
        <v>6684</v>
      </c>
      <c r="K321" s="18">
        <v>0.27110000000000001</v>
      </c>
      <c r="L321" s="26" t="b">
        <f t="shared" si="27"/>
        <v>0</v>
      </c>
      <c r="M321" s="26" t="str">
        <f t="shared" si="24"/>
        <v>call</v>
      </c>
      <c r="N321" s="28">
        <f t="shared" si="25"/>
        <v>45961</v>
      </c>
      <c r="O321" s="29">
        <f t="shared" si="26"/>
        <v>26</v>
      </c>
    </row>
    <row r="322" spans="1:15" x14ac:dyDescent="0.45">
      <c r="A322" s="11" t="s">
        <v>393</v>
      </c>
      <c r="B322" s="12">
        <v>45726.664583333331</v>
      </c>
      <c r="C322" s="13">
        <v>275</v>
      </c>
      <c r="D322" s="14">
        <v>2</v>
      </c>
      <c r="E322" s="14">
        <v>1.96</v>
      </c>
      <c r="F322" s="14">
        <v>2</v>
      </c>
      <c r="G322" s="19">
        <v>-0.02</v>
      </c>
      <c r="H322" s="20">
        <v>-9.9000000000000008E-3</v>
      </c>
      <c r="I322" s="14">
        <v>840</v>
      </c>
      <c r="J322" s="17">
        <v>2340</v>
      </c>
      <c r="K322" s="18">
        <v>0.26579999999999998</v>
      </c>
      <c r="L322" s="26" t="b">
        <f t="shared" si="27"/>
        <v>0</v>
      </c>
      <c r="M322" s="26" t="str">
        <f t="shared" si="24"/>
        <v>call</v>
      </c>
      <c r="N322" s="28">
        <f t="shared" si="25"/>
        <v>45961</v>
      </c>
      <c r="O322" s="29">
        <f t="shared" si="26"/>
        <v>26</v>
      </c>
    </row>
    <row r="323" spans="1:15" x14ac:dyDescent="0.45">
      <c r="A323" s="11" t="s">
        <v>394</v>
      </c>
      <c r="B323" s="12">
        <v>45726.661805555559</v>
      </c>
      <c r="C323" s="13">
        <v>280</v>
      </c>
      <c r="D323" s="14">
        <v>1.25</v>
      </c>
      <c r="E323" s="14">
        <v>1.21</v>
      </c>
      <c r="F323" s="14">
        <v>1.27</v>
      </c>
      <c r="G323" s="15">
        <v>-0.02</v>
      </c>
      <c r="H323" s="16">
        <v>-1.5699999999999999E-2</v>
      </c>
      <c r="I323" s="17">
        <v>1408</v>
      </c>
      <c r="J323" s="17">
        <v>4882</v>
      </c>
      <c r="K323" s="18">
        <v>0.26690000000000003</v>
      </c>
      <c r="L323" s="26" t="b">
        <f t="shared" si="27"/>
        <v>0</v>
      </c>
      <c r="M323" s="26" t="str">
        <f t="shared" si="24"/>
        <v>call</v>
      </c>
      <c r="N323" s="28">
        <f t="shared" si="25"/>
        <v>45961</v>
      </c>
      <c r="O323" s="29">
        <f t="shared" si="26"/>
        <v>26</v>
      </c>
    </row>
    <row r="324" spans="1:15" x14ac:dyDescent="0.45">
      <c r="A324" s="11" t="s">
        <v>395</v>
      </c>
      <c r="B324" s="12">
        <v>45726.664583333331</v>
      </c>
      <c r="C324" s="13">
        <v>285</v>
      </c>
      <c r="D324" s="14">
        <v>0.76</v>
      </c>
      <c r="E324" s="14">
        <v>0.75</v>
      </c>
      <c r="F324" s="14">
        <v>0.78</v>
      </c>
      <c r="G324" s="19">
        <v>-0.04</v>
      </c>
      <c r="H324" s="20">
        <v>-0.05</v>
      </c>
      <c r="I324" s="14">
        <v>92</v>
      </c>
      <c r="J324" s="14">
        <v>588</v>
      </c>
      <c r="K324" s="18">
        <v>0.26769999999999999</v>
      </c>
      <c r="L324" s="26" t="b">
        <f t="shared" si="27"/>
        <v>0</v>
      </c>
      <c r="M324" s="26" t="str">
        <f t="shared" si="24"/>
        <v>call</v>
      </c>
      <c r="N324" s="28">
        <f t="shared" si="25"/>
        <v>45961</v>
      </c>
      <c r="O324" s="29">
        <f t="shared" si="26"/>
        <v>26</v>
      </c>
    </row>
    <row r="325" spans="1:15" x14ac:dyDescent="0.45">
      <c r="A325" s="11" t="s">
        <v>396</v>
      </c>
      <c r="B325" s="12">
        <v>45726.649305555555</v>
      </c>
      <c r="C325" s="13">
        <v>290</v>
      </c>
      <c r="D325" s="14">
        <v>0.48</v>
      </c>
      <c r="E325" s="14">
        <v>0.46</v>
      </c>
      <c r="F325" s="14">
        <v>0.5</v>
      </c>
      <c r="G325" s="15">
        <v>-0.03</v>
      </c>
      <c r="H325" s="16">
        <v>-5.8799999999999998E-2</v>
      </c>
      <c r="I325" s="14">
        <v>191</v>
      </c>
      <c r="J325" s="14">
        <v>693</v>
      </c>
      <c r="K325" s="18">
        <v>0.2727</v>
      </c>
      <c r="L325" s="26" t="b">
        <f t="shared" si="27"/>
        <v>0</v>
      </c>
      <c r="M325" s="26" t="str">
        <f t="shared" si="24"/>
        <v>call</v>
      </c>
      <c r="N325" s="28">
        <f t="shared" si="25"/>
        <v>45961</v>
      </c>
      <c r="O325" s="29">
        <f t="shared" si="26"/>
        <v>26</v>
      </c>
    </row>
    <row r="326" spans="1:15" x14ac:dyDescent="0.45">
      <c r="A326" s="11" t="s">
        <v>397</v>
      </c>
      <c r="B326" s="12">
        <v>45726.629166666666</v>
      </c>
      <c r="C326" s="13">
        <v>295</v>
      </c>
      <c r="D326" s="14">
        <v>0.32</v>
      </c>
      <c r="E326" s="14">
        <v>0.28000000000000003</v>
      </c>
      <c r="F326" s="14">
        <v>0.32</v>
      </c>
      <c r="G326" s="19">
        <v>-0.03</v>
      </c>
      <c r="H326" s="20">
        <v>-8.5699999999999998E-2</v>
      </c>
      <c r="I326" s="14">
        <v>221</v>
      </c>
      <c r="J326" s="17">
        <v>1396</v>
      </c>
      <c r="K326" s="18">
        <v>0.27810000000000001</v>
      </c>
      <c r="L326" s="26" t="b">
        <f t="shared" si="27"/>
        <v>0</v>
      </c>
      <c r="M326" s="26" t="str">
        <f t="shared" si="24"/>
        <v>call</v>
      </c>
      <c r="N326" s="28">
        <f t="shared" si="25"/>
        <v>45961</v>
      </c>
      <c r="O326" s="29">
        <f t="shared" si="26"/>
        <v>26</v>
      </c>
    </row>
    <row r="327" spans="1:15" x14ac:dyDescent="0.45">
      <c r="A327" s="11" t="s">
        <v>398</v>
      </c>
      <c r="B327" s="12">
        <v>45726.65</v>
      </c>
      <c r="C327" s="13">
        <v>300</v>
      </c>
      <c r="D327" s="14">
        <v>0.19</v>
      </c>
      <c r="E327" s="14">
        <v>0.17</v>
      </c>
      <c r="F327" s="14">
        <v>0.21</v>
      </c>
      <c r="G327" s="15">
        <v>-0.03</v>
      </c>
      <c r="H327" s="16">
        <v>-0.13639999999999999</v>
      </c>
      <c r="I327" s="14">
        <v>334</v>
      </c>
      <c r="J327" s="17">
        <v>2209</v>
      </c>
      <c r="K327" s="18">
        <v>0.28470000000000001</v>
      </c>
      <c r="L327" s="26" t="b">
        <f t="shared" si="27"/>
        <v>0</v>
      </c>
      <c r="M327" s="26" t="str">
        <f t="shared" si="24"/>
        <v>call</v>
      </c>
      <c r="N327" s="28">
        <f t="shared" si="25"/>
        <v>45961</v>
      </c>
      <c r="O327" s="29">
        <f t="shared" si="26"/>
        <v>26</v>
      </c>
    </row>
    <row r="328" spans="1:15" x14ac:dyDescent="0.45">
      <c r="A328" s="11" t="s">
        <v>399</v>
      </c>
      <c r="B328" s="12">
        <v>45726.556944444441</v>
      </c>
      <c r="C328" s="13">
        <v>305</v>
      </c>
      <c r="D328" s="14">
        <v>0.14000000000000001</v>
      </c>
      <c r="E328" s="14">
        <v>0.1</v>
      </c>
      <c r="F328" s="14">
        <v>0.14000000000000001</v>
      </c>
      <c r="G328" s="19">
        <v>0</v>
      </c>
      <c r="H328" s="20">
        <v>0</v>
      </c>
      <c r="I328" s="14">
        <v>22</v>
      </c>
      <c r="J328" s="14">
        <v>793</v>
      </c>
      <c r="K328" s="18">
        <v>0.29149999999999998</v>
      </c>
      <c r="L328" s="26" t="b">
        <f t="shared" si="27"/>
        <v>0</v>
      </c>
      <c r="M328" s="26" t="str">
        <f t="shared" si="24"/>
        <v>call</v>
      </c>
      <c r="N328" s="28">
        <f t="shared" si="25"/>
        <v>45961</v>
      </c>
      <c r="O328" s="29">
        <f t="shared" si="26"/>
        <v>26</v>
      </c>
    </row>
    <row r="329" spans="1:15" x14ac:dyDescent="0.45">
      <c r="A329" s="11" t="s">
        <v>400</v>
      </c>
      <c r="B329" s="12">
        <v>45698.654166666667</v>
      </c>
      <c r="C329" s="13">
        <v>310</v>
      </c>
      <c r="D329" s="14">
        <v>0.1</v>
      </c>
      <c r="E329" s="14">
        <v>0.06</v>
      </c>
      <c r="F329" s="14">
        <v>0.09</v>
      </c>
      <c r="G329" s="19">
        <v>0.02</v>
      </c>
      <c r="H329" s="20">
        <v>0.25</v>
      </c>
      <c r="I329" s="14">
        <v>1</v>
      </c>
      <c r="J329" s="14">
        <v>377</v>
      </c>
      <c r="K329" s="18">
        <v>0.2969</v>
      </c>
      <c r="L329" s="26" t="b">
        <f t="shared" si="27"/>
        <v>0</v>
      </c>
      <c r="M329" s="26" t="str">
        <f t="shared" si="24"/>
        <v>call</v>
      </c>
      <c r="N329" s="28">
        <f t="shared" si="25"/>
        <v>45961</v>
      </c>
      <c r="O329" s="29">
        <f t="shared" si="26"/>
        <v>26</v>
      </c>
    </row>
    <row r="330" spans="1:15" x14ac:dyDescent="0.45">
      <c r="A330" s="11" t="s">
        <v>401</v>
      </c>
      <c r="B330" s="12">
        <v>45726.630555555559</v>
      </c>
      <c r="C330" s="13">
        <v>315</v>
      </c>
      <c r="D330" s="14">
        <v>0.04</v>
      </c>
      <c r="E330" s="14">
        <v>0.03</v>
      </c>
      <c r="F330" s="14">
        <v>0.06</v>
      </c>
      <c r="G330" s="19">
        <v>-0.03</v>
      </c>
      <c r="H330" s="20">
        <v>-0.42859999999999998</v>
      </c>
      <c r="I330" s="14">
        <v>22</v>
      </c>
      <c r="J330" s="14">
        <v>97</v>
      </c>
      <c r="K330" s="18">
        <v>0.30270000000000002</v>
      </c>
      <c r="L330" s="26" t="b">
        <f t="shared" si="27"/>
        <v>0</v>
      </c>
      <c r="M330" s="26" t="str">
        <f t="shared" si="24"/>
        <v>call</v>
      </c>
      <c r="N330" s="28">
        <f t="shared" si="25"/>
        <v>45961</v>
      </c>
      <c r="O330" s="29">
        <f t="shared" si="26"/>
        <v>26</v>
      </c>
    </row>
    <row r="331" spans="1:15" x14ac:dyDescent="0.45">
      <c r="A331" s="11" t="s">
        <v>402</v>
      </c>
      <c r="B331" s="12">
        <v>45726.526388888888</v>
      </c>
      <c r="C331" s="13">
        <v>320</v>
      </c>
      <c r="D331" s="14">
        <v>0.06</v>
      </c>
      <c r="E331" s="14">
        <v>0.03</v>
      </c>
      <c r="F331" s="14">
        <v>0.06</v>
      </c>
      <c r="G331" s="19">
        <v>0.01</v>
      </c>
      <c r="H331" s="20">
        <v>0.2</v>
      </c>
      <c r="I331" s="14">
        <v>134</v>
      </c>
      <c r="J331" s="17">
        <v>1153</v>
      </c>
      <c r="K331" s="18">
        <v>0.32419999999999999</v>
      </c>
      <c r="L331" s="26" t="b">
        <f t="shared" si="27"/>
        <v>0</v>
      </c>
      <c r="M331" s="26" t="str">
        <f t="shared" si="24"/>
        <v>call</v>
      </c>
      <c r="N331" s="28">
        <f t="shared" si="25"/>
        <v>45961</v>
      </c>
      <c r="O331" s="29">
        <f t="shared" si="26"/>
        <v>26</v>
      </c>
    </row>
    <row r="332" spans="1:15" x14ac:dyDescent="0.45">
      <c r="A332" s="11" t="s">
        <v>403</v>
      </c>
      <c r="B332" s="12">
        <v>45726.415277777778</v>
      </c>
      <c r="C332" s="13">
        <v>325</v>
      </c>
      <c r="D332" s="14">
        <v>0.04</v>
      </c>
      <c r="E332" s="14">
        <v>0.01</v>
      </c>
      <c r="F332" s="14">
        <v>0.03</v>
      </c>
      <c r="G332" s="19">
        <v>0.01</v>
      </c>
      <c r="H332" s="20">
        <v>0.33329999999999999</v>
      </c>
      <c r="I332" s="14">
        <v>1</v>
      </c>
      <c r="J332" s="14">
        <v>274</v>
      </c>
      <c r="K332" s="18">
        <v>0.31840000000000002</v>
      </c>
      <c r="L332" s="26" t="b">
        <f t="shared" si="27"/>
        <v>0</v>
      </c>
      <c r="M332" s="26" t="str">
        <f t="shared" si="24"/>
        <v>call</v>
      </c>
      <c r="N332" s="28">
        <f t="shared" si="25"/>
        <v>45961</v>
      </c>
      <c r="O332" s="29">
        <f t="shared" si="26"/>
        <v>26</v>
      </c>
    </row>
    <row r="333" spans="1:15" x14ac:dyDescent="0.45">
      <c r="A333" s="11" t="s">
        <v>404</v>
      </c>
      <c r="B333" s="14" t="s">
        <v>405</v>
      </c>
      <c r="C333" s="13">
        <v>110</v>
      </c>
      <c r="D333" s="14">
        <v>0.03</v>
      </c>
      <c r="E333" s="14">
        <v>0</v>
      </c>
      <c r="F333" s="14">
        <v>0.35</v>
      </c>
      <c r="G333" s="14">
        <v>0</v>
      </c>
      <c r="H333" s="18">
        <v>0</v>
      </c>
      <c r="I333" s="14">
        <v>10</v>
      </c>
      <c r="J333" s="14">
        <v>13</v>
      </c>
      <c r="K333" s="18">
        <v>1.3203</v>
      </c>
      <c r="L333" s="26" t="b">
        <f t="shared" si="27"/>
        <v>0</v>
      </c>
      <c r="M333" s="26" t="str">
        <f t="shared" si="24"/>
        <v>put</v>
      </c>
      <c r="N333" s="28">
        <f t="shared" si="25"/>
        <v>45961</v>
      </c>
      <c r="O333" s="29">
        <f t="shared" si="26"/>
        <v>26</v>
      </c>
    </row>
    <row r="334" spans="1:15" x14ac:dyDescent="0.45">
      <c r="A334" s="11" t="s">
        <v>406</v>
      </c>
      <c r="B334" s="14" t="s">
        <v>407</v>
      </c>
      <c r="C334" s="13">
        <v>120</v>
      </c>
      <c r="D334" s="14">
        <v>0.05</v>
      </c>
      <c r="E334" s="14">
        <v>0</v>
      </c>
      <c r="F334" s="14">
        <v>0.24</v>
      </c>
      <c r="G334" s="14">
        <v>0</v>
      </c>
      <c r="H334" s="18">
        <v>0</v>
      </c>
      <c r="I334" s="14">
        <v>0</v>
      </c>
      <c r="J334" s="14">
        <v>1</v>
      </c>
      <c r="K334" s="18">
        <v>1.1406000000000001</v>
      </c>
      <c r="L334" s="26" t="b">
        <f t="shared" si="27"/>
        <v>0</v>
      </c>
      <c r="M334" s="26" t="str">
        <f t="shared" si="24"/>
        <v>put</v>
      </c>
      <c r="N334" s="28">
        <f t="shared" si="25"/>
        <v>45961</v>
      </c>
      <c r="O334" s="29">
        <f t="shared" si="26"/>
        <v>26</v>
      </c>
    </row>
    <row r="335" spans="1:15" x14ac:dyDescent="0.45">
      <c r="A335" s="11" t="s">
        <v>408</v>
      </c>
      <c r="B335" s="14" t="s">
        <v>409</v>
      </c>
      <c r="C335" s="13">
        <v>130</v>
      </c>
      <c r="D335" s="14">
        <v>0.05</v>
      </c>
      <c r="E335" s="14">
        <v>0</v>
      </c>
      <c r="F335" s="14">
        <v>0.32</v>
      </c>
      <c r="G335" s="14">
        <v>0</v>
      </c>
      <c r="H335" s="18">
        <v>0</v>
      </c>
      <c r="I335" s="14">
        <v>1</v>
      </c>
      <c r="J335" s="14">
        <v>13</v>
      </c>
      <c r="K335" s="18">
        <v>1.0664</v>
      </c>
      <c r="L335" s="26" t="b">
        <f t="shared" si="27"/>
        <v>0</v>
      </c>
      <c r="M335" s="26" t="str">
        <f t="shared" si="24"/>
        <v>put</v>
      </c>
      <c r="N335" s="28">
        <f t="shared" si="25"/>
        <v>45961</v>
      </c>
      <c r="O335" s="29">
        <f t="shared" si="26"/>
        <v>26</v>
      </c>
    </row>
    <row r="336" spans="1:15" x14ac:dyDescent="0.45">
      <c r="A336" s="11" t="s">
        <v>410</v>
      </c>
      <c r="B336" s="14" t="s">
        <v>411</v>
      </c>
      <c r="C336" s="13">
        <v>135</v>
      </c>
      <c r="D336" s="14">
        <v>0.02</v>
      </c>
      <c r="E336" s="14">
        <v>0</v>
      </c>
      <c r="F336" s="14">
        <v>0.31</v>
      </c>
      <c r="G336" s="14">
        <v>0</v>
      </c>
      <c r="H336" s="18">
        <v>0</v>
      </c>
      <c r="I336" s="14">
        <v>4</v>
      </c>
      <c r="J336" s="14">
        <v>2</v>
      </c>
      <c r="K336" s="18">
        <v>1.0078</v>
      </c>
      <c r="L336" s="26" t="b">
        <f t="shared" si="27"/>
        <v>0</v>
      </c>
      <c r="M336" s="26" t="str">
        <f t="shared" si="24"/>
        <v>put</v>
      </c>
      <c r="N336" s="28">
        <f t="shared" si="25"/>
        <v>45961</v>
      </c>
      <c r="O336" s="29">
        <f t="shared" si="26"/>
        <v>26</v>
      </c>
    </row>
    <row r="337" spans="1:15" x14ac:dyDescent="0.45">
      <c r="A337" s="11" t="s">
        <v>412</v>
      </c>
      <c r="B337" s="12">
        <v>45698.524305555555</v>
      </c>
      <c r="C337" s="13">
        <v>140</v>
      </c>
      <c r="D337" s="14">
        <v>0.04</v>
      </c>
      <c r="E337" s="14">
        <v>0</v>
      </c>
      <c r="F337" s="14">
        <v>0.28999999999999998</v>
      </c>
      <c r="G337" s="14">
        <v>0</v>
      </c>
      <c r="H337" s="18">
        <v>0</v>
      </c>
      <c r="I337" s="14">
        <v>2</v>
      </c>
      <c r="J337" s="14">
        <v>22</v>
      </c>
      <c r="K337" s="18">
        <v>0.94920000000000004</v>
      </c>
      <c r="L337" s="26" t="b">
        <f t="shared" si="27"/>
        <v>0</v>
      </c>
      <c r="M337" s="26" t="str">
        <f t="shared" si="24"/>
        <v>put</v>
      </c>
      <c r="N337" s="28">
        <f t="shared" si="25"/>
        <v>45961</v>
      </c>
      <c r="O337" s="29">
        <f t="shared" si="26"/>
        <v>26</v>
      </c>
    </row>
    <row r="338" spans="1:15" x14ac:dyDescent="0.45">
      <c r="A338" s="11" t="s">
        <v>413</v>
      </c>
      <c r="B338" s="12">
        <v>45726.448611111111</v>
      </c>
      <c r="C338" s="13">
        <v>145</v>
      </c>
      <c r="D338" s="14">
        <v>0.04</v>
      </c>
      <c r="E338" s="14">
        <v>0</v>
      </c>
      <c r="F338" s="14">
        <v>0.06</v>
      </c>
      <c r="G338" s="14">
        <v>-0.01</v>
      </c>
      <c r="H338" s="18">
        <v>-0.2</v>
      </c>
      <c r="I338" s="14">
        <v>2</v>
      </c>
      <c r="J338" s="14">
        <v>17</v>
      </c>
      <c r="K338" s="18">
        <v>0.75780000000000003</v>
      </c>
      <c r="L338" s="26" t="b">
        <f t="shared" si="27"/>
        <v>0</v>
      </c>
      <c r="M338" s="26" t="str">
        <f t="shared" si="24"/>
        <v>put</v>
      </c>
      <c r="N338" s="28">
        <f t="shared" si="25"/>
        <v>45961</v>
      </c>
      <c r="O338" s="29">
        <f t="shared" si="26"/>
        <v>26</v>
      </c>
    </row>
    <row r="339" spans="1:15" x14ac:dyDescent="0.45">
      <c r="A339" s="11" t="s">
        <v>414</v>
      </c>
      <c r="B339" s="12">
        <v>45698.665972222225</v>
      </c>
      <c r="C339" s="13">
        <v>150</v>
      </c>
      <c r="D339" s="14">
        <v>0.06</v>
      </c>
      <c r="E339" s="14">
        <v>0.01</v>
      </c>
      <c r="F339" s="14">
        <v>0.06</v>
      </c>
      <c r="G339" s="14">
        <v>0</v>
      </c>
      <c r="H339" s="18">
        <v>0</v>
      </c>
      <c r="I339" s="14">
        <v>74</v>
      </c>
      <c r="J339" s="14">
        <v>45</v>
      </c>
      <c r="K339" s="18">
        <v>0.72660000000000002</v>
      </c>
      <c r="L339" s="26" t="b">
        <f t="shared" si="27"/>
        <v>0</v>
      </c>
      <c r="M339" s="26" t="str">
        <f t="shared" si="24"/>
        <v>put</v>
      </c>
      <c r="N339" s="28">
        <f t="shared" si="25"/>
        <v>45961</v>
      </c>
      <c r="O339" s="29">
        <f t="shared" si="26"/>
        <v>26</v>
      </c>
    </row>
    <row r="340" spans="1:15" x14ac:dyDescent="0.45">
      <c r="A340" s="11" t="s">
        <v>415</v>
      </c>
      <c r="B340" s="12">
        <v>45726.657638888886</v>
      </c>
      <c r="C340" s="13">
        <v>155</v>
      </c>
      <c r="D340" s="14">
        <v>0.06</v>
      </c>
      <c r="E340" s="14">
        <v>0.02</v>
      </c>
      <c r="F340" s="14">
        <v>7.0000000000000007E-2</v>
      </c>
      <c r="G340" s="14">
        <v>0</v>
      </c>
      <c r="H340" s="18">
        <v>0</v>
      </c>
      <c r="I340" s="14">
        <v>188</v>
      </c>
      <c r="J340" s="14">
        <v>35</v>
      </c>
      <c r="K340" s="18">
        <v>0.70309999999999995</v>
      </c>
      <c r="L340" s="26" t="b">
        <f t="shared" si="27"/>
        <v>0</v>
      </c>
      <c r="M340" s="26" t="str">
        <f t="shared" si="24"/>
        <v>put</v>
      </c>
      <c r="N340" s="28">
        <f t="shared" si="25"/>
        <v>45961</v>
      </c>
      <c r="O340" s="29">
        <f t="shared" si="26"/>
        <v>26</v>
      </c>
    </row>
    <row r="341" spans="1:15" x14ac:dyDescent="0.45">
      <c r="A341" s="11" t="s">
        <v>416</v>
      </c>
      <c r="B341" s="12">
        <v>45726.643750000003</v>
      </c>
      <c r="C341" s="13">
        <v>160</v>
      </c>
      <c r="D341" s="14">
        <v>7.0000000000000007E-2</v>
      </c>
      <c r="E341" s="14">
        <v>0.03</v>
      </c>
      <c r="F341" s="14">
        <v>7.0000000000000007E-2</v>
      </c>
      <c r="G341" s="14">
        <v>0</v>
      </c>
      <c r="H341" s="18">
        <v>0</v>
      </c>
      <c r="I341" s="14">
        <v>168</v>
      </c>
      <c r="J341" s="14">
        <v>109</v>
      </c>
      <c r="K341" s="18">
        <v>0.66990000000000005</v>
      </c>
      <c r="L341" s="26" t="b">
        <f t="shared" si="27"/>
        <v>0</v>
      </c>
      <c r="M341" s="26" t="str">
        <f t="shared" si="24"/>
        <v>put</v>
      </c>
      <c r="N341" s="28">
        <f t="shared" si="25"/>
        <v>45961</v>
      </c>
      <c r="O341" s="29">
        <f t="shared" si="26"/>
        <v>26</v>
      </c>
    </row>
    <row r="342" spans="1:15" x14ac:dyDescent="0.45">
      <c r="A342" s="11" t="s">
        <v>417</v>
      </c>
      <c r="B342" s="12">
        <v>45726.665277777778</v>
      </c>
      <c r="C342" s="13">
        <v>165</v>
      </c>
      <c r="D342" s="14">
        <v>7.0000000000000007E-2</v>
      </c>
      <c r="E342" s="14">
        <v>0.03</v>
      </c>
      <c r="F342" s="14">
        <v>0.08</v>
      </c>
      <c r="G342" s="14">
        <v>0.02</v>
      </c>
      <c r="H342" s="18">
        <v>0.4</v>
      </c>
      <c r="I342" s="14">
        <v>71</v>
      </c>
      <c r="J342" s="14">
        <v>6</v>
      </c>
      <c r="K342" s="18">
        <v>0.63670000000000004</v>
      </c>
      <c r="L342" s="26" t="b">
        <f t="shared" si="27"/>
        <v>0</v>
      </c>
      <c r="M342" s="26" t="str">
        <f t="shared" si="24"/>
        <v>put</v>
      </c>
      <c r="N342" s="28">
        <f t="shared" si="25"/>
        <v>45961</v>
      </c>
      <c r="O342" s="29">
        <f t="shared" si="26"/>
        <v>26</v>
      </c>
    </row>
    <row r="343" spans="1:15" x14ac:dyDescent="0.45">
      <c r="A343" s="11" t="s">
        <v>418</v>
      </c>
      <c r="B343" s="12">
        <v>45726.57708333333</v>
      </c>
      <c r="C343" s="13">
        <v>170</v>
      </c>
      <c r="D343" s="14">
        <v>0.08</v>
      </c>
      <c r="E343" s="14">
        <v>0.04</v>
      </c>
      <c r="F343" s="14">
        <v>0.09</v>
      </c>
      <c r="G343" s="14">
        <v>0.02</v>
      </c>
      <c r="H343" s="18">
        <v>0.33329999999999999</v>
      </c>
      <c r="I343" s="14">
        <v>219</v>
      </c>
      <c r="J343" s="14">
        <v>31</v>
      </c>
      <c r="K343" s="18">
        <v>0.60940000000000005</v>
      </c>
      <c r="L343" s="26" t="b">
        <f t="shared" si="27"/>
        <v>0</v>
      </c>
      <c r="M343" s="26" t="str">
        <f t="shared" si="24"/>
        <v>put</v>
      </c>
      <c r="N343" s="28">
        <f t="shared" si="25"/>
        <v>45961</v>
      </c>
      <c r="O343" s="29">
        <f t="shared" si="26"/>
        <v>26</v>
      </c>
    </row>
    <row r="344" spans="1:15" x14ac:dyDescent="0.45">
      <c r="A344" s="11" t="s">
        <v>419</v>
      </c>
      <c r="B344" s="14" t="s">
        <v>420</v>
      </c>
      <c r="C344" s="13">
        <v>175</v>
      </c>
      <c r="D344" s="14">
        <v>0.09</v>
      </c>
      <c r="E344" s="14">
        <v>0.06</v>
      </c>
      <c r="F344" s="14">
        <v>0.09</v>
      </c>
      <c r="G344" s="14">
        <v>0</v>
      </c>
      <c r="H344" s="18">
        <v>0</v>
      </c>
      <c r="I344" s="14">
        <v>1</v>
      </c>
      <c r="J344" s="14">
        <v>15</v>
      </c>
      <c r="K344" s="18">
        <v>0.58009999999999995</v>
      </c>
      <c r="L344" s="26" t="b">
        <f t="shared" si="27"/>
        <v>0</v>
      </c>
      <c r="M344" s="26" t="str">
        <f t="shared" si="24"/>
        <v>put</v>
      </c>
      <c r="N344" s="28">
        <f t="shared" si="25"/>
        <v>45961</v>
      </c>
      <c r="O344" s="29">
        <f t="shared" si="26"/>
        <v>26</v>
      </c>
    </row>
    <row r="345" spans="1:15" x14ac:dyDescent="0.45">
      <c r="A345" s="11" t="s">
        <v>421</v>
      </c>
      <c r="B345" s="12">
        <v>45726.519444444442</v>
      </c>
      <c r="C345" s="13">
        <v>180</v>
      </c>
      <c r="D345" s="14">
        <v>0.09</v>
      </c>
      <c r="E345" s="14">
        <v>7.0000000000000007E-2</v>
      </c>
      <c r="F345" s="14">
        <v>0.1</v>
      </c>
      <c r="G345" s="19">
        <v>-0.01</v>
      </c>
      <c r="H345" s="20">
        <v>-0.1</v>
      </c>
      <c r="I345" s="14">
        <v>16</v>
      </c>
      <c r="J345" s="14">
        <v>61</v>
      </c>
      <c r="K345" s="18">
        <v>0.54879999999999995</v>
      </c>
      <c r="L345" s="26" t="b">
        <f t="shared" si="27"/>
        <v>0</v>
      </c>
      <c r="M345" s="26" t="str">
        <f t="shared" si="24"/>
        <v>put</v>
      </c>
      <c r="N345" s="28">
        <f t="shared" si="25"/>
        <v>45961</v>
      </c>
      <c r="O345" s="29">
        <f t="shared" si="26"/>
        <v>26</v>
      </c>
    </row>
    <row r="346" spans="1:15" x14ac:dyDescent="0.45">
      <c r="A346" s="11" t="s">
        <v>422</v>
      </c>
      <c r="B346" s="12">
        <v>45726.628472222219</v>
      </c>
      <c r="C346" s="13">
        <v>185</v>
      </c>
      <c r="D346" s="14">
        <v>0.1</v>
      </c>
      <c r="E346" s="14">
        <v>0.09</v>
      </c>
      <c r="F346" s="14">
        <v>0.12</v>
      </c>
      <c r="G346" s="14">
        <v>-0.02</v>
      </c>
      <c r="H346" s="18">
        <v>-0.16669999999999999</v>
      </c>
      <c r="I346" s="14">
        <v>10</v>
      </c>
      <c r="J346" s="14">
        <v>185</v>
      </c>
      <c r="K346" s="18">
        <v>0.52539999999999998</v>
      </c>
      <c r="L346" s="26" t="b">
        <f t="shared" si="27"/>
        <v>0</v>
      </c>
      <c r="M346" s="26" t="str">
        <f t="shared" si="24"/>
        <v>put</v>
      </c>
      <c r="N346" s="28">
        <f t="shared" si="25"/>
        <v>45961</v>
      </c>
      <c r="O346" s="29">
        <f t="shared" si="26"/>
        <v>26</v>
      </c>
    </row>
    <row r="347" spans="1:15" x14ac:dyDescent="0.45">
      <c r="A347" s="11" t="s">
        <v>423</v>
      </c>
      <c r="B347" s="12">
        <v>45726.659722222219</v>
      </c>
      <c r="C347" s="13">
        <v>190</v>
      </c>
      <c r="D347" s="14">
        <v>0.13</v>
      </c>
      <c r="E347" s="14">
        <v>0.12</v>
      </c>
      <c r="F347" s="14">
        <v>0.14000000000000001</v>
      </c>
      <c r="G347" s="15">
        <v>-0.01</v>
      </c>
      <c r="H347" s="16">
        <v>-7.1400000000000005E-2</v>
      </c>
      <c r="I347" s="14">
        <v>13</v>
      </c>
      <c r="J347" s="14">
        <v>102</v>
      </c>
      <c r="K347" s="18">
        <v>0.502</v>
      </c>
      <c r="L347" s="26" t="b">
        <f t="shared" si="27"/>
        <v>0</v>
      </c>
      <c r="M347" s="26" t="str">
        <f t="shared" si="24"/>
        <v>put</v>
      </c>
      <c r="N347" s="28">
        <f t="shared" si="25"/>
        <v>45961</v>
      </c>
      <c r="O347" s="29">
        <f t="shared" si="26"/>
        <v>26</v>
      </c>
    </row>
    <row r="348" spans="1:15" x14ac:dyDescent="0.45">
      <c r="A348" s="11" t="s">
        <v>424</v>
      </c>
      <c r="B348" s="12">
        <v>45667.541666666664</v>
      </c>
      <c r="C348" s="13">
        <v>195</v>
      </c>
      <c r="D348" s="14">
        <v>0.15</v>
      </c>
      <c r="E348" s="14">
        <v>0.13</v>
      </c>
      <c r="F348" s="14">
        <v>0.16</v>
      </c>
      <c r="G348" s="15">
        <v>0</v>
      </c>
      <c r="H348" s="16">
        <v>0</v>
      </c>
      <c r="I348" s="14">
        <v>6</v>
      </c>
      <c r="J348" s="14">
        <v>113</v>
      </c>
      <c r="K348" s="18">
        <v>0.47749999999999998</v>
      </c>
      <c r="L348" s="26" t="b">
        <f t="shared" si="27"/>
        <v>0</v>
      </c>
      <c r="M348" s="26" t="str">
        <f t="shared" si="24"/>
        <v>put</v>
      </c>
      <c r="N348" s="28">
        <f t="shared" si="25"/>
        <v>45961</v>
      </c>
      <c r="O348" s="29">
        <f t="shared" si="26"/>
        <v>26</v>
      </c>
    </row>
    <row r="349" spans="1:15" x14ac:dyDescent="0.45">
      <c r="A349" s="11" t="s">
        <v>425</v>
      </c>
      <c r="B349" s="12">
        <v>45726.659722222219</v>
      </c>
      <c r="C349" s="13">
        <v>200</v>
      </c>
      <c r="D349" s="14">
        <v>0.16</v>
      </c>
      <c r="E349" s="14">
        <v>0.16</v>
      </c>
      <c r="F349" s="14">
        <v>0.19</v>
      </c>
      <c r="G349" s="15">
        <v>-0.01</v>
      </c>
      <c r="H349" s="16">
        <v>-5.8799999999999998E-2</v>
      </c>
      <c r="I349" s="14">
        <v>11</v>
      </c>
      <c r="J349" s="14">
        <v>489</v>
      </c>
      <c r="K349" s="18">
        <v>0.45019999999999999</v>
      </c>
      <c r="L349" s="26" t="b">
        <f t="shared" si="27"/>
        <v>0</v>
      </c>
      <c r="M349" s="26" t="str">
        <f t="shared" si="24"/>
        <v>put</v>
      </c>
      <c r="N349" s="28">
        <f t="shared" si="25"/>
        <v>45961</v>
      </c>
      <c r="O349" s="29">
        <f t="shared" si="26"/>
        <v>26</v>
      </c>
    </row>
    <row r="350" spans="1:15" x14ac:dyDescent="0.45">
      <c r="A350" s="11" t="s">
        <v>426</v>
      </c>
      <c r="B350" s="12">
        <v>45726.611805555556</v>
      </c>
      <c r="C350" s="13">
        <v>205</v>
      </c>
      <c r="D350" s="14">
        <v>0.21</v>
      </c>
      <c r="E350" s="14">
        <v>0.19</v>
      </c>
      <c r="F350" s="14">
        <v>0.22</v>
      </c>
      <c r="G350" s="14">
        <v>0.01</v>
      </c>
      <c r="H350" s="18">
        <v>0.05</v>
      </c>
      <c r="I350" s="14">
        <v>24</v>
      </c>
      <c r="J350" s="14">
        <v>163</v>
      </c>
      <c r="K350" s="18">
        <v>0.4219</v>
      </c>
      <c r="L350" s="26" t="b">
        <f t="shared" si="27"/>
        <v>0</v>
      </c>
      <c r="M350" s="26" t="str">
        <f t="shared" si="24"/>
        <v>put</v>
      </c>
      <c r="N350" s="28">
        <f t="shared" si="25"/>
        <v>45961</v>
      </c>
      <c r="O350" s="29">
        <f t="shared" si="26"/>
        <v>26</v>
      </c>
    </row>
    <row r="351" spans="1:15" x14ac:dyDescent="0.45">
      <c r="A351" s="11" t="s">
        <v>427</v>
      </c>
      <c r="B351" s="12">
        <v>45726.649305555555</v>
      </c>
      <c r="C351" s="13">
        <v>210</v>
      </c>
      <c r="D351" s="14">
        <v>0.25</v>
      </c>
      <c r="E351" s="14">
        <v>0.24</v>
      </c>
      <c r="F351" s="14">
        <v>0.27</v>
      </c>
      <c r="G351" s="14">
        <v>0</v>
      </c>
      <c r="H351" s="18">
        <v>0</v>
      </c>
      <c r="I351" s="14">
        <v>9</v>
      </c>
      <c r="J351" s="14">
        <v>590</v>
      </c>
      <c r="K351" s="18">
        <v>0.39650000000000002</v>
      </c>
      <c r="L351" s="26" t="b">
        <f t="shared" si="27"/>
        <v>0</v>
      </c>
      <c r="M351" s="26" t="str">
        <f t="shared" si="24"/>
        <v>put</v>
      </c>
      <c r="N351" s="28">
        <f t="shared" si="25"/>
        <v>45961</v>
      </c>
      <c r="O351" s="29">
        <f t="shared" si="26"/>
        <v>26</v>
      </c>
    </row>
    <row r="352" spans="1:15" x14ac:dyDescent="0.45">
      <c r="A352" s="11" t="s">
        <v>428</v>
      </c>
      <c r="B352" s="12">
        <v>45726.65</v>
      </c>
      <c r="C352" s="13">
        <v>215</v>
      </c>
      <c r="D352" s="14">
        <v>0.32</v>
      </c>
      <c r="E352" s="14">
        <v>0.31</v>
      </c>
      <c r="F352" s="14">
        <v>0.34</v>
      </c>
      <c r="G352" s="15">
        <v>-0.01</v>
      </c>
      <c r="H352" s="16">
        <v>-3.0300000000000001E-2</v>
      </c>
      <c r="I352" s="14">
        <v>33</v>
      </c>
      <c r="J352" s="14">
        <v>372</v>
      </c>
      <c r="K352" s="18">
        <v>0.37259999999999999</v>
      </c>
      <c r="L352" s="26" t="b">
        <f t="shared" si="27"/>
        <v>0</v>
      </c>
      <c r="M352" s="26" t="str">
        <f t="shared" si="24"/>
        <v>put</v>
      </c>
      <c r="N352" s="28">
        <f t="shared" si="25"/>
        <v>45961</v>
      </c>
      <c r="O352" s="29">
        <f t="shared" si="26"/>
        <v>26</v>
      </c>
    </row>
    <row r="353" spans="1:15" x14ac:dyDescent="0.45">
      <c r="A353" s="11" t="s">
        <v>429</v>
      </c>
      <c r="B353" s="12">
        <v>45726.661805555559</v>
      </c>
      <c r="C353" s="13">
        <v>220</v>
      </c>
      <c r="D353" s="14">
        <v>0.45</v>
      </c>
      <c r="E353" s="14">
        <v>0.42</v>
      </c>
      <c r="F353" s="14">
        <v>0.46</v>
      </c>
      <c r="G353" s="15">
        <v>-0.01</v>
      </c>
      <c r="H353" s="16">
        <v>-2.1700000000000001E-2</v>
      </c>
      <c r="I353" s="14">
        <v>85</v>
      </c>
      <c r="J353" s="17">
        <v>1045</v>
      </c>
      <c r="K353" s="18">
        <v>0.35299999999999998</v>
      </c>
      <c r="L353" s="26" t="b">
        <f t="shared" si="27"/>
        <v>0</v>
      </c>
      <c r="M353" s="26" t="str">
        <f t="shared" si="24"/>
        <v>put</v>
      </c>
      <c r="N353" s="28">
        <f t="shared" si="25"/>
        <v>45961</v>
      </c>
      <c r="O353" s="29">
        <f t="shared" si="26"/>
        <v>26</v>
      </c>
    </row>
    <row r="354" spans="1:15" x14ac:dyDescent="0.45">
      <c r="A354" s="11" t="s">
        <v>430</v>
      </c>
      <c r="B354" s="12">
        <v>45726.657638888886</v>
      </c>
      <c r="C354" s="13">
        <v>225</v>
      </c>
      <c r="D354" s="14">
        <v>0.6</v>
      </c>
      <c r="E354" s="14">
        <v>0.57999999999999996</v>
      </c>
      <c r="F354" s="14">
        <v>0.62</v>
      </c>
      <c r="G354" s="15">
        <v>0</v>
      </c>
      <c r="H354" s="16">
        <v>0</v>
      </c>
      <c r="I354" s="14">
        <v>47</v>
      </c>
      <c r="J354" s="17">
        <v>1005</v>
      </c>
      <c r="K354" s="18">
        <v>0.33279999999999998</v>
      </c>
      <c r="L354" s="26" t="b">
        <f t="shared" si="27"/>
        <v>0</v>
      </c>
      <c r="M354" s="26" t="str">
        <f t="shared" si="24"/>
        <v>put</v>
      </c>
      <c r="N354" s="28">
        <f t="shared" si="25"/>
        <v>45961</v>
      </c>
      <c r="O354" s="29">
        <f t="shared" si="26"/>
        <v>26</v>
      </c>
    </row>
    <row r="355" spans="1:15" x14ac:dyDescent="0.45">
      <c r="A355" s="11" t="s">
        <v>431</v>
      </c>
      <c r="B355" s="12">
        <v>45726.665277777778</v>
      </c>
      <c r="C355" s="13">
        <v>230</v>
      </c>
      <c r="D355" s="14">
        <v>0.87</v>
      </c>
      <c r="E355" s="14">
        <v>0.84</v>
      </c>
      <c r="F355" s="14">
        <v>0.88</v>
      </c>
      <c r="G355" s="15">
        <v>-7.0000000000000007E-2</v>
      </c>
      <c r="H355" s="16">
        <v>-7.4499999999999997E-2</v>
      </c>
      <c r="I355" s="14">
        <v>417</v>
      </c>
      <c r="J355" s="17">
        <v>2162</v>
      </c>
      <c r="K355" s="18">
        <v>0.31619999999999998</v>
      </c>
      <c r="L355" s="26" t="b">
        <f t="shared" si="27"/>
        <v>0</v>
      </c>
      <c r="M355" s="26" t="str">
        <f t="shared" si="24"/>
        <v>put</v>
      </c>
      <c r="N355" s="28">
        <f t="shared" si="25"/>
        <v>45961</v>
      </c>
      <c r="O355" s="29">
        <f t="shared" si="26"/>
        <v>26</v>
      </c>
    </row>
    <row r="356" spans="1:15" x14ac:dyDescent="0.45">
      <c r="A356" s="11" t="s">
        <v>432</v>
      </c>
      <c r="B356" s="12">
        <v>45726.646527777775</v>
      </c>
      <c r="C356" s="13">
        <v>235</v>
      </c>
      <c r="D356" s="14">
        <v>1.27</v>
      </c>
      <c r="E356" s="14">
        <v>1.24</v>
      </c>
      <c r="F356" s="14">
        <v>1.29</v>
      </c>
      <c r="G356" s="14">
        <v>-0.08</v>
      </c>
      <c r="H356" s="18">
        <v>-5.9299999999999999E-2</v>
      </c>
      <c r="I356" s="14">
        <v>326</v>
      </c>
      <c r="J356" s="14">
        <v>962</v>
      </c>
      <c r="K356" s="18">
        <v>0.30230000000000001</v>
      </c>
      <c r="L356" s="26" t="b">
        <f t="shared" si="27"/>
        <v>0</v>
      </c>
      <c r="M356" s="26" t="str">
        <f t="shared" si="24"/>
        <v>put</v>
      </c>
      <c r="N356" s="28">
        <f t="shared" si="25"/>
        <v>45961</v>
      </c>
      <c r="O356" s="29">
        <f t="shared" si="26"/>
        <v>26</v>
      </c>
    </row>
    <row r="357" spans="1:15" x14ac:dyDescent="0.45">
      <c r="A357" s="11" t="s">
        <v>433</v>
      </c>
      <c r="B357" s="12">
        <v>45726.661111111112</v>
      </c>
      <c r="C357" s="13">
        <v>240</v>
      </c>
      <c r="D357" s="14">
        <v>1.91</v>
      </c>
      <c r="E357" s="14">
        <v>1.83</v>
      </c>
      <c r="F357" s="14">
        <v>1.9</v>
      </c>
      <c r="G357" s="15">
        <v>-0.16</v>
      </c>
      <c r="H357" s="16">
        <v>-7.7299999999999994E-2</v>
      </c>
      <c r="I357" s="14">
        <v>421</v>
      </c>
      <c r="J357" s="17">
        <v>2494</v>
      </c>
      <c r="K357" s="18">
        <v>0.28970000000000001</v>
      </c>
      <c r="L357" s="26" t="b">
        <f t="shared" si="27"/>
        <v>0</v>
      </c>
      <c r="M357" s="26" t="str">
        <f t="shared" si="24"/>
        <v>put</v>
      </c>
      <c r="N357" s="28">
        <f t="shared" si="25"/>
        <v>45961</v>
      </c>
      <c r="O357" s="29">
        <f t="shared" si="26"/>
        <v>26</v>
      </c>
    </row>
    <row r="358" spans="1:15" x14ac:dyDescent="0.45">
      <c r="A358" s="11" t="s">
        <v>434</v>
      </c>
      <c r="B358" s="12">
        <v>45726.665972222225</v>
      </c>
      <c r="C358" s="13">
        <v>245</v>
      </c>
      <c r="D358" s="14">
        <v>2.78</v>
      </c>
      <c r="E358" s="14">
        <v>2.74</v>
      </c>
      <c r="F358" s="14">
        <v>2.82</v>
      </c>
      <c r="G358" s="15">
        <v>-0.24</v>
      </c>
      <c r="H358" s="16">
        <v>-7.9500000000000001E-2</v>
      </c>
      <c r="I358" s="14">
        <v>350</v>
      </c>
      <c r="J358" s="17">
        <v>1035</v>
      </c>
      <c r="K358" s="18">
        <v>0.27960000000000002</v>
      </c>
      <c r="L358" s="26" t="b">
        <f t="shared" si="27"/>
        <v>0</v>
      </c>
      <c r="M358" s="26" t="str">
        <f t="shared" si="24"/>
        <v>put</v>
      </c>
      <c r="N358" s="28">
        <f t="shared" si="25"/>
        <v>45961</v>
      </c>
      <c r="O358" s="29">
        <f t="shared" si="26"/>
        <v>26</v>
      </c>
    </row>
    <row r="359" spans="1:15" x14ac:dyDescent="0.45">
      <c r="A359" s="11" t="s">
        <v>435</v>
      </c>
      <c r="B359" s="12">
        <v>45726.665277777778</v>
      </c>
      <c r="C359" s="13">
        <v>250</v>
      </c>
      <c r="D359" s="14">
        <v>4.0999999999999996</v>
      </c>
      <c r="E359" s="14">
        <v>4</v>
      </c>
      <c r="F359" s="14">
        <v>4.1500000000000004</v>
      </c>
      <c r="G359" s="15">
        <v>-0.31</v>
      </c>
      <c r="H359" s="16">
        <v>-7.0300000000000001E-2</v>
      </c>
      <c r="I359" s="14">
        <v>480</v>
      </c>
      <c r="J359" s="17">
        <v>1268</v>
      </c>
      <c r="K359" s="18">
        <v>0.2717</v>
      </c>
      <c r="L359" s="26" t="b">
        <f t="shared" si="27"/>
        <v>0</v>
      </c>
      <c r="M359" s="26" t="str">
        <f t="shared" si="24"/>
        <v>put</v>
      </c>
      <c r="N359" s="28">
        <f t="shared" si="25"/>
        <v>45961</v>
      </c>
      <c r="O359" s="29">
        <f t="shared" si="26"/>
        <v>26</v>
      </c>
    </row>
    <row r="360" spans="1:15" x14ac:dyDescent="0.45">
      <c r="A360" s="11" t="s">
        <v>436</v>
      </c>
      <c r="B360" s="12">
        <v>45726.665972222225</v>
      </c>
      <c r="C360" s="13">
        <v>255</v>
      </c>
      <c r="D360" s="14">
        <v>5.8</v>
      </c>
      <c r="E360" s="14">
        <v>5.75</v>
      </c>
      <c r="F360" s="14">
        <v>5.9</v>
      </c>
      <c r="G360" s="19">
        <v>-0.41</v>
      </c>
      <c r="H360" s="20">
        <v>-6.6000000000000003E-2</v>
      </c>
      <c r="I360" s="17">
        <v>1232</v>
      </c>
      <c r="J360" s="17">
        <v>1482</v>
      </c>
      <c r="K360" s="18">
        <v>0.26279999999999998</v>
      </c>
      <c r="L360" s="26" t="b">
        <f t="shared" si="27"/>
        <v>0</v>
      </c>
      <c r="M360" s="26" t="str">
        <f t="shared" si="24"/>
        <v>put</v>
      </c>
      <c r="N360" s="28">
        <f t="shared" si="25"/>
        <v>45961</v>
      </c>
      <c r="O360" s="29">
        <f t="shared" si="26"/>
        <v>26</v>
      </c>
    </row>
    <row r="361" spans="1:15" x14ac:dyDescent="0.45">
      <c r="A361" s="1" t="s">
        <v>437</v>
      </c>
      <c r="B361" s="2">
        <v>45726.65902777778</v>
      </c>
      <c r="C361" s="3">
        <v>260</v>
      </c>
      <c r="D361" s="4">
        <v>8.48</v>
      </c>
      <c r="E361" s="4">
        <v>8</v>
      </c>
      <c r="F361" s="4">
        <v>8.15</v>
      </c>
      <c r="G361" s="8">
        <v>-0.12</v>
      </c>
      <c r="H361" s="9">
        <v>-1.4E-2</v>
      </c>
      <c r="I361" s="4">
        <v>654</v>
      </c>
      <c r="J361" s="4">
        <v>496</v>
      </c>
      <c r="K361" s="5">
        <v>0.25330000000000003</v>
      </c>
      <c r="L361" s="26" t="b">
        <f t="shared" si="27"/>
        <v>1</v>
      </c>
      <c r="M361" s="26" t="str">
        <f t="shared" ref="M361:M371" si="28">IF(MID(A361,11,1)="C","call","put")</f>
        <v>put</v>
      </c>
      <c r="N361" s="28">
        <f t="shared" ref="N361:N371" si="29">DATE(MID(A361,5,2)+2000,MID(A361,7,2),MID(A361,9,2))</f>
        <v>45961</v>
      </c>
      <c r="O361" s="29">
        <f t="shared" si="26"/>
        <v>26</v>
      </c>
    </row>
    <row r="362" spans="1:15" x14ac:dyDescent="0.45">
      <c r="A362" s="1" t="s">
        <v>438</v>
      </c>
      <c r="B362" s="2">
        <v>45726.65902777778</v>
      </c>
      <c r="C362" s="3">
        <v>265</v>
      </c>
      <c r="D362" s="4">
        <v>10.94</v>
      </c>
      <c r="E362" s="4">
        <v>10.85</v>
      </c>
      <c r="F362" s="4">
        <v>11</v>
      </c>
      <c r="G362" s="8">
        <v>-0.33</v>
      </c>
      <c r="H362" s="9">
        <v>-2.93E-2</v>
      </c>
      <c r="I362" s="4">
        <v>18</v>
      </c>
      <c r="J362" s="4">
        <v>269</v>
      </c>
      <c r="K362" s="5">
        <v>0.24540000000000001</v>
      </c>
      <c r="L362" s="26" t="b">
        <f t="shared" si="27"/>
        <v>1</v>
      </c>
      <c r="M362" s="26" t="str">
        <f t="shared" si="28"/>
        <v>put</v>
      </c>
      <c r="N362" s="28">
        <f t="shared" si="29"/>
        <v>45961</v>
      </c>
      <c r="O362" s="29">
        <f t="shared" si="26"/>
        <v>26</v>
      </c>
    </row>
    <row r="363" spans="1:15" x14ac:dyDescent="0.45">
      <c r="A363" s="1" t="s">
        <v>439</v>
      </c>
      <c r="B363" s="2">
        <v>45726.636111111111</v>
      </c>
      <c r="C363" s="3">
        <v>270</v>
      </c>
      <c r="D363" s="4">
        <v>14.24</v>
      </c>
      <c r="E363" s="4">
        <v>14.1</v>
      </c>
      <c r="F363" s="4">
        <v>14.45</v>
      </c>
      <c r="G363" s="8">
        <v>-0.61</v>
      </c>
      <c r="H363" s="9">
        <v>-4.1099999999999998E-2</v>
      </c>
      <c r="I363" s="4">
        <v>216</v>
      </c>
      <c r="J363" s="4">
        <v>201</v>
      </c>
      <c r="K363" s="5">
        <v>0.23960000000000001</v>
      </c>
      <c r="L363" s="26" t="b">
        <f t="shared" si="27"/>
        <v>1</v>
      </c>
      <c r="M363" s="26" t="str">
        <f t="shared" si="28"/>
        <v>put</v>
      </c>
      <c r="N363" s="28">
        <f t="shared" si="29"/>
        <v>45961</v>
      </c>
      <c r="O363" s="29">
        <f t="shared" si="26"/>
        <v>26</v>
      </c>
    </row>
    <row r="364" spans="1:15" x14ac:dyDescent="0.45">
      <c r="A364" s="1" t="s">
        <v>440</v>
      </c>
      <c r="B364" s="2">
        <v>45698.544444444444</v>
      </c>
      <c r="C364" s="3">
        <v>275</v>
      </c>
      <c r="D364" s="4">
        <v>18.75</v>
      </c>
      <c r="E364" s="4">
        <v>17.95</v>
      </c>
      <c r="F364" s="4">
        <v>18.5</v>
      </c>
      <c r="G364" s="8">
        <v>0</v>
      </c>
      <c r="H364" s="9">
        <v>0</v>
      </c>
      <c r="I364" s="4">
        <v>21</v>
      </c>
      <c r="J364" s="4">
        <v>44</v>
      </c>
      <c r="K364" s="5">
        <v>0.2404</v>
      </c>
      <c r="L364" s="26" t="b">
        <f t="shared" si="27"/>
        <v>1</v>
      </c>
      <c r="M364" s="26" t="str">
        <f t="shared" si="28"/>
        <v>put</v>
      </c>
      <c r="N364" s="28">
        <f t="shared" si="29"/>
        <v>45961</v>
      </c>
      <c r="O364" s="29">
        <f t="shared" si="26"/>
        <v>26</v>
      </c>
    </row>
    <row r="365" spans="1:15" x14ac:dyDescent="0.45">
      <c r="A365" s="1" t="s">
        <v>441</v>
      </c>
      <c r="B365" s="2">
        <v>45726.534722222219</v>
      </c>
      <c r="C365" s="3">
        <v>280</v>
      </c>
      <c r="D365" s="4">
        <v>22.02</v>
      </c>
      <c r="E365" s="4">
        <v>22.35</v>
      </c>
      <c r="F365" s="4">
        <v>22.7</v>
      </c>
      <c r="G365" s="8">
        <v>-3.03</v>
      </c>
      <c r="H365" s="9">
        <v>-0.121</v>
      </c>
      <c r="I365" s="4">
        <v>7</v>
      </c>
      <c r="J365" s="4">
        <v>4</v>
      </c>
      <c r="K365" s="5">
        <v>0.2273</v>
      </c>
      <c r="L365" s="26" t="b">
        <f t="shared" si="27"/>
        <v>1</v>
      </c>
      <c r="M365" s="26" t="str">
        <f t="shared" si="28"/>
        <v>put</v>
      </c>
      <c r="N365" s="28">
        <f t="shared" si="29"/>
        <v>45961</v>
      </c>
      <c r="O365" s="29">
        <f t="shared" si="26"/>
        <v>26</v>
      </c>
    </row>
    <row r="366" spans="1:15" x14ac:dyDescent="0.45">
      <c r="A366" s="1" t="s">
        <v>442</v>
      </c>
      <c r="B366" s="2">
        <v>45726.647916666669</v>
      </c>
      <c r="C366" s="3">
        <v>285</v>
      </c>
      <c r="D366" s="4">
        <v>27.15</v>
      </c>
      <c r="E366" s="4">
        <v>26.65</v>
      </c>
      <c r="F366" s="4">
        <v>27.6</v>
      </c>
      <c r="G366" s="8">
        <v>-0.35</v>
      </c>
      <c r="H366" s="9">
        <v>-1.2699999999999999E-2</v>
      </c>
      <c r="I366" s="4">
        <v>2</v>
      </c>
      <c r="J366" s="4">
        <v>5</v>
      </c>
      <c r="K366" s="5">
        <v>0.25340000000000001</v>
      </c>
      <c r="L366" s="26" t="b">
        <f t="shared" si="27"/>
        <v>1</v>
      </c>
      <c r="M366" s="26" t="str">
        <f t="shared" si="28"/>
        <v>put</v>
      </c>
      <c r="N366" s="28">
        <f t="shared" si="29"/>
        <v>45961</v>
      </c>
      <c r="O366" s="29">
        <f t="shared" si="26"/>
        <v>26</v>
      </c>
    </row>
    <row r="367" spans="1:15" x14ac:dyDescent="0.45">
      <c r="A367" s="1" t="s">
        <v>443</v>
      </c>
      <c r="B367" s="4" t="s">
        <v>444</v>
      </c>
      <c r="C367" s="3">
        <v>290</v>
      </c>
      <c r="D367" s="4">
        <v>36.130000000000003</v>
      </c>
      <c r="E367" s="4">
        <v>31.35</v>
      </c>
      <c r="F367" s="4">
        <v>32.6</v>
      </c>
      <c r="G367" s="8">
        <v>0</v>
      </c>
      <c r="H367" s="9">
        <v>0</v>
      </c>
      <c r="I367" s="4">
        <v>1</v>
      </c>
      <c r="J367" s="4">
        <v>0</v>
      </c>
      <c r="K367" s="5">
        <v>0.28610000000000002</v>
      </c>
      <c r="L367" s="26" t="b">
        <f t="shared" si="27"/>
        <v>1</v>
      </c>
      <c r="M367" s="26" t="str">
        <f t="shared" si="28"/>
        <v>put</v>
      </c>
      <c r="N367" s="28">
        <f t="shared" si="29"/>
        <v>45961</v>
      </c>
      <c r="O367" s="29">
        <f t="shared" si="26"/>
        <v>26</v>
      </c>
    </row>
    <row r="368" spans="1:15" x14ac:dyDescent="0.45">
      <c r="A368" s="1" t="s">
        <v>445</v>
      </c>
      <c r="B368" s="4" t="s">
        <v>446</v>
      </c>
      <c r="C368" s="3">
        <v>295</v>
      </c>
      <c r="D368" s="4">
        <v>43.47</v>
      </c>
      <c r="E368" s="4">
        <v>36.450000000000003</v>
      </c>
      <c r="F368" s="4">
        <v>37.549999999999997</v>
      </c>
      <c r="G368" s="8">
        <v>0</v>
      </c>
      <c r="H368" s="9">
        <v>0</v>
      </c>
      <c r="I368" s="4">
        <v>0</v>
      </c>
      <c r="J368" s="4">
        <v>0</v>
      </c>
      <c r="K368" s="5">
        <v>0.312</v>
      </c>
      <c r="L368" s="26" t="b">
        <f t="shared" si="27"/>
        <v>1</v>
      </c>
      <c r="M368" s="26" t="str">
        <f t="shared" si="28"/>
        <v>put</v>
      </c>
      <c r="N368" s="28">
        <f t="shared" si="29"/>
        <v>45961</v>
      </c>
      <c r="O368" s="29">
        <f t="shared" si="26"/>
        <v>26</v>
      </c>
    </row>
    <row r="369" spans="1:15" x14ac:dyDescent="0.45">
      <c r="A369" s="1" t="s">
        <v>447</v>
      </c>
      <c r="B369" s="2">
        <v>45698.470833333333</v>
      </c>
      <c r="C369" s="3">
        <v>300</v>
      </c>
      <c r="D369" s="4">
        <v>43.56</v>
      </c>
      <c r="E369" s="4">
        <v>41.6</v>
      </c>
      <c r="F369" s="4">
        <v>42.55</v>
      </c>
      <c r="G369" s="4">
        <v>0</v>
      </c>
      <c r="H369" s="5">
        <v>0</v>
      </c>
      <c r="I369" s="4">
        <v>5</v>
      </c>
      <c r="J369" s="4">
        <v>0</v>
      </c>
      <c r="K369" s="5">
        <v>0.34200000000000003</v>
      </c>
      <c r="L369" s="26" t="b">
        <f t="shared" si="27"/>
        <v>1</v>
      </c>
      <c r="M369" s="26" t="str">
        <f t="shared" si="28"/>
        <v>put</v>
      </c>
      <c r="N369" s="28">
        <f t="shared" si="29"/>
        <v>45961</v>
      </c>
      <c r="O369" s="29">
        <f t="shared" si="26"/>
        <v>26</v>
      </c>
    </row>
    <row r="370" spans="1:15" x14ac:dyDescent="0.45">
      <c r="A370" s="1" t="s">
        <v>448</v>
      </c>
      <c r="B370" s="4" t="s">
        <v>449</v>
      </c>
      <c r="C370" s="3">
        <v>310</v>
      </c>
      <c r="D370" s="4">
        <v>56.26</v>
      </c>
      <c r="E370" s="4">
        <v>51.4</v>
      </c>
      <c r="F370" s="4">
        <v>52.5</v>
      </c>
      <c r="G370" s="4">
        <v>0</v>
      </c>
      <c r="H370" s="5">
        <v>0</v>
      </c>
      <c r="I370" s="4">
        <v>0</v>
      </c>
      <c r="J370" s="4">
        <v>0</v>
      </c>
      <c r="K370" s="5">
        <v>0.39190000000000003</v>
      </c>
      <c r="L370" s="26" t="b">
        <f t="shared" si="27"/>
        <v>1</v>
      </c>
      <c r="M370" s="26" t="str">
        <f t="shared" si="28"/>
        <v>put</v>
      </c>
      <c r="N370" s="28">
        <f t="shared" si="29"/>
        <v>45961</v>
      </c>
      <c r="O370" s="29">
        <f t="shared" si="26"/>
        <v>26</v>
      </c>
    </row>
    <row r="371" spans="1:15" x14ac:dyDescent="0.45">
      <c r="A371" s="1" t="s">
        <v>450</v>
      </c>
      <c r="B371" s="4" t="s">
        <v>444</v>
      </c>
      <c r="C371" s="3">
        <v>315</v>
      </c>
      <c r="D371" s="4">
        <v>61.11</v>
      </c>
      <c r="E371" s="4">
        <v>56.6</v>
      </c>
      <c r="F371" s="4">
        <v>57.4</v>
      </c>
      <c r="G371" s="4">
        <v>0</v>
      </c>
      <c r="H371" s="5">
        <v>0</v>
      </c>
      <c r="I371" s="4">
        <v>1</v>
      </c>
      <c r="J371" s="4">
        <v>0</v>
      </c>
      <c r="K371" s="5">
        <v>0.40279999999999999</v>
      </c>
      <c r="L371" s="26" t="b">
        <f t="shared" si="27"/>
        <v>1</v>
      </c>
      <c r="M371" s="26" t="str">
        <f t="shared" si="28"/>
        <v>put</v>
      </c>
      <c r="N371" s="28">
        <f t="shared" si="29"/>
        <v>45961</v>
      </c>
      <c r="O371" s="29">
        <f t="shared" si="26"/>
        <v>26</v>
      </c>
    </row>
    <row r="372" spans="1:15" x14ac:dyDescent="0.45">
      <c r="A372" s="1" t="s">
        <v>451</v>
      </c>
      <c r="B372" s="4" t="s">
        <v>452</v>
      </c>
      <c r="C372" s="3">
        <v>120</v>
      </c>
      <c r="D372" s="4">
        <v>136.28</v>
      </c>
      <c r="E372" s="4">
        <v>137.94999999999999</v>
      </c>
      <c r="F372" s="4">
        <v>139.44999999999999</v>
      </c>
      <c r="G372" s="4">
        <v>0</v>
      </c>
      <c r="H372" s="5">
        <v>0</v>
      </c>
      <c r="I372" s="4">
        <v>1</v>
      </c>
      <c r="J372" s="4">
        <v>1</v>
      </c>
      <c r="K372" s="5">
        <v>1.292</v>
      </c>
      <c r="L372" s="26" t="b">
        <f t="shared" si="27"/>
        <v>1</v>
      </c>
      <c r="M372" s="26" t="str">
        <f t="shared" ref="M372:M435" si="30">IF(MID(A372,11,1)="C","call","put")</f>
        <v>call</v>
      </c>
      <c r="N372" s="28">
        <f t="shared" ref="N372:N435" si="31">DATE(MID(A372,5,2)+2000,MID(A372,7,2),MID(A372,9,2))</f>
        <v>45968</v>
      </c>
      <c r="O372" s="29">
        <f t="shared" si="26"/>
        <v>33</v>
      </c>
    </row>
    <row r="373" spans="1:15" x14ac:dyDescent="0.45">
      <c r="A373" s="1" t="s">
        <v>453</v>
      </c>
      <c r="B373" s="4" t="s">
        <v>454</v>
      </c>
      <c r="C373" s="3">
        <v>200</v>
      </c>
      <c r="D373" s="4">
        <v>57</v>
      </c>
      <c r="E373" s="4">
        <v>58.1</v>
      </c>
      <c r="F373" s="4">
        <v>60.4</v>
      </c>
      <c r="G373" s="4">
        <v>0</v>
      </c>
      <c r="H373" s="5">
        <v>0</v>
      </c>
      <c r="I373" s="4">
        <v>7</v>
      </c>
      <c r="J373" s="4">
        <v>5</v>
      </c>
      <c r="K373" s="5">
        <v>0.56740000000000002</v>
      </c>
      <c r="L373" s="26" t="b">
        <f t="shared" si="27"/>
        <v>1</v>
      </c>
      <c r="M373" s="26" t="str">
        <f t="shared" si="30"/>
        <v>call</v>
      </c>
      <c r="N373" s="28">
        <f t="shared" si="31"/>
        <v>45968</v>
      </c>
      <c r="O373" s="29">
        <f t="shared" si="26"/>
        <v>33</v>
      </c>
    </row>
    <row r="374" spans="1:15" x14ac:dyDescent="0.45">
      <c r="A374" s="1" t="s">
        <v>455</v>
      </c>
      <c r="B374" s="2">
        <v>45726.645833333336</v>
      </c>
      <c r="C374" s="3">
        <v>215</v>
      </c>
      <c r="D374" s="4">
        <v>44.3</v>
      </c>
      <c r="E374" s="4">
        <v>44.05</v>
      </c>
      <c r="F374" s="4">
        <v>45.55</v>
      </c>
      <c r="G374" s="4">
        <v>0.7</v>
      </c>
      <c r="H374" s="5">
        <v>1.61E-2</v>
      </c>
      <c r="I374" s="4">
        <v>15</v>
      </c>
      <c r="J374" s="4">
        <v>12</v>
      </c>
      <c r="K374" s="5">
        <v>0.53380000000000005</v>
      </c>
      <c r="L374" s="26" t="b">
        <f t="shared" si="27"/>
        <v>1</v>
      </c>
      <c r="M374" s="26" t="str">
        <f t="shared" si="30"/>
        <v>call</v>
      </c>
      <c r="N374" s="28">
        <f t="shared" si="31"/>
        <v>45968</v>
      </c>
      <c r="O374" s="29">
        <f t="shared" si="26"/>
        <v>33</v>
      </c>
    </row>
    <row r="375" spans="1:15" x14ac:dyDescent="0.45">
      <c r="A375" s="1" t="s">
        <v>456</v>
      </c>
      <c r="B375" s="2">
        <v>45726.415972222225</v>
      </c>
      <c r="C375" s="3">
        <v>220</v>
      </c>
      <c r="D375" s="4">
        <v>39.57</v>
      </c>
      <c r="E375" s="4">
        <v>39.25</v>
      </c>
      <c r="F375" s="4">
        <v>40</v>
      </c>
      <c r="G375" s="6">
        <v>0.62</v>
      </c>
      <c r="H375" s="7">
        <v>1.5900000000000001E-2</v>
      </c>
      <c r="I375" s="4">
        <v>1</v>
      </c>
      <c r="J375" s="4">
        <v>44</v>
      </c>
      <c r="K375" s="5">
        <v>0.44950000000000001</v>
      </c>
      <c r="L375" s="26" t="b">
        <f t="shared" si="27"/>
        <v>1</v>
      </c>
      <c r="M375" s="26" t="str">
        <f t="shared" si="30"/>
        <v>call</v>
      </c>
      <c r="N375" s="28">
        <f t="shared" si="31"/>
        <v>45968</v>
      </c>
      <c r="O375" s="29">
        <f t="shared" si="26"/>
        <v>33</v>
      </c>
    </row>
    <row r="376" spans="1:15" x14ac:dyDescent="0.45">
      <c r="A376" s="1" t="s">
        <v>457</v>
      </c>
      <c r="B376" s="2">
        <v>45726.634027777778</v>
      </c>
      <c r="C376" s="3">
        <v>225</v>
      </c>
      <c r="D376" s="4">
        <v>34.67</v>
      </c>
      <c r="E376" s="4">
        <v>34.450000000000003</v>
      </c>
      <c r="F376" s="4">
        <v>35.1</v>
      </c>
      <c r="G376" s="4">
        <v>0.28999999999999998</v>
      </c>
      <c r="H376" s="5">
        <v>8.3999999999999995E-3</v>
      </c>
      <c r="I376" s="4">
        <v>18</v>
      </c>
      <c r="J376" s="4">
        <v>29</v>
      </c>
      <c r="K376" s="5">
        <v>0.4093</v>
      </c>
      <c r="L376" s="26" t="b">
        <f t="shared" si="27"/>
        <v>1</v>
      </c>
      <c r="M376" s="26" t="str">
        <f t="shared" si="30"/>
        <v>call</v>
      </c>
      <c r="N376" s="28">
        <f t="shared" si="31"/>
        <v>45968</v>
      </c>
      <c r="O376" s="29">
        <f t="shared" si="26"/>
        <v>33</v>
      </c>
    </row>
    <row r="377" spans="1:15" x14ac:dyDescent="0.45">
      <c r="A377" s="1" t="s">
        <v>458</v>
      </c>
      <c r="B377" s="2">
        <v>45726.504166666666</v>
      </c>
      <c r="C377" s="3">
        <v>230</v>
      </c>
      <c r="D377" s="4">
        <v>30.4</v>
      </c>
      <c r="E377" s="4">
        <v>29.85</v>
      </c>
      <c r="F377" s="4">
        <v>30.4</v>
      </c>
      <c r="G377" s="4">
        <v>1.28</v>
      </c>
      <c r="H377" s="5">
        <v>4.3999999999999997E-2</v>
      </c>
      <c r="I377" s="4">
        <v>27</v>
      </c>
      <c r="J377" s="4">
        <v>25</v>
      </c>
      <c r="K377" s="5">
        <v>0.37930000000000003</v>
      </c>
      <c r="L377" s="26" t="b">
        <f t="shared" si="27"/>
        <v>1</v>
      </c>
      <c r="M377" s="26" t="str">
        <f t="shared" si="30"/>
        <v>call</v>
      </c>
      <c r="N377" s="28">
        <f t="shared" si="31"/>
        <v>45968</v>
      </c>
      <c r="O377" s="29">
        <f t="shared" si="26"/>
        <v>33</v>
      </c>
    </row>
    <row r="378" spans="1:15" x14ac:dyDescent="0.45">
      <c r="A378" s="1" t="s">
        <v>459</v>
      </c>
      <c r="B378" s="2">
        <v>45726.520833333336</v>
      </c>
      <c r="C378" s="3">
        <v>235</v>
      </c>
      <c r="D378" s="4">
        <v>26.13</v>
      </c>
      <c r="E378" s="4">
        <v>25.4</v>
      </c>
      <c r="F378" s="4">
        <v>25.8</v>
      </c>
      <c r="G378" s="6">
        <v>0.48</v>
      </c>
      <c r="H378" s="7">
        <v>1.8700000000000001E-2</v>
      </c>
      <c r="I378" s="4">
        <v>59</v>
      </c>
      <c r="J378" s="4">
        <v>237</v>
      </c>
      <c r="K378" s="5">
        <v>0.35070000000000001</v>
      </c>
      <c r="L378" s="26" t="b">
        <f t="shared" si="27"/>
        <v>1</v>
      </c>
      <c r="M378" s="26" t="str">
        <f t="shared" si="30"/>
        <v>call</v>
      </c>
      <c r="N378" s="28">
        <f t="shared" si="31"/>
        <v>45968</v>
      </c>
      <c r="O378" s="29">
        <f t="shared" si="26"/>
        <v>33</v>
      </c>
    </row>
    <row r="379" spans="1:15" x14ac:dyDescent="0.45">
      <c r="A379" s="1" t="s">
        <v>460</v>
      </c>
      <c r="B379" s="2">
        <v>45726.629166666666</v>
      </c>
      <c r="C379" s="3">
        <v>240</v>
      </c>
      <c r="D379" s="4">
        <v>21.47</v>
      </c>
      <c r="E379" s="4">
        <v>21.15</v>
      </c>
      <c r="F379" s="4">
        <v>21.55</v>
      </c>
      <c r="G379" s="4">
        <v>0.32</v>
      </c>
      <c r="H379" s="5">
        <v>1.5100000000000001E-2</v>
      </c>
      <c r="I379" s="4">
        <v>100</v>
      </c>
      <c r="J379" s="4">
        <v>398</v>
      </c>
      <c r="K379" s="5">
        <v>0.33260000000000001</v>
      </c>
      <c r="L379" s="26" t="b">
        <f t="shared" si="27"/>
        <v>1</v>
      </c>
      <c r="M379" s="26" t="str">
        <f t="shared" si="30"/>
        <v>call</v>
      </c>
      <c r="N379" s="28">
        <f t="shared" si="31"/>
        <v>45968</v>
      </c>
      <c r="O379" s="29">
        <f t="shared" si="26"/>
        <v>33</v>
      </c>
    </row>
    <row r="380" spans="1:15" x14ac:dyDescent="0.45">
      <c r="A380" s="1" t="s">
        <v>461</v>
      </c>
      <c r="B380" s="2">
        <v>45726.65902777778</v>
      </c>
      <c r="C380" s="3">
        <v>245</v>
      </c>
      <c r="D380" s="4">
        <v>17.399999999999999</v>
      </c>
      <c r="E380" s="4">
        <v>17.2</v>
      </c>
      <c r="F380" s="4">
        <v>17.5</v>
      </c>
      <c r="G380" s="6">
        <v>0.16</v>
      </c>
      <c r="H380" s="7">
        <v>9.2999999999999992E-3</v>
      </c>
      <c r="I380" s="4">
        <v>365</v>
      </c>
      <c r="J380" s="4">
        <v>692</v>
      </c>
      <c r="K380" s="5">
        <v>0.31430000000000002</v>
      </c>
      <c r="L380" s="26" t="b">
        <f t="shared" si="27"/>
        <v>1</v>
      </c>
      <c r="M380" s="26" t="str">
        <f t="shared" si="30"/>
        <v>call</v>
      </c>
      <c r="N380" s="28">
        <f t="shared" si="31"/>
        <v>45968</v>
      </c>
      <c r="O380" s="29">
        <f t="shared" si="26"/>
        <v>33</v>
      </c>
    </row>
    <row r="381" spans="1:15" x14ac:dyDescent="0.45">
      <c r="A381" s="1" t="s">
        <v>462</v>
      </c>
      <c r="B381" s="2">
        <v>45726.663888888892</v>
      </c>
      <c r="C381" s="3">
        <v>250</v>
      </c>
      <c r="D381" s="4">
        <v>13.46</v>
      </c>
      <c r="E381" s="4">
        <v>13.6</v>
      </c>
      <c r="F381" s="4">
        <v>13.8</v>
      </c>
      <c r="G381" s="6">
        <v>-0.59</v>
      </c>
      <c r="H381" s="7">
        <v>-4.2000000000000003E-2</v>
      </c>
      <c r="I381" s="4">
        <v>129</v>
      </c>
      <c r="J381" s="4">
        <v>339</v>
      </c>
      <c r="K381" s="5">
        <v>0.2989</v>
      </c>
      <c r="L381" s="26" t="b">
        <f t="shared" si="27"/>
        <v>1</v>
      </c>
      <c r="M381" s="26" t="str">
        <f t="shared" si="30"/>
        <v>call</v>
      </c>
      <c r="N381" s="28">
        <f t="shared" si="31"/>
        <v>45968</v>
      </c>
      <c r="O381" s="29">
        <f t="shared" ref="O381:O444" si="32">N381-DATE(2025,10,5)</f>
        <v>33</v>
      </c>
    </row>
    <row r="382" spans="1:15" x14ac:dyDescent="0.45">
      <c r="A382" s="1" t="s">
        <v>463</v>
      </c>
      <c r="B382" s="2">
        <v>45726.662499999999</v>
      </c>
      <c r="C382" s="3">
        <v>255</v>
      </c>
      <c r="D382" s="4">
        <v>10.3</v>
      </c>
      <c r="E382" s="4">
        <v>10.4</v>
      </c>
      <c r="F382" s="4">
        <v>10.6</v>
      </c>
      <c r="G382" s="6">
        <v>-0.02</v>
      </c>
      <c r="H382" s="7">
        <v>-1.9E-3</v>
      </c>
      <c r="I382" s="4">
        <v>291</v>
      </c>
      <c r="J382" s="4">
        <v>934</v>
      </c>
      <c r="K382" s="5">
        <v>0.28849999999999998</v>
      </c>
      <c r="L382" s="26" t="b">
        <f t="shared" si="27"/>
        <v>1</v>
      </c>
      <c r="M382" s="26" t="str">
        <f t="shared" si="30"/>
        <v>call</v>
      </c>
      <c r="N382" s="28">
        <f t="shared" si="31"/>
        <v>45968</v>
      </c>
      <c r="O382" s="29">
        <f t="shared" si="32"/>
        <v>33</v>
      </c>
    </row>
    <row r="383" spans="1:15" x14ac:dyDescent="0.45">
      <c r="A383" s="11" t="s">
        <v>464</v>
      </c>
      <c r="B383" s="12">
        <v>45726.665972222225</v>
      </c>
      <c r="C383" s="13">
        <v>260</v>
      </c>
      <c r="D383" s="14">
        <v>7.65</v>
      </c>
      <c r="E383" s="14">
        <v>7.65</v>
      </c>
      <c r="F383" s="14">
        <v>7.85</v>
      </c>
      <c r="G383" s="19">
        <v>0</v>
      </c>
      <c r="H383" s="20">
        <v>0</v>
      </c>
      <c r="I383" s="17">
        <v>2295</v>
      </c>
      <c r="J383" s="17">
        <v>1398</v>
      </c>
      <c r="K383" s="18">
        <v>0.2792</v>
      </c>
      <c r="L383" s="26" t="b">
        <f t="shared" si="27"/>
        <v>0</v>
      </c>
      <c r="M383" s="26" t="str">
        <f t="shared" si="30"/>
        <v>call</v>
      </c>
      <c r="N383" s="28">
        <f t="shared" si="31"/>
        <v>45968</v>
      </c>
      <c r="O383" s="29">
        <f t="shared" si="32"/>
        <v>33</v>
      </c>
    </row>
    <row r="384" spans="1:15" x14ac:dyDescent="0.45">
      <c r="A384" s="11" t="s">
        <v>465</v>
      </c>
      <c r="B384" s="12">
        <v>45726.664583333331</v>
      </c>
      <c r="C384" s="13">
        <v>265</v>
      </c>
      <c r="D384" s="14">
        <v>5.43</v>
      </c>
      <c r="E384" s="14">
        <v>5.45</v>
      </c>
      <c r="F384" s="14">
        <v>5.6</v>
      </c>
      <c r="G384" s="19">
        <v>-0.09</v>
      </c>
      <c r="H384" s="20">
        <v>-1.6299999999999999E-2</v>
      </c>
      <c r="I384" s="14">
        <v>410</v>
      </c>
      <c r="J384" s="14">
        <v>492</v>
      </c>
      <c r="K384" s="18">
        <v>0.27160000000000001</v>
      </c>
      <c r="L384" s="26" t="b">
        <f t="shared" ref="L384:L447" si="33">IF(M384="call",C384&lt;$P$1,C384&gt;$P$1)</f>
        <v>0</v>
      </c>
      <c r="M384" s="26" t="str">
        <f t="shared" si="30"/>
        <v>call</v>
      </c>
      <c r="N384" s="28">
        <f t="shared" si="31"/>
        <v>45968</v>
      </c>
      <c r="O384" s="29">
        <f t="shared" si="32"/>
        <v>33</v>
      </c>
    </row>
    <row r="385" spans="1:15" x14ac:dyDescent="0.45">
      <c r="A385" s="11" t="s">
        <v>466</v>
      </c>
      <c r="B385" s="12">
        <v>45726.664583333331</v>
      </c>
      <c r="C385" s="13">
        <v>270</v>
      </c>
      <c r="D385" s="14">
        <v>3.8</v>
      </c>
      <c r="E385" s="14">
        <v>3.75</v>
      </c>
      <c r="F385" s="14">
        <v>3.85</v>
      </c>
      <c r="G385" s="19">
        <v>-0.05</v>
      </c>
      <c r="H385" s="20">
        <v>-1.2999999999999999E-2</v>
      </c>
      <c r="I385" s="14">
        <v>278</v>
      </c>
      <c r="J385" s="17">
        <v>7290</v>
      </c>
      <c r="K385" s="18">
        <v>0.2656</v>
      </c>
      <c r="L385" s="26" t="b">
        <f t="shared" si="33"/>
        <v>0</v>
      </c>
      <c r="M385" s="26" t="str">
        <f t="shared" si="30"/>
        <v>call</v>
      </c>
      <c r="N385" s="28">
        <f t="shared" si="31"/>
        <v>45968</v>
      </c>
      <c r="O385" s="29">
        <f t="shared" si="32"/>
        <v>33</v>
      </c>
    </row>
    <row r="386" spans="1:15" x14ac:dyDescent="0.45">
      <c r="A386" s="11" t="s">
        <v>467</v>
      </c>
      <c r="B386" s="12">
        <v>45726.65902777778</v>
      </c>
      <c r="C386" s="13">
        <v>275</v>
      </c>
      <c r="D386" s="14">
        <v>2.5499999999999998</v>
      </c>
      <c r="E386" s="14">
        <v>2.5</v>
      </c>
      <c r="F386" s="14">
        <v>2.58</v>
      </c>
      <c r="G386" s="19">
        <v>-7.0000000000000007E-2</v>
      </c>
      <c r="H386" s="20">
        <v>-2.6700000000000002E-2</v>
      </c>
      <c r="I386" s="14">
        <v>292</v>
      </c>
      <c r="J386" s="14">
        <v>379</v>
      </c>
      <c r="K386" s="18">
        <v>0.26229999999999998</v>
      </c>
      <c r="L386" s="26" t="b">
        <f t="shared" si="33"/>
        <v>0</v>
      </c>
      <c r="M386" s="26" t="str">
        <f t="shared" si="30"/>
        <v>call</v>
      </c>
      <c r="N386" s="28">
        <f t="shared" si="31"/>
        <v>45968</v>
      </c>
      <c r="O386" s="29">
        <f t="shared" si="32"/>
        <v>33</v>
      </c>
    </row>
    <row r="387" spans="1:15" x14ac:dyDescent="0.45">
      <c r="A387" s="11" t="s">
        <v>468</v>
      </c>
      <c r="B387" s="12">
        <v>45726.665277777778</v>
      </c>
      <c r="C387" s="13">
        <v>280</v>
      </c>
      <c r="D387" s="14">
        <v>1.63</v>
      </c>
      <c r="E387" s="14">
        <v>1.62</v>
      </c>
      <c r="F387" s="14">
        <v>1.7</v>
      </c>
      <c r="G387" s="19">
        <v>-0.12</v>
      </c>
      <c r="H387" s="20">
        <v>-6.8599999999999994E-2</v>
      </c>
      <c r="I387" s="17">
        <v>4422</v>
      </c>
      <c r="J387" s="14">
        <v>627</v>
      </c>
      <c r="K387" s="18">
        <v>0.26119999999999999</v>
      </c>
      <c r="L387" s="26" t="b">
        <f t="shared" si="33"/>
        <v>0</v>
      </c>
      <c r="M387" s="26" t="str">
        <f t="shared" si="30"/>
        <v>call</v>
      </c>
      <c r="N387" s="28">
        <f t="shared" si="31"/>
        <v>45968</v>
      </c>
      <c r="O387" s="29">
        <f t="shared" si="32"/>
        <v>33</v>
      </c>
    </row>
    <row r="388" spans="1:15" x14ac:dyDescent="0.45">
      <c r="A388" s="11" t="s">
        <v>469</v>
      </c>
      <c r="B388" s="12">
        <v>45726.646527777775</v>
      </c>
      <c r="C388" s="13">
        <v>285</v>
      </c>
      <c r="D388" s="14">
        <v>1.0900000000000001</v>
      </c>
      <c r="E388" s="14">
        <v>1.04</v>
      </c>
      <c r="F388" s="14">
        <v>1.1100000000000001</v>
      </c>
      <c r="G388" s="19">
        <v>-0.09</v>
      </c>
      <c r="H388" s="20">
        <v>-7.6300000000000007E-2</v>
      </c>
      <c r="I388" s="14">
        <v>139</v>
      </c>
      <c r="J388" s="14">
        <v>264</v>
      </c>
      <c r="K388" s="18">
        <v>0.26200000000000001</v>
      </c>
      <c r="L388" s="26" t="b">
        <f t="shared" si="33"/>
        <v>0</v>
      </c>
      <c r="M388" s="26" t="str">
        <f t="shared" si="30"/>
        <v>call</v>
      </c>
      <c r="N388" s="28">
        <f t="shared" si="31"/>
        <v>45968</v>
      </c>
      <c r="O388" s="29">
        <f t="shared" si="32"/>
        <v>33</v>
      </c>
    </row>
    <row r="389" spans="1:15" x14ac:dyDescent="0.45">
      <c r="A389" s="11" t="s">
        <v>470</v>
      </c>
      <c r="B389" s="12">
        <v>45726.621527777781</v>
      </c>
      <c r="C389" s="13">
        <v>290</v>
      </c>
      <c r="D389" s="14">
        <v>0.7</v>
      </c>
      <c r="E389" s="14">
        <v>0.66</v>
      </c>
      <c r="F389" s="14">
        <v>0.72</v>
      </c>
      <c r="G389" s="15">
        <v>-0.05</v>
      </c>
      <c r="H389" s="16">
        <v>-6.6699999999999995E-2</v>
      </c>
      <c r="I389" s="17">
        <v>1718</v>
      </c>
      <c r="J389" s="17">
        <v>1094</v>
      </c>
      <c r="K389" s="18">
        <v>0.26369999999999999</v>
      </c>
      <c r="L389" s="26" t="b">
        <f t="shared" si="33"/>
        <v>0</v>
      </c>
      <c r="M389" s="26" t="str">
        <f t="shared" si="30"/>
        <v>call</v>
      </c>
      <c r="N389" s="28">
        <f t="shared" si="31"/>
        <v>45968</v>
      </c>
      <c r="O389" s="29">
        <f t="shared" si="32"/>
        <v>33</v>
      </c>
    </row>
    <row r="390" spans="1:15" x14ac:dyDescent="0.45">
      <c r="A390" s="11" t="s">
        <v>471</v>
      </c>
      <c r="B390" s="12">
        <v>45726.65902777778</v>
      </c>
      <c r="C390" s="13">
        <v>295</v>
      </c>
      <c r="D390" s="14">
        <v>0.45</v>
      </c>
      <c r="E390" s="14">
        <v>0.43</v>
      </c>
      <c r="F390" s="14">
        <v>0.48</v>
      </c>
      <c r="G390" s="19">
        <v>-0.08</v>
      </c>
      <c r="H390" s="20">
        <v>-0.15090000000000001</v>
      </c>
      <c r="I390" s="14">
        <v>84</v>
      </c>
      <c r="J390" s="14">
        <v>119</v>
      </c>
      <c r="K390" s="18">
        <v>0.2681</v>
      </c>
      <c r="L390" s="26" t="b">
        <f t="shared" si="33"/>
        <v>0</v>
      </c>
      <c r="M390" s="26" t="str">
        <f t="shared" si="30"/>
        <v>call</v>
      </c>
      <c r="N390" s="28">
        <f t="shared" si="31"/>
        <v>45968</v>
      </c>
      <c r="O390" s="29">
        <f t="shared" si="32"/>
        <v>33</v>
      </c>
    </row>
    <row r="391" spans="1:15" x14ac:dyDescent="0.45">
      <c r="A391" s="11" t="s">
        <v>472</v>
      </c>
      <c r="B391" s="12">
        <v>45726.605555555558</v>
      </c>
      <c r="C391" s="13">
        <v>300</v>
      </c>
      <c r="D391" s="14">
        <v>0.3</v>
      </c>
      <c r="E391" s="14">
        <v>0.27</v>
      </c>
      <c r="F391" s="14">
        <v>0.32</v>
      </c>
      <c r="G391" s="19">
        <v>-0.05</v>
      </c>
      <c r="H391" s="20">
        <v>-0.1429</v>
      </c>
      <c r="I391" s="14">
        <v>165</v>
      </c>
      <c r="J391" s="14">
        <v>224</v>
      </c>
      <c r="K391" s="18">
        <v>0.27250000000000002</v>
      </c>
      <c r="L391" s="26" t="b">
        <f t="shared" si="33"/>
        <v>0</v>
      </c>
      <c r="M391" s="26" t="str">
        <f t="shared" si="30"/>
        <v>call</v>
      </c>
      <c r="N391" s="28">
        <f t="shared" si="31"/>
        <v>45968</v>
      </c>
      <c r="O391" s="29">
        <f t="shared" si="32"/>
        <v>33</v>
      </c>
    </row>
    <row r="392" spans="1:15" x14ac:dyDescent="0.45">
      <c r="A392" s="11" t="s">
        <v>473</v>
      </c>
      <c r="B392" s="12">
        <v>45726.545138888891</v>
      </c>
      <c r="C392" s="13">
        <v>305</v>
      </c>
      <c r="D392" s="14">
        <v>0.2</v>
      </c>
      <c r="E392" s="14">
        <v>0.18</v>
      </c>
      <c r="F392" s="14">
        <v>0.22</v>
      </c>
      <c r="G392" s="15">
        <v>-0.03</v>
      </c>
      <c r="H392" s="16">
        <v>-0.13039999999999999</v>
      </c>
      <c r="I392" s="14">
        <v>32</v>
      </c>
      <c r="J392" s="14">
        <v>249</v>
      </c>
      <c r="K392" s="18">
        <v>0.27829999999999999</v>
      </c>
      <c r="L392" s="26" t="b">
        <f t="shared" si="33"/>
        <v>0</v>
      </c>
      <c r="M392" s="26" t="str">
        <f t="shared" si="30"/>
        <v>call</v>
      </c>
      <c r="N392" s="28">
        <f t="shared" si="31"/>
        <v>45968</v>
      </c>
      <c r="O392" s="29">
        <f t="shared" si="32"/>
        <v>33</v>
      </c>
    </row>
    <row r="393" spans="1:15" x14ac:dyDescent="0.45">
      <c r="A393" s="11" t="s">
        <v>474</v>
      </c>
      <c r="B393" s="12">
        <v>45726.474305555559</v>
      </c>
      <c r="C393" s="13">
        <v>320</v>
      </c>
      <c r="D393" s="14">
        <v>0.09</v>
      </c>
      <c r="E393" s="14">
        <v>0.04</v>
      </c>
      <c r="F393" s="14">
        <v>0.09</v>
      </c>
      <c r="G393" s="15">
        <v>0</v>
      </c>
      <c r="H393" s="16">
        <v>0</v>
      </c>
      <c r="I393" s="14">
        <v>65</v>
      </c>
      <c r="J393" s="14">
        <v>65</v>
      </c>
      <c r="K393" s="18">
        <v>0.30320000000000003</v>
      </c>
      <c r="L393" s="26" t="b">
        <f t="shared" si="33"/>
        <v>0</v>
      </c>
      <c r="M393" s="26" t="str">
        <f t="shared" si="30"/>
        <v>call</v>
      </c>
      <c r="N393" s="28">
        <f t="shared" si="31"/>
        <v>45968</v>
      </c>
      <c r="O393" s="29">
        <f t="shared" si="32"/>
        <v>33</v>
      </c>
    </row>
    <row r="394" spans="1:15" x14ac:dyDescent="0.45">
      <c r="A394" s="11" t="s">
        <v>475</v>
      </c>
      <c r="B394" s="12">
        <v>45726.527083333334</v>
      </c>
      <c r="C394" s="13">
        <v>325</v>
      </c>
      <c r="D394" s="14">
        <v>0.05</v>
      </c>
      <c r="E394" s="14">
        <v>0.02</v>
      </c>
      <c r="F394" s="14">
        <v>0.05</v>
      </c>
      <c r="G394" s="15">
        <v>-0.02</v>
      </c>
      <c r="H394" s="16">
        <v>-0.28570000000000001</v>
      </c>
      <c r="I394" s="14">
        <v>6</v>
      </c>
      <c r="J394" s="14">
        <v>23</v>
      </c>
      <c r="K394" s="18">
        <v>0.30080000000000001</v>
      </c>
      <c r="L394" s="26" t="b">
        <f t="shared" si="33"/>
        <v>0</v>
      </c>
      <c r="M394" s="26" t="str">
        <f t="shared" si="30"/>
        <v>call</v>
      </c>
      <c r="N394" s="28">
        <f t="shared" si="31"/>
        <v>45968</v>
      </c>
      <c r="O394" s="29">
        <f t="shared" si="32"/>
        <v>33</v>
      </c>
    </row>
    <row r="395" spans="1:15" x14ac:dyDescent="0.45">
      <c r="A395" s="11" t="s">
        <v>476</v>
      </c>
      <c r="B395" s="12">
        <v>45726.463888888888</v>
      </c>
      <c r="C395" s="13">
        <v>180</v>
      </c>
      <c r="D395" s="14">
        <v>0.1</v>
      </c>
      <c r="E395" s="14">
        <v>0.09</v>
      </c>
      <c r="F395" s="14">
        <v>0.15</v>
      </c>
      <c r="G395" s="14">
        <v>-0.02</v>
      </c>
      <c r="H395" s="18">
        <v>-0.16669999999999999</v>
      </c>
      <c r="I395" s="14">
        <v>6</v>
      </c>
      <c r="J395" s="14">
        <v>40</v>
      </c>
      <c r="K395" s="18">
        <v>0.51170000000000004</v>
      </c>
      <c r="L395" s="26" t="b">
        <f t="shared" si="33"/>
        <v>0</v>
      </c>
      <c r="M395" s="26" t="str">
        <f t="shared" si="30"/>
        <v>put</v>
      </c>
      <c r="N395" s="28">
        <f t="shared" si="31"/>
        <v>45968</v>
      </c>
      <c r="O395" s="29">
        <f t="shared" si="32"/>
        <v>33</v>
      </c>
    </row>
    <row r="396" spans="1:15" x14ac:dyDescent="0.45">
      <c r="A396" s="11" t="s">
        <v>477</v>
      </c>
      <c r="B396" s="12">
        <v>45726.651388888888</v>
      </c>
      <c r="C396" s="13">
        <v>185</v>
      </c>
      <c r="D396" s="14">
        <v>0.12</v>
      </c>
      <c r="E396" s="14">
        <v>0.1</v>
      </c>
      <c r="F396" s="14">
        <v>0.17</v>
      </c>
      <c r="G396" s="14">
        <v>-0.01</v>
      </c>
      <c r="H396" s="18">
        <v>-7.6899999999999996E-2</v>
      </c>
      <c r="I396" s="14">
        <v>24</v>
      </c>
      <c r="J396" s="14">
        <v>49</v>
      </c>
      <c r="K396" s="18">
        <v>0.499</v>
      </c>
      <c r="L396" s="26" t="b">
        <f t="shared" si="33"/>
        <v>0</v>
      </c>
      <c r="M396" s="26" t="str">
        <f t="shared" si="30"/>
        <v>put</v>
      </c>
      <c r="N396" s="28">
        <f t="shared" si="31"/>
        <v>45968</v>
      </c>
      <c r="O396" s="29">
        <f t="shared" si="32"/>
        <v>33</v>
      </c>
    </row>
    <row r="397" spans="1:15" x14ac:dyDescent="0.45">
      <c r="A397" s="11" t="s">
        <v>478</v>
      </c>
      <c r="B397" s="12">
        <v>45726.463194444441</v>
      </c>
      <c r="C397" s="13">
        <v>190</v>
      </c>
      <c r="D397" s="14">
        <v>0.15</v>
      </c>
      <c r="E397" s="14">
        <v>0.14000000000000001</v>
      </c>
      <c r="F397" s="14">
        <v>0.2</v>
      </c>
      <c r="G397" s="14">
        <v>-0.05</v>
      </c>
      <c r="H397" s="18">
        <v>-0.25</v>
      </c>
      <c r="I397" s="14">
        <v>5</v>
      </c>
      <c r="J397" s="14">
        <v>25</v>
      </c>
      <c r="K397" s="18">
        <v>0.47460000000000002</v>
      </c>
      <c r="L397" s="26" t="b">
        <f t="shared" si="33"/>
        <v>0</v>
      </c>
      <c r="M397" s="26" t="str">
        <f t="shared" si="30"/>
        <v>put</v>
      </c>
      <c r="N397" s="28">
        <f t="shared" si="31"/>
        <v>45968</v>
      </c>
      <c r="O397" s="29">
        <f t="shared" si="32"/>
        <v>33</v>
      </c>
    </row>
    <row r="398" spans="1:15" x14ac:dyDescent="0.45">
      <c r="A398" s="11" t="s">
        <v>479</v>
      </c>
      <c r="B398" s="12">
        <v>45726.649305555555</v>
      </c>
      <c r="C398" s="13">
        <v>195</v>
      </c>
      <c r="D398" s="14">
        <v>0.21</v>
      </c>
      <c r="E398" s="14">
        <v>0.17</v>
      </c>
      <c r="F398" s="14">
        <v>0.23</v>
      </c>
      <c r="G398" s="14">
        <v>0.02</v>
      </c>
      <c r="H398" s="18">
        <v>0.1053</v>
      </c>
      <c r="I398" s="14">
        <v>141</v>
      </c>
      <c r="J398" s="14">
        <v>17</v>
      </c>
      <c r="K398" s="18">
        <v>0.44819999999999999</v>
      </c>
      <c r="L398" s="26" t="b">
        <f t="shared" si="33"/>
        <v>0</v>
      </c>
      <c r="M398" s="26" t="str">
        <f t="shared" si="30"/>
        <v>put</v>
      </c>
      <c r="N398" s="28">
        <f t="shared" si="31"/>
        <v>45968</v>
      </c>
      <c r="O398" s="29">
        <f t="shared" si="32"/>
        <v>33</v>
      </c>
    </row>
    <row r="399" spans="1:15" x14ac:dyDescent="0.45">
      <c r="A399" s="11" t="s">
        <v>480</v>
      </c>
      <c r="B399" s="12">
        <v>45726.544444444444</v>
      </c>
      <c r="C399" s="13">
        <v>200</v>
      </c>
      <c r="D399" s="14">
        <v>0.21</v>
      </c>
      <c r="E399" s="14">
        <v>0.2</v>
      </c>
      <c r="F399" s="14">
        <v>0.27</v>
      </c>
      <c r="G399" s="14">
        <v>-0.04</v>
      </c>
      <c r="H399" s="18">
        <v>-0.16</v>
      </c>
      <c r="I399" s="14">
        <v>16</v>
      </c>
      <c r="J399" s="14">
        <v>874</v>
      </c>
      <c r="K399" s="18">
        <v>0.42380000000000001</v>
      </c>
      <c r="L399" s="26" t="b">
        <f t="shared" si="33"/>
        <v>0</v>
      </c>
      <c r="M399" s="26" t="str">
        <f t="shared" si="30"/>
        <v>put</v>
      </c>
      <c r="N399" s="28">
        <f t="shared" si="31"/>
        <v>45968</v>
      </c>
      <c r="O399" s="29">
        <f t="shared" si="32"/>
        <v>33</v>
      </c>
    </row>
    <row r="400" spans="1:15" x14ac:dyDescent="0.45">
      <c r="A400" s="11" t="s">
        <v>481</v>
      </c>
      <c r="B400" s="12">
        <v>45726.661805555559</v>
      </c>
      <c r="C400" s="13">
        <v>205</v>
      </c>
      <c r="D400" s="14">
        <v>0.28999999999999998</v>
      </c>
      <c r="E400" s="14">
        <v>0.27</v>
      </c>
      <c r="F400" s="14">
        <v>0.33</v>
      </c>
      <c r="G400" s="15">
        <v>0</v>
      </c>
      <c r="H400" s="16">
        <v>0</v>
      </c>
      <c r="I400" s="14">
        <v>11</v>
      </c>
      <c r="J400" s="14">
        <v>32</v>
      </c>
      <c r="K400" s="18">
        <v>0.40139999999999998</v>
      </c>
      <c r="L400" s="26" t="b">
        <f t="shared" si="33"/>
        <v>0</v>
      </c>
      <c r="M400" s="26" t="str">
        <f t="shared" si="30"/>
        <v>put</v>
      </c>
      <c r="N400" s="28">
        <f t="shared" si="31"/>
        <v>45968</v>
      </c>
      <c r="O400" s="29">
        <f t="shared" si="32"/>
        <v>33</v>
      </c>
    </row>
    <row r="401" spans="1:15" x14ac:dyDescent="0.45">
      <c r="A401" s="11" t="s">
        <v>482</v>
      </c>
      <c r="B401" s="12">
        <v>45726.630555555559</v>
      </c>
      <c r="C401" s="13">
        <v>210</v>
      </c>
      <c r="D401" s="14">
        <v>0.37</v>
      </c>
      <c r="E401" s="14">
        <v>0.35</v>
      </c>
      <c r="F401" s="14">
        <v>0.4</v>
      </c>
      <c r="G401" s="14">
        <v>0</v>
      </c>
      <c r="H401" s="18">
        <v>0</v>
      </c>
      <c r="I401" s="14">
        <v>44</v>
      </c>
      <c r="J401" s="14">
        <v>50</v>
      </c>
      <c r="K401" s="18">
        <v>0.37840000000000001</v>
      </c>
      <c r="L401" s="26" t="b">
        <f t="shared" si="33"/>
        <v>0</v>
      </c>
      <c r="M401" s="26" t="str">
        <f t="shared" si="30"/>
        <v>put</v>
      </c>
      <c r="N401" s="28">
        <f t="shared" si="31"/>
        <v>45968</v>
      </c>
      <c r="O401" s="29">
        <f t="shared" si="32"/>
        <v>33</v>
      </c>
    </row>
    <row r="402" spans="1:15" x14ac:dyDescent="0.45">
      <c r="A402" s="11" t="s">
        <v>483</v>
      </c>
      <c r="B402" s="12">
        <v>45726.601388888892</v>
      </c>
      <c r="C402" s="13">
        <v>215</v>
      </c>
      <c r="D402" s="14">
        <v>0.47</v>
      </c>
      <c r="E402" s="14">
        <v>0.45</v>
      </c>
      <c r="F402" s="14">
        <v>0.5</v>
      </c>
      <c r="G402" s="14">
        <v>-0.03</v>
      </c>
      <c r="H402" s="18">
        <v>-0.06</v>
      </c>
      <c r="I402" s="14">
        <v>32</v>
      </c>
      <c r="J402" s="14">
        <v>92</v>
      </c>
      <c r="K402" s="18">
        <v>0.35720000000000002</v>
      </c>
      <c r="L402" s="26" t="b">
        <f t="shared" si="33"/>
        <v>0</v>
      </c>
      <c r="M402" s="26" t="str">
        <f t="shared" si="30"/>
        <v>put</v>
      </c>
      <c r="N402" s="28">
        <f t="shared" si="31"/>
        <v>45968</v>
      </c>
      <c r="O402" s="29">
        <f t="shared" si="32"/>
        <v>33</v>
      </c>
    </row>
    <row r="403" spans="1:15" x14ac:dyDescent="0.45">
      <c r="A403" s="11" t="s">
        <v>484</v>
      </c>
      <c r="B403" s="12">
        <v>45726.593055555553</v>
      </c>
      <c r="C403" s="13">
        <v>220</v>
      </c>
      <c r="D403" s="14">
        <v>0.64</v>
      </c>
      <c r="E403" s="14">
        <v>0.61</v>
      </c>
      <c r="F403" s="14">
        <v>0.64</v>
      </c>
      <c r="G403" s="14">
        <v>-0.01</v>
      </c>
      <c r="H403" s="18">
        <v>-1.54E-2</v>
      </c>
      <c r="I403" s="14">
        <v>197</v>
      </c>
      <c r="J403" s="14">
        <v>595</v>
      </c>
      <c r="K403" s="18">
        <v>0.33700000000000002</v>
      </c>
      <c r="L403" s="26" t="b">
        <f t="shared" si="33"/>
        <v>0</v>
      </c>
      <c r="M403" s="26" t="str">
        <f t="shared" si="30"/>
        <v>put</v>
      </c>
      <c r="N403" s="28">
        <f t="shared" si="31"/>
        <v>45968</v>
      </c>
      <c r="O403" s="29">
        <f t="shared" si="32"/>
        <v>33</v>
      </c>
    </row>
    <row r="404" spans="1:15" x14ac:dyDescent="0.45">
      <c r="A404" s="11" t="s">
        <v>485</v>
      </c>
      <c r="B404" s="12">
        <v>45726.628472222219</v>
      </c>
      <c r="C404" s="13">
        <v>225</v>
      </c>
      <c r="D404" s="14">
        <v>0.81</v>
      </c>
      <c r="E404" s="14">
        <v>0.81</v>
      </c>
      <c r="F404" s="14">
        <v>0.86</v>
      </c>
      <c r="G404" s="19">
        <v>-0.08</v>
      </c>
      <c r="H404" s="20">
        <v>-8.9899999999999994E-2</v>
      </c>
      <c r="I404" s="14">
        <v>27</v>
      </c>
      <c r="J404" s="14">
        <v>690</v>
      </c>
      <c r="K404" s="18">
        <v>0.32019999999999998</v>
      </c>
      <c r="L404" s="26" t="b">
        <f t="shared" si="33"/>
        <v>0</v>
      </c>
      <c r="M404" s="26" t="str">
        <f t="shared" si="30"/>
        <v>put</v>
      </c>
      <c r="N404" s="28">
        <f t="shared" si="31"/>
        <v>45968</v>
      </c>
      <c r="O404" s="29">
        <f t="shared" si="32"/>
        <v>33</v>
      </c>
    </row>
    <row r="405" spans="1:15" x14ac:dyDescent="0.45">
      <c r="A405" s="11" t="s">
        <v>486</v>
      </c>
      <c r="B405" s="12">
        <v>45726.632638888892</v>
      </c>
      <c r="C405" s="13">
        <v>230</v>
      </c>
      <c r="D405" s="14">
        <v>1.18</v>
      </c>
      <c r="E405" s="14">
        <v>1.1299999999999999</v>
      </c>
      <c r="F405" s="14">
        <v>1.19</v>
      </c>
      <c r="G405" s="19">
        <v>-0.1</v>
      </c>
      <c r="H405" s="20">
        <v>-7.8100000000000003E-2</v>
      </c>
      <c r="I405" s="14">
        <v>97</v>
      </c>
      <c r="J405" s="14">
        <v>600</v>
      </c>
      <c r="K405" s="18">
        <v>0.30549999999999999</v>
      </c>
      <c r="L405" s="26" t="b">
        <f t="shared" si="33"/>
        <v>0</v>
      </c>
      <c r="M405" s="26" t="str">
        <f t="shared" si="30"/>
        <v>put</v>
      </c>
      <c r="N405" s="28">
        <f t="shared" si="31"/>
        <v>45968</v>
      </c>
      <c r="O405" s="29">
        <f t="shared" si="32"/>
        <v>33</v>
      </c>
    </row>
    <row r="406" spans="1:15" x14ac:dyDescent="0.45">
      <c r="A406" s="11" t="s">
        <v>487</v>
      </c>
      <c r="B406" s="12">
        <v>45726.642361111109</v>
      </c>
      <c r="C406" s="13">
        <v>235</v>
      </c>
      <c r="D406" s="14">
        <v>1.68</v>
      </c>
      <c r="E406" s="14">
        <v>1.59</v>
      </c>
      <c r="F406" s="14">
        <v>1.67</v>
      </c>
      <c r="G406" s="14">
        <v>-0.01</v>
      </c>
      <c r="H406" s="18">
        <v>-5.8999999999999999E-3</v>
      </c>
      <c r="I406" s="14">
        <v>85</v>
      </c>
      <c r="J406" s="14">
        <v>246</v>
      </c>
      <c r="K406" s="18">
        <v>0.29239999999999999</v>
      </c>
      <c r="L406" s="26" t="b">
        <f t="shared" si="33"/>
        <v>0</v>
      </c>
      <c r="M406" s="26" t="str">
        <f t="shared" si="30"/>
        <v>put</v>
      </c>
      <c r="N406" s="28">
        <f t="shared" si="31"/>
        <v>45968</v>
      </c>
      <c r="O406" s="29">
        <f t="shared" si="32"/>
        <v>33</v>
      </c>
    </row>
    <row r="407" spans="1:15" x14ac:dyDescent="0.45">
      <c r="A407" s="11" t="s">
        <v>488</v>
      </c>
      <c r="B407" s="12">
        <v>45726.664583333331</v>
      </c>
      <c r="C407" s="13">
        <v>240</v>
      </c>
      <c r="D407" s="14">
        <v>2.41</v>
      </c>
      <c r="E407" s="14">
        <v>2.2799999999999998</v>
      </c>
      <c r="F407" s="14">
        <v>2.38</v>
      </c>
      <c r="G407" s="15">
        <v>-0.06</v>
      </c>
      <c r="H407" s="16">
        <v>-2.4299999999999999E-2</v>
      </c>
      <c r="I407" s="14">
        <v>446</v>
      </c>
      <c r="J407" s="14">
        <v>633</v>
      </c>
      <c r="K407" s="18">
        <v>0.28149999999999997</v>
      </c>
      <c r="L407" s="26" t="b">
        <f t="shared" si="33"/>
        <v>0</v>
      </c>
      <c r="M407" s="26" t="str">
        <f t="shared" si="30"/>
        <v>put</v>
      </c>
      <c r="N407" s="28">
        <f t="shared" si="31"/>
        <v>45968</v>
      </c>
      <c r="O407" s="29">
        <f t="shared" si="32"/>
        <v>33</v>
      </c>
    </row>
    <row r="408" spans="1:15" x14ac:dyDescent="0.45">
      <c r="A408" s="11" t="s">
        <v>489</v>
      </c>
      <c r="B408" s="12">
        <v>45726.638194444444</v>
      </c>
      <c r="C408" s="13">
        <v>245</v>
      </c>
      <c r="D408" s="14">
        <v>3.31</v>
      </c>
      <c r="E408" s="14">
        <v>3.25</v>
      </c>
      <c r="F408" s="14">
        <v>3.4</v>
      </c>
      <c r="G408" s="15">
        <v>-0.34</v>
      </c>
      <c r="H408" s="16">
        <v>-9.3200000000000005E-2</v>
      </c>
      <c r="I408" s="14">
        <v>187</v>
      </c>
      <c r="J408" s="14">
        <v>469</v>
      </c>
      <c r="K408" s="18">
        <v>0.27260000000000001</v>
      </c>
      <c r="L408" s="26" t="b">
        <f t="shared" si="33"/>
        <v>0</v>
      </c>
      <c r="M408" s="26" t="str">
        <f t="shared" si="30"/>
        <v>put</v>
      </c>
      <c r="N408" s="28">
        <f t="shared" si="31"/>
        <v>45968</v>
      </c>
      <c r="O408" s="29">
        <f t="shared" si="32"/>
        <v>33</v>
      </c>
    </row>
    <row r="409" spans="1:15" x14ac:dyDescent="0.45">
      <c r="A409" s="11" t="s">
        <v>490</v>
      </c>
      <c r="B409" s="12">
        <v>45726.665277777778</v>
      </c>
      <c r="C409" s="13">
        <v>250</v>
      </c>
      <c r="D409" s="14">
        <v>4.71</v>
      </c>
      <c r="E409" s="14">
        <v>4.5999999999999996</v>
      </c>
      <c r="F409" s="14">
        <v>4.75</v>
      </c>
      <c r="G409" s="15">
        <v>-0.28999999999999998</v>
      </c>
      <c r="H409" s="16">
        <v>-5.8000000000000003E-2</v>
      </c>
      <c r="I409" s="14">
        <v>177</v>
      </c>
      <c r="J409" s="14">
        <v>206</v>
      </c>
      <c r="K409" s="18">
        <v>0.26329999999999998</v>
      </c>
      <c r="L409" s="26" t="b">
        <f t="shared" si="33"/>
        <v>0</v>
      </c>
      <c r="M409" s="26" t="str">
        <f t="shared" si="30"/>
        <v>put</v>
      </c>
      <c r="N409" s="28">
        <f t="shared" si="31"/>
        <v>45968</v>
      </c>
      <c r="O409" s="29">
        <f t="shared" si="32"/>
        <v>33</v>
      </c>
    </row>
    <row r="410" spans="1:15" x14ac:dyDescent="0.45">
      <c r="A410" s="11" t="s">
        <v>491</v>
      </c>
      <c r="B410" s="12">
        <v>45726.651388888888</v>
      </c>
      <c r="C410" s="13">
        <v>255</v>
      </c>
      <c r="D410" s="14">
        <v>6.53</v>
      </c>
      <c r="E410" s="14">
        <v>6.35</v>
      </c>
      <c r="F410" s="14">
        <v>6.55</v>
      </c>
      <c r="G410" s="14">
        <v>-0.3</v>
      </c>
      <c r="H410" s="18">
        <v>-4.3900000000000002E-2</v>
      </c>
      <c r="I410" s="14">
        <v>399</v>
      </c>
      <c r="J410" s="14">
        <v>127</v>
      </c>
      <c r="K410" s="18">
        <v>0.25530000000000003</v>
      </c>
      <c r="L410" s="26" t="b">
        <f t="shared" si="33"/>
        <v>0</v>
      </c>
      <c r="M410" s="26" t="str">
        <f t="shared" si="30"/>
        <v>put</v>
      </c>
      <c r="N410" s="28">
        <f t="shared" si="31"/>
        <v>45968</v>
      </c>
      <c r="O410" s="29">
        <f t="shared" si="32"/>
        <v>33</v>
      </c>
    </row>
    <row r="411" spans="1:15" x14ac:dyDescent="0.45">
      <c r="A411" s="1" t="s">
        <v>492</v>
      </c>
      <c r="B411" s="2">
        <v>45726.65902777778</v>
      </c>
      <c r="C411" s="3">
        <v>260</v>
      </c>
      <c r="D411" s="4">
        <v>8.7899999999999991</v>
      </c>
      <c r="E411" s="4">
        <v>8.65</v>
      </c>
      <c r="F411" s="4">
        <v>8.8000000000000007</v>
      </c>
      <c r="G411" s="8">
        <v>-0.34</v>
      </c>
      <c r="H411" s="9">
        <v>-3.7199999999999997E-2</v>
      </c>
      <c r="I411" s="4">
        <v>337</v>
      </c>
      <c r="J411" s="4">
        <v>81</v>
      </c>
      <c r="K411" s="5">
        <v>0.2465</v>
      </c>
      <c r="L411" s="26" t="b">
        <f t="shared" si="33"/>
        <v>1</v>
      </c>
      <c r="M411" s="26" t="str">
        <f t="shared" si="30"/>
        <v>put</v>
      </c>
      <c r="N411" s="28">
        <f t="shared" si="31"/>
        <v>45968</v>
      </c>
      <c r="O411" s="29">
        <f t="shared" si="32"/>
        <v>33</v>
      </c>
    </row>
    <row r="412" spans="1:15" x14ac:dyDescent="0.45">
      <c r="A412" s="21" t="s">
        <v>493</v>
      </c>
      <c r="B412" s="30">
        <v>45726.656944444447</v>
      </c>
      <c r="C412" s="23">
        <v>265</v>
      </c>
      <c r="D412" s="22">
        <v>11.45</v>
      </c>
      <c r="E412" s="22">
        <v>11.4</v>
      </c>
      <c r="F412" s="22">
        <v>11.65</v>
      </c>
      <c r="G412" s="33">
        <v>-0.26</v>
      </c>
      <c r="H412" s="34">
        <v>-2.2200000000000001E-2</v>
      </c>
      <c r="I412" s="22">
        <v>49</v>
      </c>
      <c r="J412" s="22">
        <v>73</v>
      </c>
      <c r="K412" s="24">
        <v>0.2407</v>
      </c>
      <c r="L412" s="26" t="b">
        <f t="shared" si="33"/>
        <v>1</v>
      </c>
      <c r="M412" s="26" t="str">
        <f t="shared" si="30"/>
        <v>put</v>
      </c>
      <c r="N412" s="28">
        <f t="shared" si="31"/>
        <v>45968</v>
      </c>
      <c r="O412" s="29">
        <f t="shared" si="32"/>
        <v>33</v>
      </c>
    </row>
    <row r="413" spans="1:15" x14ac:dyDescent="0.45">
      <c r="A413" s="1" t="s">
        <v>494</v>
      </c>
      <c r="B413" s="2">
        <v>45667.543055555558</v>
      </c>
      <c r="C413" s="3">
        <v>100</v>
      </c>
      <c r="D413" s="4">
        <v>157.83000000000001</v>
      </c>
      <c r="E413" s="4">
        <v>157.5</v>
      </c>
      <c r="F413" s="4">
        <v>159.05000000000001</v>
      </c>
      <c r="G413" s="4">
        <v>-0.22</v>
      </c>
      <c r="H413" s="5">
        <v>-1.4E-3</v>
      </c>
      <c r="I413" s="4">
        <v>1</v>
      </c>
      <c r="J413" s="4">
        <v>31</v>
      </c>
      <c r="K413" s="5">
        <v>1.1455</v>
      </c>
      <c r="L413" s="26" t="b">
        <f t="shared" si="33"/>
        <v>1</v>
      </c>
      <c r="M413" s="26" t="str">
        <f t="shared" si="30"/>
        <v>call</v>
      </c>
      <c r="N413" s="28">
        <f t="shared" si="31"/>
        <v>45982</v>
      </c>
      <c r="O413" s="29">
        <f t="shared" si="32"/>
        <v>47</v>
      </c>
    </row>
    <row r="414" spans="1:15" x14ac:dyDescent="0.45">
      <c r="A414" s="1" t="s">
        <v>495</v>
      </c>
      <c r="B414" s="4" t="s">
        <v>496</v>
      </c>
      <c r="C414" s="3">
        <v>105</v>
      </c>
      <c r="D414" s="4">
        <v>134.9</v>
      </c>
      <c r="E414" s="4">
        <v>153.1</v>
      </c>
      <c r="F414" s="4">
        <v>153.94999999999999</v>
      </c>
      <c r="G414" s="4">
        <v>0</v>
      </c>
      <c r="H414" s="5">
        <v>0</v>
      </c>
      <c r="I414" s="4">
        <v>2</v>
      </c>
      <c r="J414" s="4">
        <v>4</v>
      </c>
      <c r="K414" s="5">
        <v>1.2017</v>
      </c>
      <c r="L414" s="26" t="b">
        <f t="shared" si="33"/>
        <v>1</v>
      </c>
      <c r="M414" s="26" t="str">
        <f t="shared" si="30"/>
        <v>call</v>
      </c>
      <c r="N414" s="28">
        <f t="shared" si="31"/>
        <v>45982</v>
      </c>
      <c r="O414" s="29">
        <f t="shared" si="32"/>
        <v>47</v>
      </c>
    </row>
    <row r="415" spans="1:15" x14ac:dyDescent="0.45">
      <c r="A415" s="1" t="s">
        <v>497</v>
      </c>
      <c r="B415" s="4" t="s">
        <v>498</v>
      </c>
      <c r="C415" s="3">
        <v>110</v>
      </c>
      <c r="D415" s="4">
        <v>100.22</v>
      </c>
      <c r="E415" s="4">
        <v>145.05000000000001</v>
      </c>
      <c r="F415" s="4">
        <v>146.80000000000001</v>
      </c>
      <c r="G415" s="4">
        <v>0</v>
      </c>
      <c r="H415" s="5">
        <v>0</v>
      </c>
      <c r="I415" s="4">
        <v>10</v>
      </c>
      <c r="J415" s="4">
        <v>1</v>
      </c>
      <c r="K415" s="5">
        <v>0</v>
      </c>
      <c r="L415" s="26" t="b">
        <f t="shared" si="33"/>
        <v>1</v>
      </c>
      <c r="M415" s="26" t="str">
        <f t="shared" si="30"/>
        <v>call</v>
      </c>
      <c r="N415" s="28">
        <f t="shared" si="31"/>
        <v>45982</v>
      </c>
      <c r="O415" s="29">
        <f t="shared" si="32"/>
        <v>47</v>
      </c>
    </row>
    <row r="416" spans="1:15" x14ac:dyDescent="0.45">
      <c r="A416" s="1" t="s">
        <v>499</v>
      </c>
      <c r="B416" s="2">
        <v>45786.634027777778</v>
      </c>
      <c r="C416" s="3">
        <v>115</v>
      </c>
      <c r="D416" s="4">
        <v>125.6</v>
      </c>
      <c r="E416" s="4">
        <v>142.55000000000001</v>
      </c>
      <c r="F416" s="4">
        <v>143.94999999999999</v>
      </c>
      <c r="G416" s="6">
        <v>0</v>
      </c>
      <c r="H416" s="7">
        <v>0</v>
      </c>
      <c r="I416" s="4">
        <v>3</v>
      </c>
      <c r="J416" s="4">
        <v>10</v>
      </c>
      <c r="K416" s="5">
        <v>0.97460000000000002</v>
      </c>
      <c r="L416" s="26" t="b">
        <f t="shared" si="33"/>
        <v>1</v>
      </c>
      <c r="M416" s="26" t="str">
        <f t="shared" si="30"/>
        <v>call</v>
      </c>
      <c r="N416" s="28">
        <f t="shared" si="31"/>
        <v>45982</v>
      </c>
      <c r="O416" s="29">
        <f t="shared" si="32"/>
        <v>47</v>
      </c>
    </row>
    <row r="417" spans="1:15" x14ac:dyDescent="0.45">
      <c r="A417" s="1" t="s">
        <v>500</v>
      </c>
      <c r="B417" s="4" t="s">
        <v>501</v>
      </c>
      <c r="C417" s="3">
        <v>120</v>
      </c>
      <c r="D417" s="4">
        <v>124.87</v>
      </c>
      <c r="E417" s="4">
        <v>137.69999999999999</v>
      </c>
      <c r="F417" s="4">
        <v>139.30000000000001</v>
      </c>
      <c r="G417" s="4">
        <v>0</v>
      </c>
      <c r="H417" s="5">
        <v>0</v>
      </c>
      <c r="I417" s="4">
        <v>1</v>
      </c>
      <c r="J417" s="4">
        <v>3</v>
      </c>
      <c r="K417" s="5">
        <v>1.0293000000000001</v>
      </c>
      <c r="L417" s="26" t="b">
        <f t="shared" si="33"/>
        <v>1</v>
      </c>
      <c r="M417" s="26" t="str">
        <f t="shared" si="30"/>
        <v>call</v>
      </c>
      <c r="N417" s="28">
        <f t="shared" si="31"/>
        <v>45982</v>
      </c>
      <c r="O417" s="29">
        <f t="shared" si="32"/>
        <v>47</v>
      </c>
    </row>
    <row r="418" spans="1:15" x14ac:dyDescent="0.45">
      <c r="A418" s="1" t="s">
        <v>502</v>
      </c>
      <c r="B418" s="4" t="s">
        <v>503</v>
      </c>
      <c r="C418" s="3">
        <v>125</v>
      </c>
      <c r="D418" s="4">
        <v>126.1</v>
      </c>
      <c r="E418" s="4">
        <v>132.55000000000001</v>
      </c>
      <c r="F418" s="4">
        <v>134.05000000000001</v>
      </c>
      <c r="G418" s="4">
        <v>0</v>
      </c>
      <c r="H418" s="5">
        <v>0</v>
      </c>
      <c r="I418" s="4">
        <v>15</v>
      </c>
      <c r="J418" s="4">
        <v>40</v>
      </c>
      <c r="K418" s="5">
        <v>0.90529999999999999</v>
      </c>
      <c r="L418" s="26" t="b">
        <f t="shared" si="33"/>
        <v>1</v>
      </c>
      <c r="M418" s="26" t="str">
        <f t="shared" si="30"/>
        <v>call</v>
      </c>
      <c r="N418" s="28">
        <f t="shared" si="31"/>
        <v>45982</v>
      </c>
      <c r="O418" s="29">
        <f t="shared" si="32"/>
        <v>47</v>
      </c>
    </row>
    <row r="419" spans="1:15" x14ac:dyDescent="0.45">
      <c r="A419" s="1" t="s">
        <v>504</v>
      </c>
      <c r="B419" s="2">
        <v>45725.456250000003</v>
      </c>
      <c r="C419" s="3">
        <v>130</v>
      </c>
      <c r="D419" s="4">
        <v>108.05</v>
      </c>
      <c r="E419" s="4">
        <v>127.65</v>
      </c>
      <c r="F419" s="4">
        <v>129.35</v>
      </c>
      <c r="G419" s="6">
        <v>0</v>
      </c>
      <c r="H419" s="7">
        <v>0</v>
      </c>
      <c r="I419" s="4">
        <v>13</v>
      </c>
      <c r="J419" s="4">
        <v>60</v>
      </c>
      <c r="K419" s="5">
        <v>0.93120000000000003</v>
      </c>
      <c r="L419" s="26" t="b">
        <f t="shared" si="33"/>
        <v>1</v>
      </c>
      <c r="M419" s="26" t="str">
        <f t="shared" si="30"/>
        <v>call</v>
      </c>
      <c r="N419" s="28">
        <f t="shared" si="31"/>
        <v>45982</v>
      </c>
      <c r="O419" s="29">
        <f t="shared" si="32"/>
        <v>47</v>
      </c>
    </row>
    <row r="420" spans="1:15" x14ac:dyDescent="0.45">
      <c r="A420" s="1" t="s">
        <v>505</v>
      </c>
      <c r="B420" s="2">
        <v>45697.497916666667</v>
      </c>
      <c r="C420" s="3">
        <v>135</v>
      </c>
      <c r="D420" s="4">
        <v>93.66</v>
      </c>
      <c r="E420" s="4">
        <v>122.8</v>
      </c>
      <c r="F420" s="4">
        <v>124.5</v>
      </c>
      <c r="G420" s="4">
        <v>0</v>
      </c>
      <c r="H420" s="5">
        <v>0</v>
      </c>
      <c r="I420" s="4">
        <v>8</v>
      </c>
      <c r="J420" s="4">
        <v>4</v>
      </c>
      <c r="K420" s="5">
        <v>0.92430000000000001</v>
      </c>
      <c r="L420" s="26" t="b">
        <f t="shared" si="33"/>
        <v>1</v>
      </c>
      <c r="M420" s="26" t="str">
        <f t="shared" si="30"/>
        <v>call</v>
      </c>
      <c r="N420" s="28">
        <f t="shared" si="31"/>
        <v>45982</v>
      </c>
      <c r="O420" s="29">
        <f t="shared" si="32"/>
        <v>47</v>
      </c>
    </row>
    <row r="421" spans="1:15" x14ac:dyDescent="0.45">
      <c r="A421" s="1" t="s">
        <v>506</v>
      </c>
      <c r="B421" s="2">
        <v>45726.517361111109</v>
      </c>
      <c r="C421" s="3">
        <v>140</v>
      </c>
      <c r="D421" s="4">
        <v>119.2</v>
      </c>
      <c r="E421" s="4">
        <v>117.75</v>
      </c>
      <c r="F421" s="4">
        <v>119.4</v>
      </c>
      <c r="G421" s="6">
        <v>2.65</v>
      </c>
      <c r="H421" s="7">
        <v>2.2700000000000001E-2</v>
      </c>
      <c r="I421" s="4">
        <v>4</v>
      </c>
      <c r="J421" s="4">
        <v>62</v>
      </c>
      <c r="K421" s="5">
        <v>0.8599</v>
      </c>
      <c r="L421" s="26" t="b">
        <f t="shared" si="33"/>
        <v>1</v>
      </c>
      <c r="M421" s="26" t="str">
        <f t="shared" si="30"/>
        <v>call</v>
      </c>
      <c r="N421" s="28">
        <f t="shared" si="31"/>
        <v>45982</v>
      </c>
      <c r="O421" s="29">
        <f t="shared" si="32"/>
        <v>47</v>
      </c>
    </row>
    <row r="422" spans="1:15" x14ac:dyDescent="0.45">
      <c r="A422" s="1" t="s">
        <v>507</v>
      </c>
      <c r="B422" s="2">
        <v>45698.5625</v>
      </c>
      <c r="C422" s="3">
        <v>145</v>
      </c>
      <c r="D422" s="4">
        <v>113.18</v>
      </c>
      <c r="E422" s="4">
        <v>112.8</v>
      </c>
      <c r="F422" s="4">
        <v>114.25</v>
      </c>
      <c r="G422" s="6">
        <v>0</v>
      </c>
      <c r="H422" s="7">
        <v>0</v>
      </c>
      <c r="I422" s="4">
        <v>10</v>
      </c>
      <c r="J422" s="4">
        <v>151</v>
      </c>
      <c r="K422" s="5">
        <v>0.80320000000000003</v>
      </c>
      <c r="L422" s="26" t="b">
        <f t="shared" si="33"/>
        <v>1</v>
      </c>
      <c r="M422" s="26" t="str">
        <f t="shared" si="30"/>
        <v>call</v>
      </c>
      <c r="N422" s="28">
        <f t="shared" si="31"/>
        <v>45982</v>
      </c>
      <c r="O422" s="29">
        <f t="shared" si="32"/>
        <v>47</v>
      </c>
    </row>
    <row r="423" spans="1:15" x14ac:dyDescent="0.45">
      <c r="A423" s="1" t="s">
        <v>508</v>
      </c>
      <c r="B423" s="2">
        <v>45698.554166666669</v>
      </c>
      <c r="C423" s="3">
        <v>150</v>
      </c>
      <c r="D423" s="4">
        <v>108.4</v>
      </c>
      <c r="E423" s="4">
        <v>108.15</v>
      </c>
      <c r="F423" s="4">
        <v>109.75</v>
      </c>
      <c r="G423" s="6">
        <v>0</v>
      </c>
      <c r="H423" s="7">
        <v>0</v>
      </c>
      <c r="I423" s="4">
        <v>1</v>
      </c>
      <c r="J423" s="4">
        <v>631</v>
      </c>
      <c r="K423" s="5">
        <v>0.84640000000000004</v>
      </c>
      <c r="L423" s="26" t="b">
        <f t="shared" si="33"/>
        <v>1</v>
      </c>
      <c r="M423" s="26" t="str">
        <f t="shared" si="30"/>
        <v>call</v>
      </c>
      <c r="N423" s="28">
        <f t="shared" si="31"/>
        <v>45982</v>
      </c>
      <c r="O423" s="29">
        <f t="shared" si="32"/>
        <v>47</v>
      </c>
    </row>
    <row r="424" spans="1:15" x14ac:dyDescent="0.45">
      <c r="A424" s="1" t="s">
        <v>509</v>
      </c>
      <c r="B424" s="2">
        <v>45726.607638888891</v>
      </c>
      <c r="C424" s="3">
        <v>155</v>
      </c>
      <c r="D424" s="4">
        <v>103.84</v>
      </c>
      <c r="E424" s="4">
        <v>103.05</v>
      </c>
      <c r="F424" s="4">
        <v>104.2</v>
      </c>
      <c r="G424" s="6">
        <v>3.79</v>
      </c>
      <c r="H424" s="7">
        <v>3.7900000000000003E-2</v>
      </c>
      <c r="I424" s="4">
        <v>2</v>
      </c>
      <c r="J424" s="4">
        <v>103</v>
      </c>
      <c r="K424" s="5">
        <v>0.74270000000000003</v>
      </c>
      <c r="L424" s="26" t="b">
        <f t="shared" si="33"/>
        <v>1</v>
      </c>
      <c r="M424" s="26" t="str">
        <f t="shared" si="30"/>
        <v>call</v>
      </c>
      <c r="N424" s="28">
        <f t="shared" si="31"/>
        <v>45982</v>
      </c>
      <c r="O424" s="29">
        <f t="shared" si="32"/>
        <v>47</v>
      </c>
    </row>
    <row r="425" spans="1:15" x14ac:dyDescent="0.45">
      <c r="A425" s="1" t="s">
        <v>510</v>
      </c>
      <c r="B425" s="4" t="s">
        <v>511</v>
      </c>
      <c r="C425" s="3">
        <v>160</v>
      </c>
      <c r="D425" s="4">
        <v>97.87</v>
      </c>
      <c r="E425" s="4">
        <v>97.85</v>
      </c>
      <c r="F425" s="4">
        <v>99.2</v>
      </c>
      <c r="G425" s="6">
        <v>0.27</v>
      </c>
      <c r="H425" s="7">
        <v>2.8E-3</v>
      </c>
      <c r="I425" s="4">
        <v>1</v>
      </c>
      <c r="J425" s="4">
        <v>77</v>
      </c>
      <c r="K425" s="5">
        <v>0.68120000000000003</v>
      </c>
      <c r="L425" s="26" t="b">
        <f t="shared" si="33"/>
        <v>1</v>
      </c>
      <c r="M425" s="26" t="str">
        <f t="shared" si="30"/>
        <v>call</v>
      </c>
      <c r="N425" s="28">
        <f t="shared" si="31"/>
        <v>45982</v>
      </c>
      <c r="O425" s="29">
        <f t="shared" si="32"/>
        <v>47</v>
      </c>
    </row>
    <row r="426" spans="1:15" x14ac:dyDescent="0.45">
      <c r="A426" s="1" t="s">
        <v>512</v>
      </c>
      <c r="B426" s="2">
        <v>45698.493055555555</v>
      </c>
      <c r="C426" s="3">
        <v>165</v>
      </c>
      <c r="D426" s="4">
        <v>92.83</v>
      </c>
      <c r="E426" s="4">
        <v>93.2</v>
      </c>
      <c r="F426" s="4">
        <v>94.55</v>
      </c>
      <c r="G426" s="6">
        <v>0</v>
      </c>
      <c r="H426" s="7">
        <v>0</v>
      </c>
      <c r="I426" s="4">
        <v>1</v>
      </c>
      <c r="J426" s="4">
        <v>571</v>
      </c>
      <c r="K426" s="5">
        <v>0.70530000000000004</v>
      </c>
      <c r="L426" s="26" t="b">
        <f t="shared" si="33"/>
        <v>1</v>
      </c>
      <c r="M426" s="26" t="str">
        <f t="shared" si="30"/>
        <v>call</v>
      </c>
      <c r="N426" s="28">
        <f t="shared" si="31"/>
        <v>45982</v>
      </c>
      <c r="O426" s="29">
        <f t="shared" si="32"/>
        <v>47</v>
      </c>
    </row>
    <row r="427" spans="1:15" x14ac:dyDescent="0.45">
      <c r="A427" s="1" t="s">
        <v>513</v>
      </c>
      <c r="B427" s="2">
        <v>45726.486805555556</v>
      </c>
      <c r="C427" s="3">
        <v>170</v>
      </c>
      <c r="D427" s="4">
        <v>89.4</v>
      </c>
      <c r="E427" s="4">
        <v>88.5</v>
      </c>
      <c r="F427" s="4">
        <v>89.3</v>
      </c>
      <c r="G427" s="6">
        <v>2.2999999999999998</v>
      </c>
      <c r="H427" s="7">
        <v>2.64E-2</v>
      </c>
      <c r="I427" s="4">
        <v>2</v>
      </c>
      <c r="J427" s="4">
        <v>69</v>
      </c>
      <c r="K427" s="5">
        <v>0.66869999999999996</v>
      </c>
      <c r="L427" s="26" t="b">
        <f t="shared" si="33"/>
        <v>1</v>
      </c>
      <c r="M427" s="26" t="str">
        <f t="shared" si="30"/>
        <v>call</v>
      </c>
      <c r="N427" s="28">
        <f t="shared" si="31"/>
        <v>45982</v>
      </c>
      <c r="O427" s="29">
        <f t="shared" si="32"/>
        <v>47</v>
      </c>
    </row>
    <row r="428" spans="1:15" x14ac:dyDescent="0.45">
      <c r="A428" s="1" t="s">
        <v>514</v>
      </c>
      <c r="B428" s="2">
        <v>45698.52847222222</v>
      </c>
      <c r="C428" s="3">
        <v>175</v>
      </c>
      <c r="D428" s="4">
        <v>84.01</v>
      </c>
      <c r="E428" s="4">
        <v>83.1</v>
      </c>
      <c r="F428" s="4">
        <v>84.45</v>
      </c>
      <c r="G428" s="6">
        <v>0.81</v>
      </c>
      <c r="H428" s="7">
        <v>9.7000000000000003E-3</v>
      </c>
      <c r="I428" s="4">
        <v>2</v>
      </c>
      <c r="J428" s="4">
        <v>338</v>
      </c>
      <c r="K428" s="5">
        <v>0.61080000000000001</v>
      </c>
      <c r="L428" s="26" t="b">
        <f t="shared" si="33"/>
        <v>1</v>
      </c>
      <c r="M428" s="26" t="str">
        <f t="shared" si="30"/>
        <v>call</v>
      </c>
      <c r="N428" s="28">
        <f t="shared" si="31"/>
        <v>45982</v>
      </c>
      <c r="O428" s="29">
        <f t="shared" si="32"/>
        <v>47</v>
      </c>
    </row>
    <row r="429" spans="1:15" x14ac:dyDescent="0.45">
      <c r="A429" s="1" t="s">
        <v>515</v>
      </c>
      <c r="B429" s="2">
        <v>45726.48541666667</v>
      </c>
      <c r="C429" s="3">
        <v>180</v>
      </c>
      <c r="D429" s="4">
        <v>80.099999999999994</v>
      </c>
      <c r="E429" s="4">
        <v>78.599999999999994</v>
      </c>
      <c r="F429" s="4">
        <v>79.849999999999994</v>
      </c>
      <c r="G429" s="6">
        <v>2.4500000000000002</v>
      </c>
      <c r="H429" s="7">
        <v>3.1600000000000003E-2</v>
      </c>
      <c r="I429" s="4">
        <v>6</v>
      </c>
      <c r="J429" s="4">
        <v>284</v>
      </c>
      <c r="K429" s="5">
        <v>0.62990000000000002</v>
      </c>
      <c r="L429" s="26" t="b">
        <f t="shared" si="33"/>
        <v>1</v>
      </c>
      <c r="M429" s="26" t="str">
        <f t="shared" si="30"/>
        <v>call</v>
      </c>
      <c r="N429" s="28">
        <f t="shared" si="31"/>
        <v>45982</v>
      </c>
      <c r="O429" s="29">
        <f t="shared" si="32"/>
        <v>47</v>
      </c>
    </row>
    <row r="430" spans="1:15" x14ac:dyDescent="0.45">
      <c r="A430" s="1" t="s">
        <v>516</v>
      </c>
      <c r="B430" s="2">
        <v>45726.468055555553</v>
      </c>
      <c r="C430" s="3">
        <v>185</v>
      </c>
      <c r="D430" s="4">
        <v>74.400000000000006</v>
      </c>
      <c r="E430" s="4">
        <v>73.5</v>
      </c>
      <c r="F430" s="4">
        <v>74.8</v>
      </c>
      <c r="G430" s="8">
        <v>1.4</v>
      </c>
      <c r="H430" s="9">
        <v>1.9199999999999998E-2</v>
      </c>
      <c r="I430" s="4">
        <v>4</v>
      </c>
      <c r="J430" s="4">
        <v>527</v>
      </c>
      <c r="K430" s="5">
        <v>0.58189999999999997</v>
      </c>
      <c r="L430" s="26" t="b">
        <f t="shared" si="33"/>
        <v>1</v>
      </c>
      <c r="M430" s="26" t="str">
        <f t="shared" si="30"/>
        <v>call</v>
      </c>
      <c r="N430" s="28">
        <f t="shared" si="31"/>
        <v>45982</v>
      </c>
      <c r="O430" s="29">
        <f t="shared" si="32"/>
        <v>47</v>
      </c>
    </row>
    <row r="431" spans="1:15" x14ac:dyDescent="0.45">
      <c r="A431" s="1" t="s">
        <v>517</v>
      </c>
      <c r="B431" s="2">
        <v>45698.665277777778</v>
      </c>
      <c r="C431" s="3">
        <v>190</v>
      </c>
      <c r="D431" s="4">
        <v>68.62</v>
      </c>
      <c r="E431" s="4">
        <v>68.45</v>
      </c>
      <c r="F431" s="4">
        <v>69.650000000000006</v>
      </c>
      <c r="G431" s="6">
        <v>0</v>
      </c>
      <c r="H431" s="7">
        <v>0</v>
      </c>
      <c r="I431" s="4">
        <v>9</v>
      </c>
      <c r="J431" s="4">
        <v>505</v>
      </c>
      <c r="K431" s="5">
        <v>0.53269999999999995</v>
      </c>
      <c r="L431" s="26" t="b">
        <f t="shared" si="33"/>
        <v>1</v>
      </c>
      <c r="M431" s="26" t="str">
        <f t="shared" si="30"/>
        <v>call</v>
      </c>
      <c r="N431" s="28">
        <f t="shared" si="31"/>
        <v>45982</v>
      </c>
      <c r="O431" s="29">
        <f t="shared" si="32"/>
        <v>47</v>
      </c>
    </row>
    <row r="432" spans="1:15" x14ac:dyDescent="0.45">
      <c r="A432" s="1" t="s">
        <v>518</v>
      </c>
      <c r="B432" s="2">
        <v>45698.607638888891</v>
      </c>
      <c r="C432" s="3">
        <v>195</v>
      </c>
      <c r="D432" s="4">
        <v>64.430000000000007</v>
      </c>
      <c r="E432" s="4">
        <v>63.9</v>
      </c>
      <c r="F432" s="4">
        <v>65.05</v>
      </c>
      <c r="G432" s="6">
        <v>0</v>
      </c>
      <c r="H432" s="7">
        <v>0</v>
      </c>
      <c r="I432" s="4">
        <v>3</v>
      </c>
      <c r="J432" s="4">
        <v>550</v>
      </c>
      <c r="K432" s="5">
        <v>0.53559999999999997</v>
      </c>
      <c r="L432" s="26" t="b">
        <f t="shared" si="33"/>
        <v>1</v>
      </c>
      <c r="M432" s="26" t="str">
        <f t="shared" si="30"/>
        <v>call</v>
      </c>
      <c r="N432" s="28">
        <f t="shared" si="31"/>
        <v>45982</v>
      </c>
      <c r="O432" s="29">
        <f t="shared" si="32"/>
        <v>47</v>
      </c>
    </row>
    <row r="433" spans="1:15" x14ac:dyDescent="0.45">
      <c r="A433" s="1" t="s">
        <v>519</v>
      </c>
      <c r="B433" s="2">
        <v>45726.631944444445</v>
      </c>
      <c r="C433" s="3">
        <v>200</v>
      </c>
      <c r="D433" s="4">
        <v>59.2</v>
      </c>
      <c r="E433" s="4">
        <v>59.25</v>
      </c>
      <c r="F433" s="4">
        <v>59.55</v>
      </c>
      <c r="G433" s="8">
        <v>0.72</v>
      </c>
      <c r="H433" s="9">
        <v>1.23E-2</v>
      </c>
      <c r="I433" s="4">
        <v>12</v>
      </c>
      <c r="J433" s="10">
        <v>1851</v>
      </c>
      <c r="K433" s="5">
        <v>0.50309999999999999</v>
      </c>
      <c r="L433" s="26" t="b">
        <f t="shared" si="33"/>
        <v>1</v>
      </c>
      <c r="M433" s="26" t="str">
        <f t="shared" si="30"/>
        <v>call</v>
      </c>
      <c r="N433" s="28">
        <f t="shared" si="31"/>
        <v>45982</v>
      </c>
      <c r="O433" s="29">
        <f t="shared" si="32"/>
        <v>47</v>
      </c>
    </row>
    <row r="434" spans="1:15" x14ac:dyDescent="0.45">
      <c r="A434" s="1" t="s">
        <v>520</v>
      </c>
      <c r="B434" s="2">
        <v>45698.444444444445</v>
      </c>
      <c r="C434" s="3">
        <v>205</v>
      </c>
      <c r="D434" s="4">
        <v>54.37</v>
      </c>
      <c r="E434" s="4">
        <v>54.35</v>
      </c>
      <c r="F434" s="4">
        <v>54.65</v>
      </c>
      <c r="G434" s="8">
        <v>1.19</v>
      </c>
      <c r="H434" s="9">
        <v>2.24E-2</v>
      </c>
      <c r="I434" s="4">
        <v>4</v>
      </c>
      <c r="J434" s="10">
        <v>1445</v>
      </c>
      <c r="K434" s="5">
        <v>0.47210000000000002</v>
      </c>
      <c r="L434" s="26" t="b">
        <f t="shared" si="33"/>
        <v>1</v>
      </c>
      <c r="M434" s="26" t="str">
        <f t="shared" si="30"/>
        <v>call</v>
      </c>
      <c r="N434" s="28">
        <f t="shared" si="31"/>
        <v>45982</v>
      </c>
      <c r="O434" s="29">
        <f t="shared" si="32"/>
        <v>47</v>
      </c>
    </row>
    <row r="435" spans="1:15" x14ac:dyDescent="0.45">
      <c r="A435" s="1" t="s">
        <v>521</v>
      </c>
      <c r="B435" s="2">
        <v>45726.631944444445</v>
      </c>
      <c r="C435" s="3">
        <v>210</v>
      </c>
      <c r="D435" s="4">
        <v>49.7</v>
      </c>
      <c r="E435" s="4">
        <v>48.75</v>
      </c>
      <c r="F435" s="4">
        <v>49.9</v>
      </c>
      <c r="G435" s="8">
        <v>0.18</v>
      </c>
      <c r="H435" s="9">
        <v>3.5999999999999999E-3</v>
      </c>
      <c r="I435" s="4">
        <v>23</v>
      </c>
      <c r="J435" s="10">
        <v>2029</v>
      </c>
      <c r="K435" s="5">
        <v>0.45040000000000002</v>
      </c>
      <c r="L435" s="26" t="b">
        <f t="shared" si="33"/>
        <v>1</v>
      </c>
      <c r="M435" s="26" t="str">
        <f t="shared" si="30"/>
        <v>call</v>
      </c>
      <c r="N435" s="28">
        <f t="shared" si="31"/>
        <v>45982</v>
      </c>
      <c r="O435" s="29">
        <f t="shared" si="32"/>
        <v>47</v>
      </c>
    </row>
    <row r="436" spans="1:15" x14ac:dyDescent="0.45">
      <c r="A436" s="1" t="s">
        <v>522</v>
      </c>
      <c r="B436" s="2">
        <v>45726.589583333334</v>
      </c>
      <c r="C436" s="3">
        <v>215</v>
      </c>
      <c r="D436" s="4">
        <v>44.65</v>
      </c>
      <c r="E436" s="4">
        <v>44.55</v>
      </c>
      <c r="F436" s="4">
        <v>45.95</v>
      </c>
      <c r="G436" s="6">
        <v>0.47</v>
      </c>
      <c r="H436" s="7">
        <v>1.06E-2</v>
      </c>
      <c r="I436" s="4">
        <v>81</v>
      </c>
      <c r="J436" s="10">
        <v>3175</v>
      </c>
      <c r="K436" s="5">
        <v>0.47070000000000001</v>
      </c>
      <c r="L436" s="26" t="b">
        <f t="shared" si="33"/>
        <v>1</v>
      </c>
      <c r="M436" s="26" t="str">
        <f t="shared" ref="M436:M499" si="34">IF(MID(A436,11,1)="C","call","put")</f>
        <v>call</v>
      </c>
      <c r="N436" s="28">
        <f t="shared" ref="N436:N499" si="35">DATE(MID(A436,5,2)+2000,MID(A436,7,2),MID(A436,9,2))</f>
        <v>45982</v>
      </c>
      <c r="O436" s="29">
        <f t="shared" si="32"/>
        <v>47</v>
      </c>
    </row>
    <row r="437" spans="1:15" x14ac:dyDescent="0.45">
      <c r="A437" s="1" t="s">
        <v>523</v>
      </c>
      <c r="B437" s="2">
        <v>45726.658333333333</v>
      </c>
      <c r="C437" s="3">
        <v>220</v>
      </c>
      <c r="D437" s="4">
        <v>40.049999999999997</v>
      </c>
      <c r="E437" s="4">
        <v>39.9</v>
      </c>
      <c r="F437" s="4">
        <v>40.200000000000003</v>
      </c>
      <c r="G437" s="6">
        <v>0.45</v>
      </c>
      <c r="H437" s="7">
        <v>1.14E-2</v>
      </c>
      <c r="I437" s="4">
        <v>293</v>
      </c>
      <c r="J437" s="10">
        <v>40222</v>
      </c>
      <c r="K437" s="5">
        <v>0.38950000000000001</v>
      </c>
      <c r="L437" s="26" t="b">
        <f t="shared" si="33"/>
        <v>1</v>
      </c>
      <c r="M437" s="26" t="str">
        <f t="shared" si="34"/>
        <v>call</v>
      </c>
      <c r="N437" s="28">
        <f t="shared" si="35"/>
        <v>45982</v>
      </c>
      <c r="O437" s="29">
        <f t="shared" si="32"/>
        <v>47</v>
      </c>
    </row>
    <row r="438" spans="1:15" x14ac:dyDescent="0.45">
      <c r="A438" s="1" t="s">
        <v>524</v>
      </c>
      <c r="B438" s="2">
        <v>45726.652777777781</v>
      </c>
      <c r="C438" s="3">
        <v>225</v>
      </c>
      <c r="D438" s="4">
        <v>35.049999999999997</v>
      </c>
      <c r="E438" s="4">
        <v>35.25</v>
      </c>
      <c r="F438" s="4">
        <v>35.549999999999997</v>
      </c>
      <c r="G438" s="6">
        <v>0.08</v>
      </c>
      <c r="H438" s="7">
        <v>2.3E-3</v>
      </c>
      <c r="I438" s="4">
        <v>71</v>
      </c>
      <c r="J438" s="10">
        <v>6390</v>
      </c>
      <c r="K438" s="5">
        <v>0.36720000000000003</v>
      </c>
      <c r="L438" s="26" t="b">
        <f t="shared" si="33"/>
        <v>1</v>
      </c>
      <c r="M438" s="26" t="str">
        <f t="shared" si="34"/>
        <v>call</v>
      </c>
      <c r="N438" s="28">
        <f t="shared" si="35"/>
        <v>45982</v>
      </c>
      <c r="O438" s="29">
        <f t="shared" si="32"/>
        <v>47</v>
      </c>
    </row>
    <row r="439" spans="1:15" x14ac:dyDescent="0.45">
      <c r="A439" s="1" t="s">
        <v>525</v>
      </c>
      <c r="B439" s="2">
        <v>45726.654166666667</v>
      </c>
      <c r="C439" s="3">
        <v>230</v>
      </c>
      <c r="D439" s="4">
        <v>30.64</v>
      </c>
      <c r="E439" s="4">
        <v>30.7</v>
      </c>
      <c r="F439" s="4">
        <v>31</v>
      </c>
      <c r="G439" s="6">
        <v>0.15</v>
      </c>
      <c r="H439" s="7">
        <v>4.8999999999999998E-3</v>
      </c>
      <c r="I439" s="4">
        <v>45</v>
      </c>
      <c r="J439" s="10">
        <v>13469</v>
      </c>
      <c r="K439" s="5">
        <v>0.34610000000000002</v>
      </c>
      <c r="L439" s="26" t="b">
        <f t="shared" si="33"/>
        <v>1</v>
      </c>
      <c r="M439" s="26" t="str">
        <f t="shared" si="34"/>
        <v>call</v>
      </c>
      <c r="N439" s="28">
        <f t="shared" si="35"/>
        <v>45982</v>
      </c>
      <c r="O439" s="29">
        <f t="shared" si="32"/>
        <v>47</v>
      </c>
    </row>
    <row r="440" spans="1:15" x14ac:dyDescent="0.45">
      <c r="A440" s="1" t="s">
        <v>526</v>
      </c>
      <c r="B440" s="2">
        <v>45726.665277777778</v>
      </c>
      <c r="C440" s="3">
        <v>235</v>
      </c>
      <c r="D440" s="4">
        <v>26.42</v>
      </c>
      <c r="E440" s="4">
        <v>26.35</v>
      </c>
      <c r="F440" s="4">
        <v>26.6</v>
      </c>
      <c r="G440" s="6">
        <v>0.27</v>
      </c>
      <c r="H440" s="7">
        <v>1.03E-2</v>
      </c>
      <c r="I440" s="4">
        <v>150</v>
      </c>
      <c r="J440" s="10">
        <v>17898</v>
      </c>
      <c r="K440" s="5">
        <v>0.32690000000000002</v>
      </c>
      <c r="L440" s="26" t="b">
        <f t="shared" si="33"/>
        <v>1</v>
      </c>
      <c r="M440" s="26" t="str">
        <f t="shared" si="34"/>
        <v>call</v>
      </c>
      <c r="N440" s="28">
        <f t="shared" si="35"/>
        <v>45982</v>
      </c>
      <c r="O440" s="29">
        <f t="shared" si="32"/>
        <v>47</v>
      </c>
    </row>
    <row r="441" spans="1:15" x14ac:dyDescent="0.45">
      <c r="A441" s="1" t="s">
        <v>527</v>
      </c>
      <c r="B441" s="2">
        <v>45726.664583333331</v>
      </c>
      <c r="C441" s="3">
        <v>240</v>
      </c>
      <c r="D441" s="4">
        <v>22.18</v>
      </c>
      <c r="E441" s="4">
        <v>22.2</v>
      </c>
      <c r="F441" s="4">
        <v>22.4</v>
      </c>
      <c r="G441" s="8">
        <v>-0.09</v>
      </c>
      <c r="H441" s="9">
        <v>-4.0000000000000001E-3</v>
      </c>
      <c r="I441" s="4">
        <v>285</v>
      </c>
      <c r="J441" s="10">
        <v>15372</v>
      </c>
      <c r="K441" s="5">
        <v>0.30969999999999998</v>
      </c>
      <c r="L441" s="26" t="b">
        <f t="shared" si="33"/>
        <v>1</v>
      </c>
      <c r="M441" s="26" t="str">
        <f t="shared" si="34"/>
        <v>call</v>
      </c>
      <c r="N441" s="28">
        <f t="shared" si="35"/>
        <v>45982</v>
      </c>
      <c r="O441" s="29">
        <f t="shared" si="32"/>
        <v>47</v>
      </c>
    </row>
    <row r="442" spans="1:15" x14ac:dyDescent="0.45">
      <c r="A442" s="1" t="s">
        <v>528</v>
      </c>
      <c r="B442" s="2">
        <v>45726.656944444447</v>
      </c>
      <c r="C442" s="3">
        <v>245</v>
      </c>
      <c r="D442" s="4">
        <v>18.2</v>
      </c>
      <c r="E442" s="4">
        <v>18.350000000000001</v>
      </c>
      <c r="F442" s="4">
        <v>18.5</v>
      </c>
      <c r="G442" s="6">
        <v>0.2</v>
      </c>
      <c r="H442" s="7">
        <v>1.11E-2</v>
      </c>
      <c r="I442" s="4">
        <v>627</v>
      </c>
      <c r="J442" s="10">
        <v>23129</v>
      </c>
      <c r="K442" s="5">
        <v>0.29580000000000001</v>
      </c>
      <c r="L442" s="26" t="b">
        <f t="shared" si="33"/>
        <v>1</v>
      </c>
      <c r="M442" s="26" t="str">
        <f t="shared" si="34"/>
        <v>call</v>
      </c>
      <c r="N442" s="28">
        <f t="shared" si="35"/>
        <v>45982</v>
      </c>
      <c r="O442" s="29">
        <f t="shared" si="32"/>
        <v>47</v>
      </c>
    </row>
    <row r="443" spans="1:15" x14ac:dyDescent="0.45">
      <c r="A443" s="1" t="s">
        <v>529</v>
      </c>
      <c r="B443" s="2">
        <v>45726.665972222225</v>
      </c>
      <c r="C443" s="3">
        <v>250</v>
      </c>
      <c r="D443" s="4">
        <v>14.75</v>
      </c>
      <c r="E443" s="4">
        <v>14.8</v>
      </c>
      <c r="F443" s="4">
        <v>14.95</v>
      </c>
      <c r="G443" s="4">
        <v>0</v>
      </c>
      <c r="H443" s="5">
        <v>0</v>
      </c>
      <c r="I443" s="10">
        <v>3470</v>
      </c>
      <c r="J443" s="10">
        <v>27185</v>
      </c>
      <c r="K443" s="5">
        <v>0.28460000000000002</v>
      </c>
      <c r="L443" s="26" t="b">
        <f t="shared" si="33"/>
        <v>1</v>
      </c>
      <c r="M443" s="26" t="str">
        <f t="shared" si="34"/>
        <v>call</v>
      </c>
      <c r="N443" s="28">
        <f t="shared" si="35"/>
        <v>45982</v>
      </c>
      <c r="O443" s="29">
        <f t="shared" si="32"/>
        <v>47</v>
      </c>
    </row>
    <row r="444" spans="1:15" x14ac:dyDescent="0.45">
      <c r="A444" s="1" t="s">
        <v>530</v>
      </c>
      <c r="B444" s="2">
        <v>45726.663888888892</v>
      </c>
      <c r="C444" s="3">
        <v>255</v>
      </c>
      <c r="D444" s="4">
        <v>11.53</v>
      </c>
      <c r="E444" s="4">
        <v>11.65</v>
      </c>
      <c r="F444" s="4">
        <v>11.8</v>
      </c>
      <c r="G444" s="8">
        <v>-0.11</v>
      </c>
      <c r="H444" s="9">
        <v>-9.4999999999999998E-3</v>
      </c>
      <c r="I444" s="10">
        <v>1546</v>
      </c>
      <c r="J444" s="10">
        <v>16580</v>
      </c>
      <c r="K444" s="5">
        <v>0.27550000000000002</v>
      </c>
      <c r="L444" s="26" t="b">
        <f t="shared" si="33"/>
        <v>1</v>
      </c>
      <c r="M444" s="26" t="str">
        <f t="shared" si="34"/>
        <v>call</v>
      </c>
      <c r="N444" s="28">
        <f t="shared" si="35"/>
        <v>45982</v>
      </c>
      <c r="O444" s="29">
        <f t="shared" si="32"/>
        <v>47</v>
      </c>
    </row>
    <row r="445" spans="1:15" x14ac:dyDescent="0.45">
      <c r="A445" s="11" t="s">
        <v>531</v>
      </c>
      <c r="B445" s="12">
        <v>45726.665972222225</v>
      </c>
      <c r="C445" s="13">
        <v>260</v>
      </c>
      <c r="D445" s="14">
        <v>9</v>
      </c>
      <c r="E445" s="14">
        <v>8.9499999999999993</v>
      </c>
      <c r="F445" s="14">
        <v>9.0500000000000007</v>
      </c>
      <c r="G445" s="14">
        <v>0</v>
      </c>
      <c r="H445" s="18">
        <v>0</v>
      </c>
      <c r="I445" s="17">
        <v>2991</v>
      </c>
      <c r="J445" s="17">
        <v>19978</v>
      </c>
      <c r="K445" s="18">
        <v>0.26719999999999999</v>
      </c>
      <c r="L445" s="26" t="b">
        <f t="shared" si="33"/>
        <v>0</v>
      </c>
      <c r="M445" s="26" t="str">
        <f t="shared" si="34"/>
        <v>call</v>
      </c>
      <c r="N445" s="28">
        <f t="shared" si="35"/>
        <v>45982</v>
      </c>
      <c r="O445" s="29">
        <f t="shared" ref="O445:O509" si="36">N445-DATE(2025,10,5)</f>
        <v>47</v>
      </c>
    </row>
    <row r="446" spans="1:15" x14ac:dyDescent="0.45">
      <c r="A446" s="11" t="s">
        <v>532</v>
      </c>
      <c r="B446" s="12">
        <v>45726.665972222225</v>
      </c>
      <c r="C446" s="13">
        <v>265</v>
      </c>
      <c r="D446" s="14">
        <v>6.68</v>
      </c>
      <c r="E446" s="14">
        <v>6.65</v>
      </c>
      <c r="F446" s="14">
        <v>6.75</v>
      </c>
      <c r="G446" s="15">
        <v>-0.08</v>
      </c>
      <c r="H446" s="16">
        <v>-1.18E-2</v>
      </c>
      <c r="I446" s="17">
        <v>1564</v>
      </c>
      <c r="J446" s="17">
        <v>44902</v>
      </c>
      <c r="K446" s="18">
        <v>0.26040000000000002</v>
      </c>
      <c r="L446" s="26" t="b">
        <f t="shared" si="33"/>
        <v>0</v>
      </c>
      <c r="M446" s="26" t="str">
        <f t="shared" si="34"/>
        <v>call</v>
      </c>
      <c r="N446" s="28">
        <f t="shared" si="35"/>
        <v>45982</v>
      </c>
      <c r="O446" s="29">
        <f t="shared" si="36"/>
        <v>47</v>
      </c>
    </row>
    <row r="447" spans="1:15" x14ac:dyDescent="0.45">
      <c r="A447" s="11" t="s">
        <v>533</v>
      </c>
      <c r="B447" s="12">
        <v>45726.665972222225</v>
      </c>
      <c r="C447" s="13">
        <v>270</v>
      </c>
      <c r="D447" s="14">
        <v>4.8499999999999996</v>
      </c>
      <c r="E447" s="14">
        <v>4.8499999999999996</v>
      </c>
      <c r="F447" s="14">
        <v>4.95</v>
      </c>
      <c r="G447" s="15">
        <v>-0.1</v>
      </c>
      <c r="H447" s="16">
        <v>-2.0199999999999999E-2</v>
      </c>
      <c r="I447" s="17">
        <v>1843</v>
      </c>
      <c r="J447" s="17">
        <v>9969</v>
      </c>
      <c r="K447" s="18">
        <v>0.25659999999999999</v>
      </c>
      <c r="L447" s="26" t="b">
        <f t="shared" si="33"/>
        <v>0</v>
      </c>
      <c r="M447" s="26" t="str">
        <f t="shared" si="34"/>
        <v>call</v>
      </c>
      <c r="N447" s="28">
        <f t="shared" si="35"/>
        <v>45982</v>
      </c>
      <c r="O447" s="29">
        <f t="shared" si="36"/>
        <v>47</v>
      </c>
    </row>
    <row r="448" spans="1:15" x14ac:dyDescent="0.45">
      <c r="A448" s="11" t="s">
        <v>534</v>
      </c>
      <c r="B448" s="12">
        <v>45726.661805555559</v>
      </c>
      <c r="C448" s="13">
        <v>275</v>
      </c>
      <c r="D448" s="14">
        <v>3.45</v>
      </c>
      <c r="E448" s="14">
        <v>3.4</v>
      </c>
      <c r="F448" s="14">
        <v>3.5</v>
      </c>
      <c r="G448" s="15">
        <v>-0.1</v>
      </c>
      <c r="H448" s="16">
        <v>-2.8199999999999999E-2</v>
      </c>
      <c r="I448" s="17">
        <v>1333</v>
      </c>
      <c r="J448" s="17">
        <v>20202</v>
      </c>
      <c r="K448" s="18">
        <v>0.25230000000000002</v>
      </c>
      <c r="L448" s="26" t="b">
        <f t="shared" ref="L448:L511" si="37">IF(M448="call",C448&lt;$P$1,C448&gt;$P$1)</f>
        <v>0</v>
      </c>
      <c r="M448" s="26" t="str">
        <f t="shared" si="34"/>
        <v>call</v>
      </c>
      <c r="N448" s="28">
        <f t="shared" si="35"/>
        <v>45982</v>
      </c>
      <c r="O448" s="29">
        <f t="shared" si="36"/>
        <v>47</v>
      </c>
    </row>
    <row r="449" spans="1:15" x14ac:dyDescent="0.45">
      <c r="A449" s="11" t="s">
        <v>535</v>
      </c>
      <c r="B449" s="12">
        <v>45726.663194444445</v>
      </c>
      <c r="C449" s="13">
        <v>280</v>
      </c>
      <c r="D449" s="14">
        <v>2.41</v>
      </c>
      <c r="E449" s="14">
        <v>2.39</v>
      </c>
      <c r="F449" s="14">
        <v>2.44</v>
      </c>
      <c r="G449" s="15">
        <v>-0.1</v>
      </c>
      <c r="H449" s="16">
        <v>-3.9800000000000002E-2</v>
      </c>
      <c r="I449" s="17">
        <v>4676</v>
      </c>
      <c r="J449" s="17">
        <v>17233</v>
      </c>
      <c r="K449" s="18">
        <v>0.25009999999999999</v>
      </c>
      <c r="L449" s="26" t="b">
        <f t="shared" si="37"/>
        <v>0</v>
      </c>
      <c r="M449" s="26" t="str">
        <f t="shared" si="34"/>
        <v>call</v>
      </c>
      <c r="N449" s="28">
        <f t="shared" si="35"/>
        <v>45982</v>
      </c>
      <c r="O449" s="29">
        <f t="shared" si="36"/>
        <v>47</v>
      </c>
    </row>
    <row r="450" spans="1:15" x14ac:dyDescent="0.45">
      <c r="A450" s="11" t="s">
        <v>536</v>
      </c>
      <c r="B450" s="12">
        <v>45726.658333333333</v>
      </c>
      <c r="C450" s="13">
        <v>285</v>
      </c>
      <c r="D450" s="14">
        <v>1.61</v>
      </c>
      <c r="E450" s="14">
        <v>1.64</v>
      </c>
      <c r="F450" s="14">
        <v>1.68</v>
      </c>
      <c r="G450" s="15">
        <v>-0.14000000000000001</v>
      </c>
      <c r="H450" s="16">
        <v>-0.08</v>
      </c>
      <c r="I450" s="14">
        <v>431</v>
      </c>
      <c r="J450" s="17">
        <v>5139</v>
      </c>
      <c r="K450" s="18">
        <v>0.24929999999999999</v>
      </c>
      <c r="L450" s="26" t="b">
        <f t="shared" si="37"/>
        <v>0</v>
      </c>
      <c r="M450" s="26" t="str">
        <f t="shared" si="34"/>
        <v>call</v>
      </c>
      <c r="N450" s="28">
        <f t="shared" si="35"/>
        <v>45982</v>
      </c>
      <c r="O450" s="29">
        <f t="shared" si="36"/>
        <v>47</v>
      </c>
    </row>
    <row r="451" spans="1:15" x14ac:dyDescent="0.45">
      <c r="A451" s="11" t="s">
        <v>537</v>
      </c>
      <c r="B451" s="12">
        <v>45726.660416666666</v>
      </c>
      <c r="C451" s="13">
        <v>290</v>
      </c>
      <c r="D451" s="14">
        <v>1.1200000000000001</v>
      </c>
      <c r="E451" s="14">
        <v>1.1100000000000001</v>
      </c>
      <c r="F451" s="14">
        <v>1.1499999999999999</v>
      </c>
      <c r="G451" s="15">
        <v>-0.1</v>
      </c>
      <c r="H451" s="16">
        <v>-8.2000000000000003E-2</v>
      </c>
      <c r="I451" s="14">
        <v>573</v>
      </c>
      <c r="J451" s="17">
        <v>4360</v>
      </c>
      <c r="K451" s="18">
        <v>0.24959999999999999</v>
      </c>
      <c r="L451" s="26" t="b">
        <f t="shared" si="37"/>
        <v>0</v>
      </c>
      <c r="M451" s="26" t="str">
        <f t="shared" si="34"/>
        <v>call</v>
      </c>
      <c r="N451" s="28">
        <f t="shared" si="35"/>
        <v>45982</v>
      </c>
      <c r="O451" s="29">
        <f t="shared" si="36"/>
        <v>47</v>
      </c>
    </row>
    <row r="452" spans="1:15" x14ac:dyDescent="0.45">
      <c r="A452" s="11" t="s">
        <v>538</v>
      </c>
      <c r="B452" s="12">
        <v>45726.615972222222</v>
      </c>
      <c r="C452" s="13">
        <v>295</v>
      </c>
      <c r="D452" s="14">
        <v>0.81</v>
      </c>
      <c r="E452" s="14">
        <v>0.76</v>
      </c>
      <c r="F452" s="14">
        <v>0.79</v>
      </c>
      <c r="G452" s="15">
        <v>-7.0000000000000007E-2</v>
      </c>
      <c r="H452" s="16">
        <v>-7.9500000000000001E-2</v>
      </c>
      <c r="I452" s="14">
        <v>247</v>
      </c>
      <c r="J452" s="17">
        <v>2232</v>
      </c>
      <c r="K452" s="18">
        <v>0.25140000000000001</v>
      </c>
      <c r="L452" s="26" t="b">
        <f t="shared" si="37"/>
        <v>0</v>
      </c>
      <c r="M452" s="26" t="str">
        <f t="shared" si="34"/>
        <v>call</v>
      </c>
      <c r="N452" s="28">
        <f t="shared" si="35"/>
        <v>45982</v>
      </c>
      <c r="O452" s="29">
        <f t="shared" si="36"/>
        <v>47</v>
      </c>
    </row>
    <row r="453" spans="1:15" x14ac:dyDescent="0.45">
      <c r="A453" s="11" t="s">
        <v>539</v>
      </c>
      <c r="B453" s="12">
        <v>45726.660416666666</v>
      </c>
      <c r="C453" s="13">
        <v>300</v>
      </c>
      <c r="D453" s="14">
        <v>0.53</v>
      </c>
      <c r="E453" s="14">
        <v>0.51</v>
      </c>
      <c r="F453" s="14">
        <v>0.54</v>
      </c>
      <c r="G453" s="15">
        <v>-7.0000000000000007E-2</v>
      </c>
      <c r="H453" s="16">
        <v>-0.1167</v>
      </c>
      <c r="I453" s="14">
        <v>997</v>
      </c>
      <c r="J453" s="17">
        <v>7519</v>
      </c>
      <c r="K453" s="18">
        <v>0.25340000000000001</v>
      </c>
      <c r="L453" s="26" t="b">
        <f t="shared" si="37"/>
        <v>0</v>
      </c>
      <c r="M453" s="26" t="str">
        <f t="shared" si="34"/>
        <v>call</v>
      </c>
      <c r="N453" s="28">
        <f t="shared" si="35"/>
        <v>45982</v>
      </c>
      <c r="O453" s="29">
        <f t="shared" si="36"/>
        <v>47</v>
      </c>
    </row>
    <row r="454" spans="1:15" x14ac:dyDescent="0.45">
      <c r="A454" s="11" t="s">
        <v>540</v>
      </c>
      <c r="B454" s="12">
        <v>45726.601388888892</v>
      </c>
      <c r="C454" s="13">
        <v>305</v>
      </c>
      <c r="D454" s="14">
        <v>0.36</v>
      </c>
      <c r="E454" s="14">
        <v>0.35</v>
      </c>
      <c r="F454" s="14">
        <v>0.37</v>
      </c>
      <c r="G454" s="15">
        <v>-0.06</v>
      </c>
      <c r="H454" s="16">
        <v>-0.1429</v>
      </c>
      <c r="I454" s="14">
        <v>173</v>
      </c>
      <c r="J454" s="14">
        <v>640</v>
      </c>
      <c r="K454" s="18">
        <v>0.25609999999999999</v>
      </c>
      <c r="L454" s="26" t="b">
        <f t="shared" si="37"/>
        <v>0</v>
      </c>
      <c r="M454" s="26" t="str">
        <f t="shared" si="34"/>
        <v>call</v>
      </c>
      <c r="N454" s="28">
        <f t="shared" si="35"/>
        <v>45982</v>
      </c>
      <c r="O454" s="29">
        <f t="shared" si="36"/>
        <v>47</v>
      </c>
    </row>
    <row r="455" spans="1:15" x14ac:dyDescent="0.45">
      <c r="A455" s="11" t="s">
        <v>541</v>
      </c>
      <c r="B455" s="12">
        <v>45726.583333333336</v>
      </c>
      <c r="C455" s="13">
        <v>310</v>
      </c>
      <c r="D455" s="14">
        <v>0.23</v>
      </c>
      <c r="E455" s="14">
        <v>0.23</v>
      </c>
      <c r="F455" s="14">
        <v>0.26</v>
      </c>
      <c r="G455" s="15">
        <v>-0.06</v>
      </c>
      <c r="H455" s="16">
        <v>-0.2069</v>
      </c>
      <c r="I455" s="14">
        <v>227</v>
      </c>
      <c r="J455" s="17">
        <v>1160</v>
      </c>
      <c r="K455" s="18">
        <v>0.25979999999999998</v>
      </c>
      <c r="L455" s="26" t="b">
        <f t="shared" si="37"/>
        <v>0</v>
      </c>
      <c r="M455" s="26" t="str">
        <f t="shared" si="34"/>
        <v>call</v>
      </c>
      <c r="N455" s="28">
        <f t="shared" si="35"/>
        <v>45982</v>
      </c>
      <c r="O455" s="29">
        <f t="shared" si="36"/>
        <v>47</v>
      </c>
    </row>
    <row r="456" spans="1:15" x14ac:dyDescent="0.45">
      <c r="A456" s="11" t="s">
        <v>542</v>
      </c>
      <c r="B456" s="12">
        <v>45726.431944444441</v>
      </c>
      <c r="C456" s="13">
        <v>315</v>
      </c>
      <c r="D456" s="14">
        <v>0.2</v>
      </c>
      <c r="E456" s="14">
        <v>0.16</v>
      </c>
      <c r="F456" s="14">
        <v>0.18</v>
      </c>
      <c r="G456" s="15">
        <v>-0.01</v>
      </c>
      <c r="H456" s="16">
        <v>-4.7600000000000003E-2</v>
      </c>
      <c r="I456" s="14">
        <v>5</v>
      </c>
      <c r="J456" s="14">
        <v>606</v>
      </c>
      <c r="K456" s="18">
        <v>0.26319999999999999</v>
      </c>
      <c r="L456" s="26" t="b">
        <f t="shared" si="37"/>
        <v>0</v>
      </c>
      <c r="M456" s="26" t="str">
        <f t="shared" si="34"/>
        <v>call</v>
      </c>
      <c r="N456" s="28">
        <f t="shared" si="35"/>
        <v>45982</v>
      </c>
      <c r="O456" s="29">
        <f t="shared" si="36"/>
        <v>47</v>
      </c>
    </row>
    <row r="457" spans="1:15" x14ac:dyDescent="0.45">
      <c r="A457" s="11" t="s">
        <v>543</v>
      </c>
      <c r="B457" s="12">
        <v>45726.656944444447</v>
      </c>
      <c r="C457" s="13">
        <v>320</v>
      </c>
      <c r="D457" s="14">
        <v>0.11</v>
      </c>
      <c r="E457" s="14">
        <v>0.11</v>
      </c>
      <c r="F457" s="14">
        <v>0.13</v>
      </c>
      <c r="G457" s="15">
        <v>-0.04</v>
      </c>
      <c r="H457" s="16">
        <v>-0.26669999999999999</v>
      </c>
      <c r="I457" s="14">
        <v>6</v>
      </c>
      <c r="J457" s="14">
        <v>331</v>
      </c>
      <c r="K457" s="18">
        <v>0.2676</v>
      </c>
      <c r="L457" s="26" t="b">
        <f t="shared" si="37"/>
        <v>0</v>
      </c>
      <c r="M457" s="26" t="str">
        <f t="shared" si="34"/>
        <v>call</v>
      </c>
      <c r="N457" s="28">
        <f t="shared" si="35"/>
        <v>45982</v>
      </c>
      <c r="O457" s="29">
        <f t="shared" si="36"/>
        <v>47</v>
      </c>
    </row>
    <row r="458" spans="1:15" x14ac:dyDescent="0.45">
      <c r="A458" s="11" t="s">
        <v>544</v>
      </c>
      <c r="B458" s="12">
        <v>45726.515277777777</v>
      </c>
      <c r="C458" s="13">
        <v>325</v>
      </c>
      <c r="D458" s="14">
        <v>0.12</v>
      </c>
      <c r="E458" s="14">
        <v>7.0000000000000007E-2</v>
      </c>
      <c r="F458" s="14">
        <v>0.1</v>
      </c>
      <c r="G458" s="14">
        <v>0</v>
      </c>
      <c r="H458" s="18">
        <v>0</v>
      </c>
      <c r="I458" s="14">
        <v>108</v>
      </c>
      <c r="J458" s="17">
        <v>2178</v>
      </c>
      <c r="K458" s="18">
        <v>0.27439999999999998</v>
      </c>
      <c r="L458" s="26" t="b">
        <f t="shared" si="37"/>
        <v>0</v>
      </c>
      <c r="M458" s="26" t="str">
        <f t="shared" si="34"/>
        <v>call</v>
      </c>
      <c r="N458" s="28">
        <f t="shared" si="35"/>
        <v>45982</v>
      </c>
      <c r="O458" s="29">
        <f t="shared" si="36"/>
        <v>47</v>
      </c>
    </row>
    <row r="459" spans="1:15" x14ac:dyDescent="0.45">
      <c r="A459" s="11" t="s">
        <v>545</v>
      </c>
      <c r="B459" s="12">
        <v>45726.620138888888</v>
      </c>
      <c r="C459" s="13">
        <v>330</v>
      </c>
      <c r="D459" s="14">
        <v>0.05</v>
      </c>
      <c r="E459" s="14">
        <v>0.05</v>
      </c>
      <c r="F459" s="14">
        <v>0.08</v>
      </c>
      <c r="G459" s="15">
        <v>-0.05</v>
      </c>
      <c r="H459" s="16">
        <v>-0.5</v>
      </c>
      <c r="I459" s="14">
        <v>70</v>
      </c>
      <c r="J459" s="14">
        <v>195</v>
      </c>
      <c r="K459" s="18">
        <v>0.28220000000000001</v>
      </c>
      <c r="L459" s="26" t="b">
        <f t="shared" si="37"/>
        <v>0</v>
      </c>
      <c r="M459" s="26" t="str">
        <f t="shared" si="34"/>
        <v>call</v>
      </c>
      <c r="N459" s="28">
        <f t="shared" si="35"/>
        <v>45982</v>
      </c>
      <c r="O459" s="29">
        <f t="shared" si="36"/>
        <v>47</v>
      </c>
    </row>
    <row r="460" spans="1:15" x14ac:dyDescent="0.45">
      <c r="A460" s="11" t="s">
        <v>546</v>
      </c>
      <c r="B460" s="12">
        <v>45698.524305555555</v>
      </c>
      <c r="C460" s="13">
        <v>335</v>
      </c>
      <c r="D460" s="14">
        <v>0.06</v>
      </c>
      <c r="E460" s="14">
        <v>0.03</v>
      </c>
      <c r="F460" s="14">
        <v>0.06</v>
      </c>
      <c r="G460" s="14">
        <v>0</v>
      </c>
      <c r="H460" s="18">
        <v>0</v>
      </c>
      <c r="I460" s="14">
        <v>6</v>
      </c>
      <c r="J460" s="14">
        <v>209</v>
      </c>
      <c r="K460" s="18">
        <v>0.28710000000000002</v>
      </c>
      <c r="L460" s="26" t="b">
        <f t="shared" si="37"/>
        <v>0</v>
      </c>
      <c r="M460" s="26" t="str">
        <f t="shared" si="34"/>
        <v>call</v>
      </c>
      <c r="N460" s="28">
        <f t="shared" si="35"/>
        <v>45982</v>
      </c>
      <c r="O460" s="29">
        <f t="shared" si="36"/>
        <v>47</v>
      </c>
    </row>
    <row r="461" spans="1:15" x14ac:dyDescent="0.45">
      <c r="A461" s="11" t="s">
        <v>547</v>
      </c>
      <c r="B461" s="12">
        <v>45698.477777777778</v>
      </c>
      <c r="C461" s="13">
        <v>340</v>
      </c>
      <c r="D461" s="14">
        <v>0.06</v>
      </c>
      <c r="E461" s="14">
        <v>0.02</v>
      </c>
      <c r="F461" s="14">
        <v>0.05</v>
      </c>
      <c r="G461" s="14">
        <v>0</v>
      </c>
      <c r="H461" s="18">
        <v>0</v>
      </c>
      <c r="I461" s="14">
        <v>31</v>
      </c>
      <c r="J461" s="14">
        <v>555</v>
      </c>
      <c r="K461" s="18">
        <v>0.2949</v>
      </c>
      <c r="L461" s="26" t="b">
        <f t="shared" si="37"/>
        <v>0</v>
      </c>
      <c r="M461" s="26" t="str">
        <f t="shared" si="34"/>
        <v>call</v>
      </c>
      <c r="N461" s="28">
        <f t="shared" si="35"/>
        <v>45982</v>
      </c>
      <c r="O461" s="29">
        <f t="shared" si="36"/>
        <v>47</v>
      </c>
    </row>
    <row r="462" spans="1:15" x14ac:dyDescent="0.45">
      <c r="A462" s="11" t="s">
        <v>548</v>
      </c>
      <c r="B462" s="12">
        <v>45726.581250000003</v>
      </c>
      <c r="C462" s="13">
        <v>345</v>
      </c>
      <c r="D462" s="14">
        <v>0.04</v>
      </c>
      <c r="E462" s="14">
        <v>0.01</v>
      </c>
      <c r="F462" s="14">
        <v>0.04</v>
      </c>
      <c r="G462" s="15">
        <v>-0.01</v>
      </c>
      <c r="H462" s="16">
        <v>-0.2</v>
      </c>
      <c r="I462" s="14">
        <v>258</v>
      </c>
      <c r="J462" s="14">
        <v>845</v>
      </c>
      <c r="K462" s="18">
        <v>0.30180000000000001</v>
      </c>
      <c r="L462" s="26" t="b">
        <f t="shared" si="37"/>
        <v>0</v>
      </c>
      <c r="M462" s="26" t="str">
        <f t="shared" si="34"/>
        <v>call</v>
      </c>
      <c r="N462" s="28">
        <f t="shared" si="35"/>
        <v>45982</v>
      </c>
      <c r="O462" s="29">
        <f t="shared" si="36"/>
        <v>47</v>
      </c>
    </row>
    <row r="463" spans="1:15" x14ac:dyDescent="0.45">
      <c r="A463" s="11" t="s">
        <v>549</v>
      </c>
      <c r="B463" s="12">
        <v>45726.438194444447</v>
      </c>
      <c r="C463" s="13">
        <v>350</v>
      </c>
      <c r="D463" s="14">
        <v>0.03</v>
      </c>
      <c r="E463" s="14">
        <v>0</v>
      </c>
      <c r="F463" s="14">
        <v>0.04</v>
      </c>
      <c r="G463" s="19">
        <v>0.01</v>
      </c>
      <c r="H463" s="20">
        <v>0.5</v>
      </c>
      <c r="I463" s="14">
        <v>11</v>
      </c>
      <c r="J463" s="17">
        <v>3264</v>
      </c>
      <c r="K463" s="18">
        <v>0.3145</v>
      </c>
      <c r="L463" s="26" t="b">
        <f t="shared" si="37"/>
        <v>0</v>
      </c>
      <c r="M463" s="26" t="str">
        <f t="shared" si="34"/>
        <v>call</v>
      </c>
      <c r="N463" s="28">
        <f t="shared" si="35"/>
        <v>45982</v>
      </c>
      <c r="O463" s="29">
        <f t="shared" si="36"/>
        <v>47</v>
      </c>
    </row>
    <row r="464" spans="1:15" x14ac:dyDescent="0.45">
      <c r="A464" s="11" t="s">
        <v>550</v>
      </c>
      <c r="B464" s="12">
        <v>45726.599305555559</v>
      </c>
      <c r="C464" s="13">
        <v>100</v>
      </c>
      <c r="D464" s="14">
        <v>0.02</v>
      </c>
      <c r="E464" s="14">
        <v>0</v>
      </c>
      <c r="F464" s="14">
        <v>0.23</v>
      </c>
      <c r="G464" s="14">
        <v>0</v>
      </c>
      <c r="H464" s="18">
        <v>0</v>
      </c>
      <c r="I464" s="14">
        <v>3</v>
      </c>
      <c r="J464" s="14">
        <v>465</v>
      </c>
      <c r="K464" s="18">
        <v>1.0409999999999999</v>
      </c>
      <c r="L464" s="26" t="b">
        <f t="shared" si="37"/>
        <v>0</v>
      </c>
      <c r="M464" s="26" t="str">
        <f t="shared" si="34"/>
        <v>put</v>
      </c>
      <c r="N464" s="28">
        <f t="shared" si="35"/>
        <v>45982</v>
      </c>
      <c r="O464" s="29">
        <f t="shared" si="36"/>
        <v>47</v>
      </c>
    </row>
    <row r="465" spans="1:15" x14ac:dyDescent="0.45">
      <c r="A465" s="11" t="s">
        <v>551</v>
      </c>
      <c r="B465" s="12">
        <v>45726.599305555559</v>
      </c>
      <c r="C465" s="13">
        <v>105</v>
      </c>
      <c r="D465" s="14">
        <v>0.02</v>
      </c>
      <c r="E465" s="14">
        <v>0.01</v>
      </c>
      <c r="F465" s="14">
        <v>0.05</v>
      </c>
      <c r="G465" s="14">
        <v>-0.01</v>
      </c>
      <c r="H465" s="18">
        <v>-0.33329999999999999</v>
      </c>
      <c r="I465" s="14">
        <v>3</v>
      </c>
      <c r="J465" s="14">
        <v>117</v>
      </c>
      <c r="K465" s="18">
        <v>0.86329999999999996</v>
      </c>
      <c r="L465" s="26" t="b">
        <f t="shared" si="37"/>
        <v>0</v>
      </c>
      <c r="M465" s="26" t="str">
        <f t="shared" si="34"/>
        <v>put</v>
      </c>
      <c r="N465" s="28">
        <f t="shared" si="35"/>
        <v>45982</v>
      </c>
      <c r="O465" s="29">
        <f t="shared" si="36"/>
        <v>47</v>
      </c>
    </row>
    <row r="466" spans="1:15" x14ac:dyDescent="0.45">
      <c r="A466" s="11" t="s">
        <v>552</v>
      </c>
      <c r="B466" s="12">
        <v>45698.395833333336</v>
      </c>
      <c r="C466" s="13">
        <v>110</v>
      </c>
      <c r="D466" s="14">
        <v>0.01</v>
      </c>
      <c r="E466" s="14">
        <v>0.01</v>
      </c>
      <c r="F466" s="14">
        <v>0.23</v>
      </c>
      <c r="G466" s="14">
        <v>-0.02</v>
      </c>
      <c r="H466" s="18">
        <v>-0.66669999999999996</v>
      </c>
      <c r="I466" s="14">
        <v>1</v>
      </c>
      <c r="J466" s="14">
        <v>377</v>
      </c>
      <c r="K466" s="18">
        <v>0.94530000000000003</v>
      </c>
      <c r="L466" s="26" t="b">
        <f t="shared" si="37"/>
        <v>0</v>
      </c>
      <c r="M466" s="26" t="str">
        <f t="shared" si="34"/>
        <v>put</v>
      </c>
      <c r="N466" s="28">
        <f t="shared" si="35"/>
        <v>45982</v>
      </c>
      <c r="O466" s="29">
        <f t="shared" si="36"/>
        <v>47</v>
      </c>
    </row>
    <row r="467" spans="1:15" x14ac:dyDescent="0.45">
      <c r="A467" s="11" t="s">
        <v>553</v>
      </c>
      <c r="B467" s="12">
        <v>45726.634722222225</v>
      </c>
      <c r="C467" s="13">
        <v>115</v>
      </c>
      <c r="D467" s="14">
        <v>0.03</v>
      </c>
      <c r="E467" s="14">
        <v>0</v>
      </c>
      <c r="F467" s="14">
        <v>0.04</v>
      </c>
      <c r="G467" s="14">
        <v>0</v>
      </c>
      <c r="H467" s="18">
        <v>0</v>
      </c>
      <c r="I467" s="14">
        <v>4</v>
      </c>
      <c r="J467" s="14">
        <v>744</v>
      </c>
      <c r="K467" s="18">
        <v>0.75</v>
      </c>
      <c r="L467" s="26" t="b">
        <f t="shared" si="37"/>
        <v>0</v>
      </c>
      <c r="M467" s="26" t="str">
        <f t="shared" si="34"/>
        <v>put</v>
      </c>
      <c r="N467" s="28">
        <f t="shared" si="35"/>
        <v>45982</v>
      </c>
      <c r="O467" s="29">
        <f t="shared" si="36"/>
        <v>47</v>
      </c>
    </row>
    <row r="468" spans="1:15" x14ac:dyDescent="0.45">
      <c r="A468" s="11" t="s">
        <v>554</v>
      </c>
      <c r="B468" s="12">
        <v>45726.518750000003</v>
      </c>
      <c r="C468" s="13">
        <v>120</v>
      </c>
      <c r="D468" s="14">
        <v>0.04</v>
      </c>
      <c r="E468" s="14">
        <v>0.01</v>
      </c>
      <c r="F468" s="14">
        <v>0.24</v>
      </c>
      <c r="G468" s="14">
        <v>-0.01</v>
      </c>
      <c r="H468" s="18">
        <v>-0.2</v>
      </c>
      <c r="I468" s="14">
        <v>48</v>
      </c>
      <c r="J468" s="17">
        <v>1049</v>
      </c>
      <c r="K468" s="18">
        <v>0.85940000000000005</v>
      </c>
      <c r="L468" s="26" t="b">
        <f t="shared" si="37"/>
        <v>0</v>
      </c>
      <c r="M468" s="26" t="str">
        <f t="shared" si="34"/>
        <v>put</v>
      </c>
      <c r="N468" s="28">
        <f t="shared" si="35"/>
        <v>45982</v>
      </c>
      <c r="O468" s="29">
        <f t="shared" si="36"/>
        <v>47</v>
      </c>
    </row>
    <row r="469" spans="1:15" x14ac:dyDescent="0.45">
      <c r="A469" s="11" t="s">
        <v>555</v>
      </c>
      <c r="B469" s="12">
        <v>45698.62222222222</v>
      </c>
      <c r="C469" s="13">
        <v>125</v>
      </c>
      <c r="D469" s="14">
        <v>0.03</v>
      </c>
      <c r="E469" s="14">
        <v>0.01</v>
      </c>
      <c r="F469" s="14">
        <v>0.06</v>
      </c>
      <c r="G469" s="15">
        <v>0</v>
      </c>
      <c r="H469" s="16">
        <v>0</v>
      </c>
      <c r="I469" s="14">
        <v>51</v>
      </c>
      <c r="J469" s="14">
        <v>258</v>
      </c>
      <c r="K469" s="18">
        <v>0.71479999999999999</v>
      </c>
      <c r="L469" s="26" t="b">
        <f t="shared" si="37"/>
        <v>0</v>
      </c>
      <c r="M469" s="26" t="str">
        <f t="shared" si="34"/>
        <v>put</v>
      </c>
      <c r="N469" s="28">
        <f t="shared" si="35"/>
        <v>45982</v>
      </c>
      <c r="O469" s="29">
        <f t="shared" si="36"/>
        <v>47</v>
      </c>
    </row>
    <row r="470" spans="1:15" x14ac:dyDescent="0.45">
      <c r="A470" s="11" t="s">
        <v>556</v>
      </c>
      <c r="B470" s="12">
        <v>45726.650694444441</v>
      </c>
      <c r="C470" s="13">
        <v>130</v>
      </c>
      <c r="D470" s="14">
        <v>0.04</v>
      </c>
      <c r="E470" s="14">
        <v>0.02</v>
      </c>
      <c r="F470" s="14">
        <v>0.22</v>
      </c>
      <c r="G470" s="14">
        <v>0</v>
      </c>
      <c r="H470" s="18">
        <v>0</v>
      </c>
      <c r="I470" s="14">
        <v>1</v>
      </c>
      <c r="J470" s="17">
        <v>1311</v>
      </c>
      <c r="K470" s="18">
        <v>0.77249999999999996</v>
      </c>
      <c r="L470" s="26" t="b">
        <f t="shared" si="37"/>
        <v>0</v>
      </c>
      <c r="M470" s="26" t="str">
        <f t="shared" si="34"/>
        <v>put</v>
      </c>
      <c r="N470" s="28">
        <f t="shared" si="35"/>
        <v>45982</v>
      </c>
      <c r="O470" s="29">
        <f t="shared" si="36"/>
        <v>47</v>
      </c>
    </row>
    <row r="471" spans="1:15" x14ac:dyDescent="0.45">
      <c r="A471" s="11" t="s">
        <v>557</v>
      </c>
      <c r="B471" s="12">
        <v>45726.650694444441</v>
      </c>
      <c r="C471" s="13">
        <v>135</v>
      </c>
      <c r="D471" s="14">
        <v>0.05</v>
      </c>
      <c r="E471" s="14">
        <v>0.03</v>
      </c>
      <c r="F471" s="14">
        <v>0.21</v>
      </c>
      <c r="G471" s="14">
        <v>0.01</v>
      </c>
      <c r="H471" s="18">
        <v>0.25</v>
      </c>
      <c r="I471" s="14">
        <v>1</v>
      </c>
      <c r="J471" s="14">
        <v>645</v>
      </c>
      <c r="K471" s="18">
        <v>0.73340000000000005</v>
      </c>
      <c r="L471" s="26" t="b">
        <f t="shared" si="37"/>
        <v>0</v>
      </c>
      <c r="M471" s="26" t="str">
        <f t="shared" si="34"/>
        <v>put</v>
      </c>
      <c r="N471" s="28">
        <f t="shared" si="35"/>
        <v>45982</v>
      </c>
      <c r="O471" s="29">
        <f t="shared" si="36"/>
        <v>47</v>
      </c>
    </row>
    <row r="472" spans="1:15" x14ac:dyDescent="0.45">
      <c r="A472" s="11" t="s">
        <v>558</v>
      </c>
      <c r="B472" s="12">
        <v>45726.651388888888</v>
      </c>
      <c r="C472" s="13">
        <v>140</v>
      </c>
      <c r="D472" s="14">
        <v>0.05</v>
      </c>
      <c r="E472" s="14">
        <v>0.04</v>
      </c>
      <c r="F472" s="14">
        <v>0.2</v>
      </c>
      <c r="G472" s="14">
        <v>-0.01</v>
      </c>
      <c r="H472" s="18">
        <v>-0.16669999999999999</v>
      </c>
      <c r="I472" s="14">
        <v>42</v>
      </c>
      <c r="J472" s="17">
        <v>1613</v>
      </c>
      <c r="K472" s="18">
        <v>0.69530000000000003</v>
      </c>
      <c r="L472" s="26" t="b">
        <f t="shared" si="37"/>
        <v>0</v>
      </c>
      <c r="M472" s="26" t="str">
        <f t="shared" si="34"/>
        <v>put</v>
      </c>
      <c r="N472" s="28">
        <f t="shared" si="35"/>
        <v>45982</v>
      </c>
      <c r="O472" s="29">
        <f t="shared" si="36"/>
        <v>47</v>
      </c>
    </row>
    <row r="473" spans="1:15" x14ac:dyDescent="0.45">
      <c r="A473" s="11" t="s">
        <v>559</v>
      </c>
      <c r="B473" s="12">
        <v>45726.430555555555</v>
      </c>
      <c r="C473" s="13">
        <v>145</v>
      </c>
      <c r="D473" s="14">
        <v>0.06</v>
      </c>
      <c r="E473" s="14">
        <v>0.05</v>
      </c>
      <c r="F473" s="14">
        <v>0.08</v>
      </c>
      <c r="G473" s="19">
        <v>-0.02</v>
      </c>
      <c r="H473" s="20">
        <v>-0.25</v>
      </c>
      <c r="I473" s="14">
        <v>3</v>
      </c>
      <c r="J473" s="14">
        <v>760</v>
      </c>
      <c r="K473" s="18">
        <v>0.61329999999999996</v>
      </c>
      <c r="L473" s="26" t="b">
        <f t="shared" si="37"/>
        <v>0</v>
      </c>
      <c r="M473" s="26" t="str">
        <f t="shared" si="34"/>
        <v>put</v>
      </c>
      <c r="N473" s="28">
        <f t="shared" si="35"/>
        <v>45982</v>
      </c>
      <c r="O473" s="29">
        <f t="shared" si="36"/>
        <v>47</v>
      </c>
    </row>
    <row r="474" spans="1:15" x14ac:dyDescent="0.45">
      <c r="A474" s="11" t="s">
        <v>560</v>
      </c>
      <c r="B474" s="12">
        <v>45726.652083333334</v>
      </c>
      <c r="C474" s="13">
        <v>150</v>
      </c>
      <c r="D474" s="14">
        <v>0.08</v>
      </c>
      <c r="E474" s="14">
        <v>0.06</v>
      </c>
      <c r="F474" s="14">
        <v>0.09</v>
      </c>
      <c r="G474" s="19">
        <v>0</v>
      </c>
      <c r="H474" s="20">
        <v>0</v>
      </c>
      <c r="I474" s="14">
        <v>45</v>
      </c>
      <c r="J474" s="17">
        <v>3544</v>
      </c>
      <c r="K474" s="18">
        <v>0.58979999999999999</v>
      </c>
      <c r="L474" s="26" t="b">
        <f t="shared" si="37"/>
        <v>0</v>
      </c>
      <c r="M474" s="26" t="str">
        <f t="shared" si="34"/>
        <v>put</v>
      </c>
      <c r="N474" s="28">
        <f t="shared" si="35"/>
        <v>45982</v>
      </c>
      <c r="O474" s="29">
        <f t="shared" si="36"/>
        <v>47</v>
      </c>
    </row>
    <row r="475" spans="1:15" x14ac:dyDescent="0.45">
      <c r="A475" s="11" t="s">
        <v>561</v>
      </c>
      <c r="B475" s="12">
        <v>45698.430555555555</v>
      </c>
      <c r="C475" s="13">
        <v>155</v>
      </c>
      <c r="D475" s="14">
        <v>0.08</v>
      </c>
      <c r="E475" s="14">
        <v>0.08</v>
      </c>
      <c r="F475" s="14">
        <v>0.11</v>
      </c>
      <c r="G475" s="14">
        <v>0</v>
      </c>
      <c r="H475" s="18">
        <v>0</v>
      </c>
      <c r="I475" s="14">
        <v>1</v>
      </c>
      <c r="J475" s="17">
        <v>1110</v>
      </c>
      <c r="K475" s="18">
        <v>0.57230000000000003</v>
      </c>
      <c r="L475" s="26" t="b">
        <f t="shared" si="37"/>
        <v>0</v>
      </c>
      <c r="M475" s="26" t="str">
        <f t="shared" si="34"/>
        <v>put</v>
      </c>
      <c r="N475" s="28">
        <f t="shared" si="35"/>
        <v>45982</v>
      </c>
      <c r="O475" s="29">
        <f t="shared" si="36"/>
        <v>47</v>
      </c>
    </row>
    <row r="476" spans="1:15" x14ac:dyDescent="0.45">
      <c r="A476" s="11" t="s">
        <v>562</v>
      </c>
      <c r="B476" s="12">
        <v>45726.532638888886</v>
      </c>
      <c r="C476" s="13">
        <v>160</v>
      </c>
      <c r="D476" s="14">
        <v>0.09</v>
      </c>
      <c r="E476" s="14">
        <v>0.1</v>
      </c>
      <c r="F476" s="14">
        <v>0.12</v>
      </c>
      <c r="G476" s="15">
        <v>-0.03</v>
      </c>
      <c r="H476" s="16">
        <v>-0.25</v>
      </c>
      <c r="I476" s="14">
        <v>50</v>
      </c>
      <c r="J476" s="17">
        <v>1645</v>
      </c>
      <c r="K476" s="18">
        <v>0.54879999999999995</v>
      </c>
      <c r="L476" s="26" t="b">
        <f t="shared" si="37"/>
        <v>0</v>
      </c>
      <c r="M476" s="26" t="str">
        <f t="shared" si="34"/>
        <v>put</v>
      </c>
      <c r="N476" s="28">
        <f t="shared" si="35"/>
        <v>45982</v>
      </c>
      <c r="O476" s="29">
        <f t="shared" si="36"/>
        <v>47</v>
      </c>
    </row>
    <row r="477" spans="1:15" x14ac:dyDescent="0.45">
      <c r="A477" s="11" t="s">
        <v>563</v>
      </c>
      <c r="B477" s="12">
        <v>45726.629166666666</v>
      </c>
      <c r="C477" s="13">
        <v>165</v>
      </c>
      <c r="D477" s="14">
        <v>0.13</v>
      </c>
      <c r="E477" s="14">
        <v>0.11</v>
      </c>
      <c r="F477" s="14">
        <v>0.13</v>
      </c>
      <c r="G477" s="15">
        <v>0</v>
      </c>
      <c r="H477" s="16">
        <v>0</v>
      </c>
      <c r="I477" s="14">
        <v>17</v>
      </c>
      <c r="J477" s="17">
        <v>4558</v>
      </c>
      <c r="K477" s="18">
        <v>0.52249999999999996</v>
      </c>
      <c r="L477" s="26" t="b">
        <f t="shared" si="37"/>
        <v>0</v>
      </c>
      <c r="M477" s="26" t="str">
        <f t="shared" si="34"/>
        <v>put</v>
      </c>
      <c r="N477" s="28">
        <f t="shared" si="35"/>
        <v>45982</v>
      </c>
      <c r="O477" s="29">
        <f t="shared" si="36"/>
        <v>47</v>
      </c>
    </row>
    <row r="478" spans="1:15" x14ac:dyDescent="0.45">
      <c r="A478" s="11" t="s">
        <v>564</v>
      </c>
      <c r="B478" s="12">
        <v>45698.565972222219</v>
      </c>
      <c r="C478" s="13">
        <v>170</v>
      </c>
      <c r="D478" s="14">
        <v>0.14000000000000001</v>
      </c>
      <c r="E478" s="14">
        <v>0.13</v>
      </c>
      <c r="F478" s="14">
        <v>0.15</v>
      </c>
      <c r="G478" s="15">
        <v>0</v>
      </c>
      <c r="H478" s="16">
        <v>0</v>
      </c>
      <c r="I478" s="14">
        <v>3</v>
      </c>
      <c r="J478" s="17">
        <v>5078</v>
      </c>
      <c r="K478" s="18">
        <v>0.501</v>
      </c>
      <c r="L478" s="26" t="b">
        <f t="shared" si="37"/>
        <v>0</v>
      </c>
      <c r="M478" s="26" t="str">
        <f t="shared" si="34"/>
        <v>put</v>
      </c>
      <c r="N478" s="28">
        <f t="shared" si="35"/>
        <v>45982</v>
      </c>
      <c r="O478" s="29">
        <f t="shared" si="36"/>
        <v>47</v>
      </c>
    </row>
    <row r="479" spans="1:15" x14ac:dyDescent="0.45">
      <c r="A479" s="11" t="s">
        <v>565</v>
      </c>
      <c r="B479" s="12">
        <v>45726.571527777778</v>
      </c>
      <c r="C479" s="13">
        <v>175</v>
      </c>
      <c r="D479" s="14">
        <v>0.16</v>
      </c>
      <c r="E479" s="14">
        <v>0.15</v>
      </c>
      <c r="F479" s="14">
        <v>0.18</v>
      </c>
      <c r="G479" s="14">
        <v>0</v>
      </c>
      <c r="H479" s="18">
        <v>0</v>
      </c>
      <c r="I479" s="14">
        <v>31</v>
      </c>
      <c r="J479" s="17">
        <v>3823</v>
      </c>
      <c r="K479" s="18">
        <v>0.4854</v>
      </c>
      <c r="L479" s="26" t="b">
        <f t="shared" si="37"/>
        <v>0</v>
      </c>
      <c r="M479" s="26" t="str">
        <f t="shared" si="34"/>
        <v>put</v>
      </c>
      <c r="N479" s="28">
        <f t="shared" si="35"/>
        <v>45982</v>
      </c>
      <c r="O479" s="29">
        <f t="shared" si="36"/>
        <v>47</v>
      </c>
    </row>
    <row r="480" spans="1:15" x14ac:dyDescent="0.45">
      <c r="A480" s="11" t="s">
        <v>566</v>
      </c>
      <c r="B480" s="12">
        <v>45726.606249999997</v>
      </c>
      <c r="C480" s="13">
        <v>180</v>
      </c>
      <c r="D480" s="14">
        <v>0.18</v>
      </c>
      <c r="E480" s="14">
        <v>0.18</v>
      </c>
      <c r="F480" s="14">
        <v>0.21</v>
      </c>
      <c r="G480" s="15">
        <v>-0.02</v>
      </c>
      <c r="H480" s="16">
        <v>-0.1</v>
      </c>
      <c r="I480" s="14">
        <v>77</v>
      </c>
      <c r="J480" s="17">
        <v>14069</v>
      </c>
      <c r="K480" s="18">
        <v>0.46439999999999998</v>
      </c>
      <c r="L480" s="26" t="b">
        <f t="shared" si="37"/>
        <v>0</v>
      </c>
      <c r="M480" s="26" t="str">
        <f t="shared" si="34"/>
        <v>put</v>
      </c>
      <c r="N480" s="28">
        <f t="shared" si="35"/>
        <v>45982</v>
      </c>
      <c r="O480" s="29">
        <f t="shared" si="36"/>
        <v>47</v>
      </c>
    </row>
    <row r="481" spans="1:15" x14ac:dyDescent="0.45">
      <c r="A481" s="11" t="s">
        <v>567</v>
      </c>
      <c r="B481" s="12">
        <v>45726.456250000003</v>
      </c>
      <c r="C481" s="13">
        <v>185</v>
      </c>
      <c r="D481" s="14">
        <v>0.22</v>
      </c>
      <c r="E481" s="14">
        <v>0.22</v>
      </c>
      <c r="F481" s="14">
        <v>0.24</v>
      </c>
      <c r="G481" s="19">
        <v>-0.02</v>
      </c>
      <c r="H481" s="20">
        <v>-8.3299999999999999E-2</v>
      </c>
      <c r="I481" s="14">
        <v>135</v>
      </c>
      <c r="J481" s="17">
        <v>11394</v>
      </c>
      <c r="K481" s="18">
        <v>0.44140000000000001</v>
      </c>
      <c r="L481" s="26" t="b">
        <f t="shared" si="37"/>
        <v>0</v>
      </c>
      <c r="M481" s="26" t="str">
        <f t="shared" si="34"/>
        <v>put</v>
      </c>
      <c r="N481" s="28">
        <f t="shared" si="35"/>
        <v>45982</v>
      </c>
      <c r="O481" s="29">
        <f t="shared" si="36"/>
        <v>47</v>
      </c>
    </row>
    <row r="482" spans="1:15" x14ac:dyDescent="0.45">
      <c r="A482" s="11" t="s">
        <v>568</v>
      </c>
      <c r="B482" s="12">
        <v>45726.65902777778</v>
      </c>
      <c r="C482" s="13">
        <v>190</v>
      </c>
      <c r="D482" s="14">
        <v>0.27</v>
      </c>
      <c r="E482" s="14">
        <v>0.26</v>
      </c>
      <c r="F482" s="14">
        <v>0.28999999999999998</v>
      </c>
      <c r="G482" s="15">
        <v>-0.02</v>
      </c>
      <c r="H482" s="16">
        <v>-6.9000000000000006E-2</v>
      </c>
      <c r="I482" s="14">
        <v>24</v>
      </c>
      <c r="J482" s="17">
        <v>6247</v>
      </c>
      <c r="K482" s="18">
        <v>0.4229</v>
      </c>
      <c r="L482" s="26" t="b">
        <f t="shared" si="37"/>
        <v>0</v>
      </c>
      <c r="M482" s="26" t="str">
        <f t="shared" si="34"/>
        <v>put</v>
      </c>
      <c r="N482" s="28">
        <f t="shared" si="35"/>
        <v>45982</v>
      </c>
      <c r="O482" s="29">
        <f t="shared" si="36"/>
        <v>47</v>
      </c>
    </row>
    <row r="483" spans="1:15" x14ac:dyDescent="0.45">
      <c r="A483" s="11" t="s">
        <v>569</v>
      </c>
      <c r="B483" s="12">
        <v>45726.65625</v>
      </c>
      <c r="C483" s="13">
        <v>195</v>
      </c>
      <c r="D483" s="14">
        <v>0.32</v>
      </c>
      <c r="E483" s="14">
        <v>0.31</v>
      </c>
      <c r="F483" s="14">
        <v>0.34</v>
      </c>
      <c r="G483" s="15">
        <v>-0.02</v>
      </c>
      <c r="H483" s="16">
        <v>-5.8799999999999998E-2</v>
      </c>
      <c r="I483" s="14">
        <v>85</v>
      </c>
      <c r="J483" s="17">
        <v>6413</v>
      </c>
      <c r="K483" s="18">
        <v>0.40189999999999998</v>
      </c>
      <c r="L483" s="26" t="b">
        <f t="shared" si="37"/>
        <v>0</v>
      </c>
      <c r="M483" s="26" t="str">
        <f t="shared" si="34"/>
        <v>put</v>
      </c>
      <c r="N483" s="28">
        <f t="shared" si="35"/>
        <v>45982</v>
      </c>
      <c r="O483" s="29">
        <f t="shared" si="36"/>
        <v>47</v>
      </c>
    </row>
    <row r="484" spans="1:15" x14ac:dyDescent="0.45">
      <c r="A484" s="11" t="s">
        <v>570</v>
      </c>
      <c r="B484" s="12">
        <v>45726.65902777778</v>
      </c>
      <c r="C484" s="13">
        <v>200</v>
      </c>
      <c r="D484" s="14">
        <v>0.4</v>
      </c>
      <c r="E484" s="14">
        <v>0.39</v>
      </c>
      <c r="F484" s="14">
        <v>0.41</v>
      </c>
      <c r="G484" s="15">
        <v>-0.03</v>
      </c>
      <c r="H484" s="16">
        <v>-6.9800000000000001E-2</v>
      </c>
      <c r="I484" s="14">
        <v>357</v>
      </c>
      <c r="J484" s="17">
        <v>16013</v>
      </c>
      <c r="K484" s="18">
        <v>0.3826</v>
      </c>
      <c r="L484" s="26" t="b">
        <f t="shared" si="37"/>
        <v>0</v>
      </c>
      <c r="M484" s="26" t="str">
        <f t="shared" si="34"/>
        <v>put</v>
      </c>
      <c r="N484" s="28">
        <f t="shared" si="35"/>
        <v>45982</v>
      </c>
      <c r="O484" s="29">
        <f t="shared" si="36"/>
        <v>47</v>
      </c>
    </row>
    <row r="485" spans="1:15" x14ac:dyDescent="0.45">
      <c r="A485" s="11" t="s">
        <v>571</v>
      </c>
      <c r="B485" s="12">
        <v>45726.637499999997</v>
      </c>
      <c r="C485" s="13">
        <v>205</v>
      </c>
      <c r="D485" s="14">
        <v>0.49</v>
      </c>
      <c r="E485" s="14">
        <v>0.48</v>
      </c>
      <c r="F485" s="14">
        <v>0.5</v>
      </c>
      <c r="G485" s="15">
        <v>-0.02</v>
      </c>
      <c r="H485" s="16">
        <v>-3.9199999999999999E-2</v>
      </c>
      <c r="I485" s="14">
        <v>80</v>
      </c>
      <c r="J485" s="17">
        <v>4681</v>
      </c>
      <c r="K485" s="18">
        <v>0.36399999999999999</v>
      </c>
      <c r="L485" s="26" t="b">
        <f t="shared" si="37"/>
        <v>0</v>
      </c>
      <c r="M485" s="26" t="str">
        <f t="shared" si="34"/>
        <v>put</v>
      </c>
      <c r="N485" s="28">
        <f t="shared" si="35"/>
        <v>45982</v>
      </c>
      <c r="O485" s="29">
        <f t="shared" si="36"/>
        <v>47</v>
      </c>
    </row>
    <row r="486" spans="1:15" x14ac:dyDescent="0.45">
      <c r="A486" s="11" t="s">
        <v>572</v>
      </c>
      <c r="B486" s="12">
        <v>45726.59652777778</v>
      </c>
      <c r="C486" s="13">
        <v>210</v>
      </c>
      <c r="D486" s="14">
        <v>0.61</v>
      </c>
      <c r="E486" s="14">
        <v>0.6</v>
      </c>
      <c r="F486" s="14">
        <v>0.63</v>
      </c>
      <c r="G486" s="15">
        <v>-0.05</v>
      </c>
      <c r="H486" s="16">
        <v>-7.5800000000000006E-2</v>
      </c>
      <c r="I486" s="14">
        <v>179</v>
      </c>
      <c r="J486" s="17">
        <v>14819</v>
      </c>
      <c r="K486" s="18">
        <v>0.34770000000000001</v>
      </c>
      <c r="L486" s="26" t="b">
        <f t="shared" si="37"/>
        <v>0</v>
      </c>
      <c r="M486" s="26" t="str">
        <f t="shared" si="34"/>
        <v>put</v>
      </c>
      <c r="N486" s="28">
        <f t="shared" si="35"/>
        <v>45982</v>
      </c>
      <c r="O486" s="29">
        <f t="shared" si="36"/>
        <v>47</v>
      </c>
    </row>
    <row r="487" spans="1:15" x14ac:dyDescent="0.45">
      <c r="A487" s="11" t="s">
        <v>573</v>
      </c>
      <c r="B487" s="12">
        <v>45726.655555555553</v>
      </c>
      <c r="C487" s="13">
        <v>215</v>
      </c>
      <c r="D487" s="14">
        <v>0.79</v>
      </c>
      <c r="E487" s="14">
        <v>0.76</v>
      </c>
      <c r="F487" s="14">
        <v>0.79</v>
      </c>
      <c r="G487" s="15">
        <v>-0.01</v>
      </c>
      <c r="H487" s="16">
        <v>-1.2500000000000001E-2</v>
      </c>
      <c r="I487" s="14">
        <v>365</v>
      </c>
      <c r="J487" s="17">
        <v>9016</v>
      </c>
      <c r="K487" s="18">
        <v>0.33079999999999998</v>
      </c>
      <c r="L487" s="26" t="b">
        <f t="shared" si="37"/>
        <v>0</v>
      </c>
      <c r="M487" s="26" t="str">
        <f t="shared" si="34"/>
        <v>put</v>
      </c>
      <c r="N487" s="28">
        <f t="shared" si="35"/>
        <v>45982</v>
      </c>
      <c r="O487" s="29">
        <f t="shared" si="36"/>
        <v>47</v>
      </c>
    </row>
    <row r="488" spans="1:15" x14ac:dyDescent="0.45">
      <c r="A488" s="11" t="s">
        <v>574</v>
      </c>
      <c r="B488" s="12">
        <v>45726.654861111114</v>
      </c>
      <c r="C488" s="13">
        <v>220</v>
      </c>
      <c r="D488" s="14">
        <v>0.99</v>
      </c>
      <c r="E488" s="14">
        <v>0.98</v>
      </c>
      <c r="F488" s="14">
        <v>1.01</v>
      </c>
      <c r="G488" s="15">
        <v>-0.09</v>
      </c>
      <c r="H488" s="16">
        <v>-8.3299999999999999E-2</v>
      </c>
      <c r="I488" s="14">
        <v>294</v>
      </c>
      <c r="J488" s="17">
        <v>9644</v>
      </c>
      <c r="K488" s="18">
        <v>0.31530000000000002</v>
      </c>
      <c r="L488" s="26" t="b">
        <f t="shared" si="37"/>
        <v>0</v>
      </c>
      <c r="M488" s="26" t="str">
        <f t="shared" si="34"/>
        <v>put</v>
      </c>
      <c r="N488" s="28">
        <f t="shared" si="35"/>
        <v>45982</v>
      </c>
      <c r="O488" s="29">
        <f t="shared" si="36"/>
        <v>47</v>
      </c>
    </row>
    <row r="489" spans="1:15" x14ac:dyDescent="0.45">
      <c r="A489" s="11" t="s">
        <v>575</v>
      </c>
      <c r="B489" s="12">
        <v>45726.654861111114</v>
      </c>
      <c r="C489" s="13">
        <v>225</v>
      </c>
      <c r="D489" s="14">
        <v>1.33</v>
      </c>
      <c r="E489" s="14">
        <v>1.29</v>
      </c>
      <c r="F489" s="14">
        <v>1.33</v>
      </c>
      <c r="G489" s="15">
        <v>-0.06</v>
      </c>
      <c r="H489" s="16">
        <v>-4.3200000000000002E-2</v>
      </c>
      <c r="I489" s="14">
        <v>253</v>
      </c>
      <c r="J489" s="17">
        <v>6162</v>
      </c>
      <c r="K489" s="18">
        <v>0.3019</v>
      </c>
      <c r="L489" s="26" t="b">
        <f t="shared" si="37"/>
        <v>0</v>
      </c>
      <c r="M489" s="26" t="str">
        <f t="shared" si="34"/>
        <v>put</v>
      </c>
      <c r="N489" s="28">
        <f t="shared" si="35"/>
        <v>45982</v>
      </c>
      <c r="O489" s="29">
        <f t="shared" si="36"/>
        <v>47</v>
      </c>
    </row>
    <row r="490" spans="1:15" x14ac:dyDescent="0.45">
      <c r="A490" s="11" t="s">
        <v>576</v>
      </c>
      <c r="B490" s="12">
        <v>45726.661805555559</v>
      </c>
      <c r="C490" s="13">
        <v>230</v>
      </c>
      <c r="D490" s="14">
        <v>1.79</v>
      </c>
      <c r="E490" s="14">
        <v>1.72</v>
      </c>
      <c r="F490" s="14">
        <v>1.76</v>
      </c>
      <c r="G490" s="15">
        <v>-0.09</v>
      </c>
      <c r="H490" s="16">
        <v>-4.7899999999999998E-2</v>
      </c>
      <c r="I490" s="14">
        <v>364</v>
      </c>
      <c r="J490" s="17">
        <v>13093</v>
      </c>
      <c r="K490" s="18">
        <v>0.28889999999999999</v>
      </c>
      <c r="L490" s="26" t="b">
        <f t="shared" si="37"/>
        <v>0</v>
      </c>
      <c r="M490" s="26" t="str">
        <f t="shared" si="34"/>
        <v>put</v>
      </c>
      <c r="N490" s="28">
        <f t="shared" si="35"/>
        <v>45982</v>
      </c>
      <c r="O490" s="29">
        <f t="shared" si="36"/>
        <v>47</v>
      </c>
    </row>
    <row r="491" spans="1:15" x14ac:dyDescent="0.45">
      <c r="A491" s="11" t="s">
        <v>577</v>
      </c>
      <c r="B491" s="12">
        <v>45726.661805555559</v>
      </c>
      <c r="C491" s="13">
        <v>235</v>
      </c>
      <c r="D491" s="14">
        <v>2.4</v>
      </c>
      <c r="E491" s="14">
        <v>2.3199999999999998</v>
      </c>
      <c r="F491" s="14">
        <v>2.36</v>
      </c>
      <c r="G491" s="15">
        <v>-0.15</v>
      </c>
      <c r="H491" s="16">
        <v>-5.8799999999999998E-2</v>
      </c>
      <c r="I491" s="14">
        <v>244</v>
      </c>
      <c r="J491" s="17">
        <v>7672</v>
      </c>
      <c r="K491" s="18">
        <v>0.27760000000000001</v>
      </c>
      <c r="L491" s="26" t="b">
        <f t="shared" si="37"/>
        <v>0</v>
      </c>
      <c r="M491" s="26" t="str">
        <f t="shared" si="34"/>
        <v>put</v>
      </c>
      <c r="N491" s="28">
        <f t="shared" si="35"/>
        <v>45982</v>
      </c>
      <c r="O491" s="29">
        <f t="shared" si="36"/>
        <v>47</v>
      </c>
    </row>
    <row r="492" spans="1:15" x14ac:dyDescent="0.45">
      <c r="A492" s="11" t="s">
        <v>578</v>
      </c>
      <c r="B492" s="12">
        <v>45726.662499999999</v>
      </c>
      <c r="C492" s="13">
        <v>240</v>
      </c>
      <c r="D492" s="14">
        <v>3.2</v>
      </c>
      <c r="E492" s="14">
        <v>3.1</v>
      </c>
      <c r="F492" s="14">
        <v>3.2</v>
      </c>
      <c r="G492" s="15">
        <v>-0.25</v>
      </c>
      <c r="H492" s="16">
        <v>-7.2499999999999995E-2</v>
      </c>
      <c r="I492" s="14">
        <v>813</v>
      </c>
      <c r="J492" s="17">
        <v>12037</v>
      </c>
      <c r="K492" s="18">
        <v>0.2681</v>
      </c>
      <c r="L492" s="26" t="b">
        <f t="shared" si="37"/>
        <v>0</v>
      </c>
      <c r="M492" s="26" t="str">
        <f t="shared" si="34"/>
        <v>put</v>
      </c>
      <c r="N492" s="28">
        <f t="shared" si="35"/>
        <v>45982</v>
      </c>
      <c r="O492" s="29">
        <f t="shared" si="36"/>
        <v>47</v>
      </c>
    </row>
    <row r="493" spans="1:15" x14ac:dyDescent="0.45">
      <c r="A493" s="11" t="s">
        <v>579</v>
      </c>
      <c r="B493" s="12">
        <v>45726.662499999999</v>
      </c>
      <c r="C493" s="13">
        <v>245</v>
      </c>
      <c r="D493" s="14">
        <v>4.3499999999999996</v>
      </c>
      <c r="E493" s="14">
        <v>4.2</v>
      </c>
      <c r="F493" s="14">
        <v>4.3</v>
      </c>
      <c r="G493" s="15">
        <v>-0.25</v>
      </c>
      <c r="H493" s="16">
        <v>-5.4300000000000001E-2</v>
      </c>
      <c r="I493" s="17">
        <v>2038</v>
      </c>
      <c r="J493" s="17">
        <v>4669</v>
      </c>
      <c r="K493" s="18">
        <v>0.25890000000000002</v>
      </c>
      <c r="L493" s="26" t="b">
        <f t="shared" si="37"/>
        <v>0</v>
      </c>
      <c r="M493" s="26" t="str">
        <f t="shared" si="34"/>
        <v>put</v>
      </c>
      <c r="N493" s="28">
        <f t="shared" si="35"/>
        <v>45982</v>
      </c>
      <c r="O493" s="29">
        <f t="shared" si="36"/>
        <v>47</v>
      </c>
    </row>
    <row r="494" spans="1:15" x14ac:dyDescent="0.45">
      <c r="A494" s="11" t="s">
        <v>580</v>
      </c>
      <c r="B494" s="12">
        <v>45726.649305555555</v>
      </c>
      <c r="C494" s="13">
        <v>250</v>
      </c>
      <c r="D494" s="14">
        <v>5.81</v>
      </c>
      <c r="E494" s="14">
        <v>5.65</v>
      </c>
      <c r="F494" s="14">
        <v>5.75</v>
      </c>
      <c r="G494" s="15">
        <v>-0.19</v>
      </c>
      <c r="H494" s="16">
        <v>-3.1699999999999999E-2</v>
      </c>
      <c r="I494" s="17">
        <v>5573</v>
      </c>
      <c r="J494" s="17">
        <v>14977</v>
      </c>
      <c r="K494" s="18">
        <v>0.25069999999999998</v>
      </c>
      <c r="L494" s="26" t="b">
        <f t="shared" si="37"/>
        <v>0</v>
      </c>
      <c r="M494" s="26" t="str">
        <f t="shared" si="34"/>
        <v>put</v>
      </c>
      <c r="N494" s="28">
        <f t="shared" si="35"/>
        <v>45982</v>
      </c>
      <c r="O494" s="29">
        <f t="shared" si="36"/>
        <v>47</v>
      </c>
    </row>
    <row r="495" spans="1:15" x14ac:dyDescent="0.45">
      <c r="A495" s="11" t="s">
        <v>581</v>
      </c>
      <c r="B495" s="12">
        <v>45726.661805555559</v>
      </c>
      <c r="C495" s="13">
        <v>255</v>
      </c>
      <c r="D495" s="14">
        <v>7.7</v>
      </c>
      <c r="E495" s="14">
        <v>7.5</v>
      </c>
      <c r="F495" s="14">
        <v>7.6</v>
      </c>
      <c r="G495" s="15">
        <v>-0.34</v>
      </c>
      <c r="H495" s="16">
        <v>-4.2299999999999997E-2</v>
      </c>
      <c r="I495" s="14">
        <v>864</v>
      </c>
      <c r="J495" s="17">
        <v>3520</v>
      </c>
      <c r="K495" s="18">
        <v>0.24340000000000001</v>
      </c>
      <c r="L495" s="26" t="b">
        <f t="shared" si="37"/>
        <v>0</v>
      </c>
      <c r="M495" s="26" t="str">
        <f t="shared" si="34"/>
        <v>put</v>
      </c>
      <c r="N495" s="28">
        <f t="shared" si="35"/>
        <v>45982</v>
      </c>
      <c r="O495" s="29">
        <f t="shared" si="36"/>
        <v>47</v>
      </c>
    </row>
    <row r="496" spans="1:15" x14ac:dyDescent="0.45">
      <c r="A496" s="1" t="s">
        <v>582</v>
      </c>
      <c r="B496" s="2">
        <v>45726.665972222225</v>
      </c>
      <c r="C496" s="3">
        <v>260</v>
      </c>
      <c r="D496" s="4">
        <v>9.85</v>
      </c>
      <c r="E496" s="4">
        <v>9.75</v>
      </c>
      <c r="F496" s="4">
        <v>9.9</v>
      </c>
      <c r="G496" s="8">
        <v>-0.6</v>
      </c>
      <c r="H496" s="9">
        <v>-5.74E-2</v>
      </c>
      <c r="I496" s="4">
        <v>637</v>
      </c>
      <c r="J496" s="10">
        <v>1697</v>
      </c>
      <c r="K496" s="5">
        <v>0.2369</v>
      </c>
      <c r="L496" s="26" t="b">
        <f t="shared" si="37"/>
        <v>1</v>
      </c>
      <c r="M496" s="26" t="str">
        <f t="shared" si="34"/>
        <v>put</v>
      </c>
      <c r="N496" s="28">
        <f t="shared" si="35"/>
        <v>45982</v>
      </c>
      <c r="O496" s="29">
        <f t="shared" si="36"/>
        <v>47</v>
      </c>
    </row>
    <row r="497" spans="1:15" x14ac:dyDescent="0.45">
      <c r="A497" s="1" t="s">
        <v>583</v>
      </c>
      <c r="B497" s="2">
        <v>45726.627083333333</v>
      </c>
      <c r="C497" s="3">
        <v>265</v>
      </c>
      <c r="D497" s="4">
        <v>12.42</v>
      </c>
      <c r="E497" s="4">
        <v>12.5</v>
      </c>
      <c r="F497" s="4">
        <v>12.65</v>
      </c>
      <c r="G497" s="8">
        <v>-0.59</v>
      </c>
      <c r="H497" s="9">
        <v>-4.53E-2</v>
      </c>
      <c r="I497" s="4">
        <v>85</v>
      </c>
      <c r="J497" s="4">
        <v>528</v>
      </c>
      <c r="K497" s="5">
        <v>0.2306</v>
      </c>
      <c r="L497" s="26" t="b">
        <f t="shared" si="37"/>
        <v>1</v>
      </c>
      <c r="M497" s="26" t="str">
        <f t="shared" si="34"/>
        <v>put</v>
      </c>
      <c r="N497" s="28">
        <f t="shared" si="35"/>
        <v>45982</v>
      </c>
      <c r="O497" s="29">
        <f t="shared" si="36"/>
        <v>47</v>
      </c>
    </row>
    <row r="498" spans="1:15" x14ac:dyDescent="0.45">
      <c r="A498" s="1" t="s">
        <v>584</v>
      </c>
      <c r="B498" s="2">
        <v>45726.593055555553</v>
      </c>
      <c r="C498" s="3">
        <v>270</v>
      </c>
      <c r="D498" s="4">
        <v>16.03</v>
      </c>
      <c r="E498" s="4">
        <v>15.65</v>
      </c>
      <c r="F498" s="4">
        <v>15.8</v>
      </c>
      <c r="G498" s="8">
        <v>-0.32</v>
      </c>
      <c r="H498" s="9">
        <v>-1.9599999999999999E-2</v>
      </c>
      <c r="I498" s="4">
        <v>30</v>
      </c>
      <c r="J498" s="4">
        <v>145</v>
      </c>
      <c r="K498" s="5">
        <v>0.22270000000000001</v>
      </c>
      <c r="L498" s="26" t="b">
        <f t="shared" si="37"/>
        <v>1</v>
      </c>
      <c r="M498" s="26" t="str">
        <f t="shared" si="34"/>
        <v>put</v>
      </c>
      <c r="N498" s="28">
        <f t="shared" si="35"/>
        <v>45982</v>
      </c>
      <c r="O498" s="29">
        <f t="shared" si="36"/>
        <v>47</v>
      </c>
    </row>
    <row r="499" spans="1:15" x14ac:dyDescent="0.45">
      <c r="A499" s="1" t="s">
        <v>585</v>
      </c>
      <c r="B499" s="2">
        <v>45726.510416666664</v>
      </c>
      <c r="C499" s="3">
        <v>275</v>
      </c>
      <c r="D499" s="4">
        <v>19</v>
      </c>
      <c r="E499" s="4">
        <v>19.2</v>
      </c>
      <c r="F499" s="4">
        <v>19.5</v>
      </c>
      <c r="G499" s="8">
        <v>-0.52</v>
      </c>
      <c r="H499" s="9">
        <v>-2.6599999999999999E-2</v>
      </c>
      <c r="I499" s="4">
        <v>4</v>
      </c>
      <c r="J499" s="4">
        <v>153</v>
      </c>
      <c r="K499" s="5">
        <v>0.21879999999999999</v>
      </c>
      <c r="L499" s="26" t="b">
        <f t="shared" si="37"/>
        <v>1</v>
      </c>
      <c r="M499" s="26" t="str">
        <f t="shared" si="34"/>
        <v>put</v>
      </c>
      <c r="N499" s="28">
        <f t="shared" si="35"/>
        <v>45982</v>
      </c>
      <c r="O499" s="29">
        <f t="shared" si="36"/>
        <v>47</v>
      </c>
    </row>
    <row r="500" spans="1:15" x14ac:dyDescent="0.45">
      <c r="A500" s="1" t="s">
        <v>586</v>
      </c>
      <c r="B500" s="2">
        <v>45726.602777777778</v>
      </c>
      <c r="C500" s="3">
        <v>280</v>
      </c>
      <c r="D500" s="4">
        <v>22.94</v>
      </c>
      <c r="E500" s="4">
        <v>23.1</v>
      </c>
      <c r="F500" s="4">
        <v>23.75</v>
      </c>
      <c r="G500" s="8">
        <v>-1.06</v>
      </c>
      <c r="H500" s="9">
        <v>-4.4200000000000003E-2</v>
      </c>
      <c r="I500" s="4">
        <v>77</v>
      </c>
      <c r="J500" s="4">
        <v>253</v>
      </c>
      <c r="K500" s="5">
        <v>0.223</v>
      </c>
      <c r="L500" s="26" t="b">
        <f t="shared" si="37"/>
        <v>1</v>
      </c>
      <c r="M500" s="26" t="str">
        <f t="shared" ref="M500:M508" si="38">IF(MID(A500,11,1)="C","call","put")</f>
        <v>put</v>
      </c>
      <c r="N500" s="28">
        <f t="shared" ref="N500:N508" si="39">DATE(MID(A500,5,2)+2000,MID(A500,7,2),MID(A500,9,2))</f>
        <v>45982</v>
      </c>
      <c r="O500" s="29">
        <f t="shared" si="36"/>
        <v>47</v>
      </c>
    </row>
    <row r="501" spans="1:15" x14ac:dyDescent="0.45">
      <c r="A501" s="1" t="s">
        <v>587</v>
      </c>
      <c r="B501" s="2">
        <v>45726.602083333331</v>
      </c>
      <c r="C501" s="3">
        <v>285</v>
      </c>
      <c r="D501" s="4">
        <v>27.31</v>
      </c>
      <c r="E501" s="4">
        <v>27.4</v>
      </c>
      <c r="F501" s="4">
        <v>28.1</v>
      </c>
      <c r="G501" s="8">
        <v>-0.74</v>
      </c>
      <c r="H501" s="9">
        <v>-2.64E-2</v>
      </c>
      <c r="I501" s="4">
        <v>14</v>
      </c>
      <c r="J501" s="4">
        <v>58</v>
      </c>
      <c r="K501" s="5">
        <v>0.22120000000000001</v>
      </c>
      <c r="L501" s="26" t="b">
        <f t="shared" si="37"/>
        <v>1</v>
      </c>
      <c r="M501" s="26" t="str">
        <f t="shared" si="38"/>
        <v>put</v>
      </c>
      <c r="N501" s="28">
        <f t="shared" si="39"/>
        <v>45982</v>
      </c>
      <c r="O501" s="29">
        <f t="shared" si="36"/>
        <v>47</v>
      </c>
    </row>
    <row r="502" spans="1:15" x14ac:dyDescent="0.45">
      <c r="A502" s="1" t="s">
        <v>588</v>
      </c>
      <c r="B502" s="4" t="s">
        <v>589</v>
      </c>
      <c r="C502" s="3">
        <v>290</v>
      </c>
      <c r="D502" s="4">
        <v>35.65</v>
      </c>
      <c r="E502" s="4">
        <v>32</v>
      </c>
      <c r="F502" s="4">
        <v>32.700000000000003</v>
      </c>
      <c r="G502" s="4">
        <v>0</v>
      </c>
      <c r="H502" s="5">
        <v>0</v>
      </c>
      <c r="I502" s="4">
        <v>3</v>
      </c>
      <c r="J502" s="4">
        <v>3</v>
      </c>
      <c r="K502" s="5">
        <v>0.2223</v>
      </c>
      <c r="L502" s="26" t="b">
        <f t="shared" si="37"/>
        <v>1</v>
      </c>
      <c r="M502" s="26" t="str">
        <f t="shared" si="38"/>
        <v>put</v>
      </c>
      <c r="N502" s="28">
        <f t="shared" si="39"/>
        <v>45982</v>
      </c>
      <c r="O502" s="29">
        <f t="shared" si="36"/>
        <v>47</v>
      </c>
    </row>
    <row r="503" spans="1:15" x14ac:dyDescent="0.45">
      <c r="A503" s="1" t="s">
        <v>590</v>
      </c>
      <c r="B503" s="4" t="s">
        <v>591</v>
      </c>
      <c r="C503" s="3">
        <v>300</v>
      </c>
      <c r="D503" s="4">
        <v>41.6</v>
      </c>
      <c r="E503" s="4">
        <v>41.6</v>
      </c>
      <c r="F503" s="4">
        <v>42.65</v>
      </c>
      <c r="G503" s="8">
        <v>-4.47</v>
      </c>
      <c r="H503" s="9">
        <v>-9.7000000000000003E-2</v>
      </c>
      <c r="I503" s="4">
        <v>1</v>
      </c>
      <c r="J503" s="4">
        <v>0</v>
      </c>
      <c r="K503" s="5">
        <v>0.26540000000000002</v>
      </c>
      <c r="L503" s="26" t="b">
        <f t="shared" si="37"/>
        <v>1</v>
      </c>
      <c r="M503" s="26" t="str">
        <f t="shared" si="38"/>
        <v>put</v>
      </c>
      <c r="N503" s="28">
        <f t="shared" si="39"/>
        <v>45982</v>
      </c>
      <c r="O503" s="29">
        <f t="shared" si="36"/>
        <v>47</v>
      </c>
    </row>
    <row r="504" spans="1:15" x14ac:dyDescent="0.45">
      <c r="A504" s="1" t="s">
        <v>592</v>
      </c>
      <c r="B504" s="2">
        <v>45937.659722222219</v>
      </c>
      <c r="C504" s="3">
        <v>305</v>
      </c>
      <c r="D504" s="4">
        <v>92.7</v>
      </c>
      <c r="E504" s="4">
        <v>48.75</v>
      </c>
      <c r="F504" s="4">
        <v>50.45</v>
      </c>
      <c r="G504" s="4">
        <v>0</v>
      </c>
      <c r="H504" s="5">
        <v>0</v>
      </c>
      <c r="I504" s="4">
        <v>1</v>
      </c>
      <c r="J504" s="4">
        <v>0</v>
      </c>
      <c r="K504" s="5">
        <v>0.44350000000000001</v>
      </c>
      <c r="L504" s="26" t="b">
        <f t="shared" si="37"/>
        <v>1</v>
      </c>
      <c r="M504" s="26" t="str">
        <f t="shared" si="38"/>
        <v>put</v>
      </c>
      <c r="N504" s="28">
        <f t="shared" si="39"/>
        <v>45982</v>
      </c>
      <c r="O504" s="29">
        <f t="shared" si="36"/>
        <v>47</v>
      </c>
    </row>
    <row r="505" spans="1:15" x14ac:dyDescent="0.45">
      <c r="A505" s="1" t="s">
        <v>593</v>
      </c>
      <c r="B505" s="4" t="s">
        <v>134</v>
      </c>
      <c r="C505" s="3">
        <v>315</v>
      </c>
      <c r="D505" s="4">
        <v>88.2</v>
      </c>
      <c r="E505" s="4">
        <v>58.8</v>
      </c>
      <c r="F505" s="4">
        <v>60.45</v>
      </c>
      <c r="G505" s="4">
        <v>0</v>
      </c>
      <c r="H505" s="5">
        <v>0</v>
      </c>
      <c r="I505" s="4">
        <v>0</v>
      </c>
      <c r="J505" s="4">
        <v>0</v>
      </c>
      <c r="K505" s="5">
        <v>0.49730000000000002</v>
      </c>
      <c r="L505" s="26" t="b">
        <f t="shared" si="37"/>
        <v>1</v>
      </c>
      <c r="M505" s="26" t="str">
        <f t="shared" si="38"/>
        <v>put</v>
      </c>
      <c r="N505" s="28">
        <f t="shared" si="39"/>
        <v>45982</v>
      </c>
      <c r="O505" s="29">
        <f t="shared" si="36"/>
        <v>47</v>
      </c>
    </row>
    <row r="506" spans="1:15" x14ac:dyDescent="0.45">
      <c r="A506" s="1" t="s">
        <v>594</v>
      </c>
      <c r="B506" s="2">
        <v>45845.397916666669</v>
      </c>
      <c r="C506" s="3">
        <v>325</v>
      </c>
      <c r="D506" s="4">
        <v>109.82</v>
      </c>
      <c r="E506" s="4">
        <v>68.8</v>
      </c>
      <c r="F506" s="4">
        <v>70.45</v>
      </c>
      <c r="G506" s="4">
        <v>0</v>
      </c>
      <c r="H506" s="5">
        <v>0</v>
      </c>
      <c r="I506" s="4">
        <v>0</v>
      </c>
      <c r="J506" s="4">
        <v>0</v>
      </c>
      <c r="K506" s="5">
        <v>0.50660000000000005</v>
      </c>
      <c r="L506" s="26" t="b">
        <f t="shared" si="37"/>
        <v>1</v>
      </c>
      <c r="M506" s="26" t="str">
        <f t="shared" si="38"/>
        <v>put</v>
      </c>
      <c r="N506" s="28">
        <f t="shared" si="39"/>
        <v>45982</v>
      </c>
      <c r="O506" s="29">
        <f t="shared" si="36"/>
        <v>47</v>
      </c>
    </row>
    <row r="507" spans="1:15" x14ac:dyDescent="0.45">
      <c r="A507" s="1" t="s">
        <v>595</v>
      </c>
      <c r="B507" s="4" t="s">
        <v>596</v>
      </c>
      <c r="C507" s="3">
        <v>335</v>
      </c>
      <c r="D507" s="4">
        <v>107</v>
      </c>
      <c r="E507" s="4">
        <v>78.8</v>
      </c>
      <c r="F507" s="4">
        <v>80.45</v>
      </c>
      <c r="G507" s="4">
        <v>0</v>
      </c>
      <c r="H507" s="5">
        <v>0</v>
      </c>
      <c r="I507" s="4">
        <v>0</v>
      </c>
      <c r="J507" s="4">
        <v>0</v>
      </c>
      <c r="K507" s="5">
        <v>0.55210000000000004</v>
      </c>
      <c r="L507" s="26" t="b">
        <f t="shared" si="37"/>
        <v>1</v>
      </c>
      <c r="M507" s="26" t="str">
        <f t="shared" si="38"/>
        <v>put</v>
      </c>
      <c r="N507" s="28">
        <f t="shared" si="39"/>
        <v>45982</v>
      </c>
      <c r="O507" s="29">
        <f t="shared" si="36"/>
        <v>47</v>
      </c>
    </row>
    <row r="508" spans="1:15" x14ac:dyDescent="0.45">
      <c r="A508" s="21" t="s">
        <v>597</v>
      </c>
      <c r="B508" s="30">
        <v>45970.659722222219</v>
      </c>
      <c r="C508" s="23">
        <v>345</v>
      </c>
      <c r="D508" s="22">
        <v>114.9</v>
      </c>
      <c r="E508" s="22">
        <v>86.3</v>
      </c>
      <c r="F508" s="22">
        <v>87.5</v>
      </c>
      <c r="G508" s="22">
        <v>0</v>
      </c>
      <c r="H508" s="24">
        <v>0</v>
      </c>
      <c r="I508" s="22">
        <v>0</v>
      </c>
      <c r="J508" s="22">
        <v>0</v>
      </c>
      <c r="K508" s="24">
        <v>0.42459999999999998</v>
      </c>
      <c r="L508" s="26" t="b">
        <f t="shared" si="37"/>
        <v>1</v>
      </c>
      <c r="M508" s="26" t="str">
        <f t="shared" si="38"/>
        <v>put</v>
      </c>
      <c r="N508" s="28">
        <f t="shared" si="39"/>
        <v>45982</v>
      </c>
      <c r="O508" s="29">
        <f t="shared" si="36"/>
        <v>47</v>
      </c>
    </row>
    <row r="509" spans="1:15" x14ac:dyDescent="0.45">
      <c r="A509" s="1" t="s">
        <v>598</v>
      </c>
      <c r="B509" s="2">
        <v>45726.440972222219</v>
      </c>
      <c r="C509" s="3">
        <v>5</v>
      </c>
      <c r="D509" s="4">
        <v>253.08</v>
      </c>
      <c r="E509" s="4">
        <v>251.2</v>
      </c>
      <c r="F509" s="4">
        <v>254.05</v>
      </c>
      <c r="G509" s="4">
        <v>-0.16</v>
      </c>
      <c r="H509" s="5">
        <v>-5.9999999999999995E-4</v>
      </c>
      <c r="I509" s="4">
        <v>51</v>
      </c>
      <c r="J509" s="10">
        <v>2456</v>
      </c>
      <c r="K509" s="5">
        <v>4.4569999999999999</v>
      </c>
      <c r="L509" s="26" t="b">
        <f t="shared" si="37"/>
        <v>1</v>
      </c>
      <c r="M509" s="26" t="str">
        <f t="shared" ref="M509:M572" si="40">IF(MID(A509,11,1)="C","call","put")</f>
        <v>call</v>
      </c>
      <c r="N509" s="28">
        <f t="shared" ref="N509:N572" si="41">DATE(MID(A509,5,2)+2000,MID(A509,7,2),MID(A509,9,2))</f>
        <v>46038</v>
      </c>
      <c r="O509" s="29">
        <f t="shared" si="36"/>
        <v>103</v>
      </c>
    </row>
    <row r="510" spans="1:15" x14ac:dyDescent="0.45">
      <c r="A510" s="1" t="s">
        <v>599</v>
      </c>
      <c r="B510" s="2">
        <v>45667.532638888886</v>
      </c>
      <c r="C510" s="3">
        <v>10</v>
      </c>
      <c r="D510" s="4">
        <v>246.42</v>
      </c>
      <c r="E510" s="4">
        <v>246.95</v>
      </c>
      <c r="F510" s="4">
        <v>249.1</v>
      </c>
      <c r="G510" s="4">
        <v>0</v>
      </c>
      <c r="H510" s="5">
        <v>0</v>
      </c>
      <c r="I510" s="4">
        <v>1</v>
      </c>
      <c r="J510" s="4">
        <v>1</v>
      </c>
      <c r="K510" s="5">
        <v>1.8125</v>
      </c>
      <c r="L510" s="26" t="b">
        <f t="shared" si="37"/>
        <v>1</v>
      </c>
      <c r="M510" s="26" t="str">
        <f t="shared" si="40"/>
        <v>call</v>
      </c>
      <c r="N510" s="28">
        <f t="shared" si="41"/>
        <v>46038</v>
      </c>
      <c r="O510" s="29">
        <f t="shared" ref="O510:O573" si="42">N510-DATE(2025,10,5)</f>
        <v>103</v>
      </c>
    </row>
    <row r="511" spans="1:15" x14ac:dyDescent="0.45">
      <c r="A511" s="1" t="s">
        <v>600</v>
      </c>
      <c r="B511" s="2">
        <v>45667.532638888886</v>
      </c>
      <c r="C511" s="3">
        <v>15</v>
      </c>
      <c r="D511" s="4">
        <v>241.45</v>
      </c>
      <c r="E511" s="4">
        <v>241.95</v>
      </c>
      <c r="F511" s="4">
        <v>243.9</v>
      </c>
      <c r="G511" s="4">
        <v>0</v>
      </c>
      <c r="H511" s="5">
        <v>0</v>
      </c>
      <c r="I511" s="4">
        <v>1</v>
      </c>
      <c r="J511" s="4">
        <v>150</v>
      </c>
      <c r="K511" s="5">
        <v>2.835</v>
      </c>
      <c r="L511" s="26" t="b">
        <f t="shared" si="37"/>
        <v>1</v>
      </c>
      <c r="M511" s="26" t="str">
        <f t="shared" si="40"/>
        <v>call</v>
      </c>
      <c r="N511" s="28">
        <f t="shared" si="41"/>
        <v>46038</v>
      </c>
      <c r="O511" s="29">
        <f t="shared" si="42"/>
        <v>103</v>
      </c>
    </row>
    <row r="512" spans="1:15" x14ac:dyDescent="0.45">
      <c r="A512" s="1" t="s">
        <v>601</v>
      </c>
      <c r="B512" s="2">
        <v>45725.551388888889</v>
      </c>
      <c r="C512" s="3">
        <v>20</v>
      </c>
      <c r="D512" s="4">
        <v>217.92</v>
      </c>
      <c r="E512" s="4">
        <v>237.05</v>
      </c>
      <c r="F512" s="4">
        <v>239.3</v>
      </c>
      <c r="G512" s="6">
        <v>0</v>
      </c>
      <c r="H512" s="7">
        <v>0</v>
      </c>
      <c r="I512" s="4">
        <v>26</v>
      </c>
      <c r="J512" s="4">
        <v>37</v>
      </c>
      <c r="K512" s="5">
        <v>1.9531000000000001</v>
      </c>
      <c r="L512" s="26" t="b">
        <f t="shared" ref="L512:L575" si="43">IF(M512="call",C512&lt;$P$1,C512&gt;$P$1)</f>
        <v>1</v>
      </c>
      <c r="M512" s="26" t="str">
        <f t="shared" si="40"/>
        <v>call</v>
      </c>
      <c r="N512" s="28">
        <f t="shared" si="41"/>
        <v>46038</v>
      </c>
      <c r="O512" s="29">
        <f t="shared" si="42"/>
        <v>103</v>
      </c>
    </row>
    <row r="513" spans="1:15" x14ac:dyDescent="0.45">
      <c r="A513" s="1" t="s">
        <v>602</v>
      </c>
      <c r="B513" s="4" t="s">
        <v>603</v>
      </c>
      <c r="C513" s="3">
        <v>25</v>
      </c>
      <c r="D513" s="4">
        <v>213.3</v>
      </c>
      <c r="E513" s="4">
        <v>232.05</v>
      </c>
      <c r="F513" s="4">
        <v>234.3</v>
      </c>
      <c r="G513" s="4">
        <v>0</v>
      </c>
      <c r="H513" s="5">
        <v>0</v>
      </c>
      <c r="I513" s="4">
        <v>10</v>
      </c>
      <c r="J513" s="4">
        <v>24</v>
      </c>
      <c r="K513" s="5">
        <v>1.7734000000000001</v>
      </c>
      <c r="L513" s="26" t="b">
        <f t="shared" si="43"/>
        <v>1</v>
      </c>
      <c r="M513" s="26" t="str">
        <f t="shared" si="40"/>
        <v>call</v>
      </c>
      <c r="N513" s="28">
        <f t="shared" si="41"/>
        <v>46038</v>
      </c>
      <c r="O513" s="29">
        <f t="shared" si="42"/>
        <v>103</v>
      </c>
    </row>
    <row r="514" spans="1:15" x14ac:dyDescent="0.45">
      <c r="A514" s="1" t="s">
        <v>604</v>
      </c>
      <c r="B514" s="4" t="s">
        <v>605</v>
      </c>
      <c r="C514" s="3">
        <v>30</v>
      </c>
      <c r="D514" s="4">
        <v>184.55</v>
      </c>
      <c r="E514" s="4">
        <v>224.6</v>
      </c>
      <c r="F514" s="4">
        <v>226.9</v>
      </c>
      <c r="G514" s="4">
        <v>0</v>
      </c>
      <c r="H514" s="5">
        <v>0</v>
      </c>
      <c r="I514" s="4">
        <v>1</v>
      </c>
      <c r="J514" s="4">
        <v>137</v>
      </c>
      <c r="K514" s="5">
        <v>0</v>
      </c>
      <c r="L514" s="26" t="b">
        <f t="shared" si="43"/>
        <v>1</v>
      </c>
      <c r="M514" s="26" t="str">
        <f t="shared" si="40"/>
        <v>call</v>
      </c>
      <c r="N514" s="28">
        <f t="shared" si="41"/>
        <v>46038</v>
      </c>
      <c r="O514" s="29">
        <f t="shared" si="42"/>
        <v>103</v>
      </c>
    </row>
    <row r="515" spans="1:15" x14ac:dyDescent="0.45">
      <c r="A515" s="1" t="s">
        <v>606</v>
      </c>
      <c r="B515" s="2">
        <v>45667.532638888886</v>
      </c>
      <c r="C515" s="3">
        <v>35</v>
      </c>
      <c r="D515" s="4">
        <v>221.72</v>
      </c>
      <c r="E515" s="4">
        <v>222.2</v>
      </c>
      <c r="F515" s="4">
        <v>224.5</v>
      </c>
      <c r="G515" s="6">
        <v>0</v>
      </c>
      <c r="H515" s="7">
        <v>0</v>
      </c>
      <c r="I515" s="4">
        <v>1</v>
      </c>
      <c r="J515" s="4">
        <v>43</v>
      </c>
      <c r="K515" s="5">
        <v>1.6620999999999999</v>
      </c>
      <c r="L515" s="26" t="b">
        <f t="shared" si="43"/>
        <v>1</v>
      </c>
      <c r="M515" s="26" t="str">
        <f t="shared" si="40"/>
        <v>call</v>
      </c>
      <c r="N515" s="28">
        <f t="shared" si="41"/>
        <v>46038</v>
      </c>
      <c r="O515" s="29">
        <f t="shared" si="42"/>
        <v>103</v>
      </c>
    </row>
    <row r="516" spans="1:15" x14ac:dyDescent="0.45">
      <c r="A516" s="1" t="s">
        <v>607</v>
      </c>
      <c r="B516" s="2">
        <v>45939.504166666666</v>
      </c>
      <c r="C516" s="3">
        <v>40</v>
      </c>
      <c r="D516" s="4">
        <v>188.12</v>
      </c>
      <c r="E516" s="4">
        <v>217.3</v>
      </c>
      <c r="F516" s="4">
        <v>219.55</v>
      </c>
      <c r="G516" s="4">
        <v>0</v>
      </c>
      <c r="H516" s="5">
        <v>0</v>
      </c>
      <c r="I516" s="4">
        <v>1</v>
      </c>
      <c r="J516" s="4">
        <v>29</v>
      </c>
      <c r="K516" s="5">
        <v>1.5947</v>
      </c>
      <c r="L516" s="26" t="b">
        <f t="shared" si="43"/>
        <v>1</v>
      </c>
      <c r="M516" s="26" t="str">
        <f t="shared" si="40"/>
        <v>call</v>
      </c>
      <c r="N516" s="28">
        <f t="shared" si="41"/>
        <v>46038</v>
      </c>
      <c r="O516" s="29">
        <f t="shared" si="42"/>
        <v>103</v>
      </c>
    </row>
    <row r="517" spans="1:15" x14ac:dyDescent="0.45">
      <c r="A517" s="1" t="s">
        <v>608</v>
      </c>
      <c r="B517" s="4" t="s">
        <v>609</v>
      </c>
      <c r="C517" s="3">
        <v>45</v>
      </c>
      <c r="D517" s="4">
        <v>197.13</v>
      </c>
      <c r="E517" s="4">
        <v>212.3</v>
      </c>
      <c r="F517" s="4">
        <v>214.65</v>
      </c>
      <c r="G517" s="6">
        <v>0</v>
      </c>
      <c r="H517" s="7">
        <v>0</v>
      </c>
      <c r="I517" s="4">
        <v>1</v>
      </c>
      <c r="J517" s="4">
        <v>92</v>
      </c>
      <c r="K517" s="5">
        <v>1.5185999999999999</v>
      </c>
      <c r="L517" s="26" t="b">
        <f t="shared" si="43"/>
        <v>1</v>
      </c>
      <c r="M517" s="26" t="str">
        <f t="shared" si="40"/>
        <v>call</v>
      </c>
      <c r="N517" s="28">
        <f t="shared" si="41"/>
        <v>46038</v>
      </c>
      <c r="O517" s="29">
        <f t="shared" si="42"/>
        <v>103</v>
      </c>
    </row>
    <row r="518" spans="1:15" x14ac:dyDescent="0.45">
      <c r="A518" s="1" t="s">
        <v>610</v>
      </c>
      <c r="B518" s="4" t="s">
        <v>611</v>
      </c>
      <c r="C518" s="3">
        <v>50</v>
      </c>
      <c r="D518" s="4">
        <v>175.94</v>
      </c>
      <c r="E518" s="4">
        <v>204.2</v>
      </c>
      <c r="F518" s="4">
        <v>207.4</v>
      </c>
      <c r="G518" s="6">
        <v>0</v>
      </c>
      <c r="H518" s="7">
        <v>0</v>
      </c>
      <c r="I518" s="4">
        <v>2</v>
      </c>
      <c r="J518" s="10">
        <v>1392</v>
      </c>
      <c r="K518" s="5">
        <v>0</v>
      </c>
      <c r="L518" s="26" t="b">
        <f t="shared" si="43"/>
        <v>1</v>
      </c>
      <c r="M518" s="26" t="str">
        <f t="shared" si="40"/>
        <v>call</v>
      </c>
      <c r="N518" s="28">
        <f t="shared" si="41"/>
        <v>46038</v>
      </c>
      <c r="O518" s="29">
        <f t="shared" si="42"/>
        <v>103</v>
      </c>
    </row>
    <row r="519" spans="1:15" x14ac:dyDescent="0.45">
      <c r="A519" s="1" t="s">
        <v>612</v>
      </c>
      <c r="B519" s="2">
        <v>45667.532638888886</v>
      </c>
      <c r="C519" s="3">
        <v>55</v>
      </c>
      <c r="D519" s="4">
        <v>201.95</v>
      </c>
      <c r="E519" s="4">
        <v>202.45</v>
      </c>
      <c r="F519" s="4">
        <v>204.4</v>
      </c>
      <c r="G519" s="6">
        <v>0</v>
      </c>
      <c r="H519" s="7">
        <v>0</v>
      </c>
      <c r="I519" s="4">
        <v>1</v>
      </c>
      <c r="J519" s="4">
        <v>311</v>
      </c>
      <c r="K519" s="5">
        <v>1.3231999999999999</v>
      </c>
      <c r="L519" s="26" t="b">
        <f t="shared" si="43"/>
        <v>1</v>
      </c>
      <c r="M519" s="26" t="str">
        <f t="shared" si="40"/>
        <v>call</v>
      </c>
      <c r="N519" s="28">
        <f t="shared" si="41"/>
        <v>46038</v>
      </c>
      <c r="O519" s="29">
        <f t="shared" si="42"/>
        <v>103</v>
      </c>
    </row>
    <row r="520" spans="1:15" x14ac:dyDescent="0.45">
      <c r="A520" s="1" t="s">
        <v>613</v>
      </c>
      <c r="B520" s="2">
        <v>45999.51458333333</v>
      </c>
      <c r="C520" s="3">
        <v>60</v>
      </c>
      <c r="D520" s="4">
        <v>171.17</v>
      </c>
      <c r="E520" s="4">
        <v>195.05</v>
      </c>
      <c r="F520" s="4">
        <v>197.3</v>
      </c>
      <c r="G520" s="6">
        <v>0</v>
      </c>
      <c r="H520" s="7">
        <v>0</v>
      </c>
      <c r="I520" s="4">
        <v>1</v>
      </c>
      <c r="J520" s="4">
        <v>379</v>
      </c>
      <c r="K520" s="5">
        <v>0</v>
      </c>
      <c r="L520" s="26" t="b">
        <f t="shared" si="43"/>
        <v>1</v>
      </c>
      <c r="M520" s="26" t="str">
        <f t="shared" si="40"/>
        <v>call</v>
      </c>
      <c r="N520" s="28">
        <f t="shared" si="41"/>
        <v>46038</v>
      </c>
      <c r="O520" s="29">
        <f t="shared" si="42"/>
        <v>103</v>
      </c>
    </row>
    <row r="521" spans="1:15" x14ac:dyDescent="0.45">
      <c r="A521" s="1" t="s">
        <v>614</v>
      </c>
      <c r="B521" s="2">
        <v>45667.532638888886</v>
      </c>
      <c r="C521" s="3">
        <v>65</v>
      </c>
      <c r="D521" s="4">
        <v>192.17</v>
      </c>
      <c r="E521" s="4">
        <v>192.55</v>
      </c>
      <c r="F521" s="4">
        <v>194.8</v>
      </c>
      <c r="G521" s="6">
        <v>0</v>
      </c>
      <c r="H521" s="7">
        <v>0</v>
      </c>
      <c r="I521" s="4">
        <v>1</v>
      </c>
      <c r="J521" s="4">
        <v>83</v>
      </c>
      <c r="K521" s="5">
        <v>1.2705</v>
      </c>
      <c r="L521" s="26" t="b">
        <f t="shared" si="43"/>
        <v>1</v>
      </c>
      <c r="M521" s="26" t="str">
        <f t="shared" si="40"/>
        <v>call</v>
      </c>
      <c r="N521" s="28">
        <f t="shared" si="41"/>
        <v>46038</v>
      </c>
      <c r="O521" s="29">
        <f t="shared" si="42"/>
        <v>103</v>
      </c>
    </row>
    <row r="522" spans="1:15" x14ac:dyDescent="0.45">
      <c r="A522" s="1" t="s">
        <v>615</v>
      </c>
      <c r="B522" s="4" t="s">
        <v>616</v>
      </c>
      <c r="C522" s="3">
        <v>70</v>
      </c>
      <c r="D522" s="4">
        <v>184.97</v>
      </c>
      <c r="E522" s="4">
        <v>187.7</v>
      </c>
      <c r="F522" s="4">
        <v>189.55</v>
      </c>
      <c r="G522" s="6">
        <v>0</v>
      </c>
      <c r="H522" s="7">
        <v>0</v>
      </c>
      <c r="I522" s="4">
        <v>1</v>
      </c>
      <c r="J522" s="4">
        <v>223</v>
      </c>
      <c r="K522" s="5">
        <v>1.1903999999999999</v>
      </c>
      <c r="L522" s="26" t="b">
        <f t="shared" si="43"/>
        <v>1</v>
      </c>
      <c r="M522" s="26" t="str">
        <f t="shared" si="40"/>
        <v>call</v>
      </c>
      <c r="N522" s="28">
        <f t="shared" si="41"/>
        <v>46038</v>
      </c>
      <c r="O522" s="29">
        <f t="shared" si="42"/>
        <v>103</v>
      </c>
    </row>
    <row r="523" spans="1:15" x14ac:dyDescent="0.45">
      <c r="A523" s="1" t="s">
        <v>617</v>
      </c>
      <c r="B523" s="2">
        <v>45667.533333333333</v>
      </c>
      <c r="C523" s="3">
        <v>75</v>
      </c>
      <c r="D523" s="4">
        <v>182.23</v>
      </c>
      <c r="E523" s="4">
        <v>182.7</v>
      </c>
      <c r="F523" s="4">
        <v>184.65</v>
      </c>
      <c r="G523" s="6">
        <v>0</v>
      </c>
      <c r="H523" s="7">
        <v>0</v>
      </c>
      <c r="I523" s="4">
        <v>2</v>
      </c>
      <c r="J523" s="4">
        <v>268</v>
      </c>
      <c r="K523" s="5">
        <v>1.1439999999999999</v>
      </c>
      <c r="L523" s="26" t="b">
        <f t="shared" si="43"/>
        <v>1</v>
      </c>
      <c r="M523" s="26" t="str">
        <f t="shared" si="40"/>
        <v>call</v>
      </c>
      <c r="N523" s="28">
        <f t="shared" si="41"/>
        <v>46038</v>
      </c>
      <c r="O523" s="29">
        <f t="shared" si="42"/>
        <v>103</v>
      </c>
    </row>
    <row r="524" spans="1:15" x14ac:dyDescent="0.45">
      <c r="A524" s="1" t="s">
        <v>618</v>
      </c>
      <c r="B524" s="4" t="s">
        <v>619</v>
      </c>
      <c r="C524" s="3">
        <v>80</v>
      </c>
      <c r="D524" s="4">
        <v>172.78</v>
      </c>
      <c r="E524" s="4">
        <v>177.15</v>
      </c>
      <c r="F524" s="4">
        <v>179.95</v>
      </c>
      <c r="G524" s="6">
        <v>0</v>
      </c>
      <c r="H524" s="7">
        <v>0</v>
      </c>
      <c r="I524" s="4">
        <v>4</v>
      </c>
      <c r="J524" s="4">
        <v>664</v>
      </c>
      <c r="K524" s="5">
        <v>1.0523</v>
      </c>
      <c r="L524" s="26" t="b">
        <f t="shared" si="43"/>
        <v>1</v>
      </c>
      <c r="M524" s="26" t="str">
        <f t="shared" si="40"/>
        <v>call</v>
      </c>
      <c r="N524" s="28">
        <f t="shared" si="41"/>
        <v>46038</v>
      </c>
      <c r="O524" s="29">
        <f t="shared" si="42"/>
        <v>103</v>
      </c>
    </row>
    <row r="525" spans="1:15" x14ac:dyDescent="0.45">
      <c r="A525" s="1" t="s">
        <v>620</v>
      </c>
      <c r="B525" s="2">
        <v>45667.533333333333</v>
      </c>
      <c r="C525" s="3">
        <v>85</v>
      </c>
      <c r="D525" s="4">
        <v>172.35</v>
      </c>
      <c r="E525" s="4">
        <v>172.8</v>
      </c>
      <c r="F525" s="4">
        <v>174.8</v>
      </c>
      <c r="G525" s="6">
        <v>0</v>
      </c>
      <c r="H525" s="7">
        <v>0</v>
      </c>
      <c r="I525" s="4">
        <v>1</v>
      </c>
      <c r="J525" s="4">
        <v>239</v>
      </c>
      <c r="K525" s="5">
        <v>1.0634999999999999</v>
      </c>
      <c r="L525" s="26" t="b">
        <f t="shared" si="43"/>
        <v>1</v>
      </c>
      <c r="M525" s="26" t="str">
        <f t="shared" si="40"/>
        <v>call</v>
      </c>
      <c r="N525" s="28">
        <f t="shared" si="41"/>
        <v>46038</v>
      </c>
      <c r="O525" s="29">
        <f t="shared" si="42"/>
        <v>103</v>
      </c>
    </row>
    <row r="526" spans="1:15" x14ac:dyDescent="0.45">
      <c r="A526" s="1" t="s">
        <v>621</v>
      </c>
      <c r="B526" s="4" t="s">
        <v>622</v>
      </c>
      <c r="C526" s="3">
        <v>90</v>
      </c>
      <c r="D526" s="4">
        <v>152.62</v>
      </c>
      <c r="E526" s="4">
        <v>167.95</v>
      </c>
      <c r="F526" s="4">
        <v>169.8</v>
      </c>
      <c r="G526" s="8">
        <v>0</v>
      </c>
      <c r="H526" s="9">
        <v>0</v>
      </c>
      <c r="I526" s="4">
        <v>3</v>
      </c>
      <c r="J526" s="4">
        <v>256</v>
      </c>
      <c r="K526" s="5">
        <v>1.0278</v>
      </c>
      <c r="L526" s="26" t="b">
        <f t="shared" si="43"/>
        <v>1</v>
      </c>
      <c r="M526" s="26" t="str">
        <f t="shared" si="40"/>
        <v>call</v>
      </c>
      <c r="N526" s="28">
        <f t="shared" si="41"/>
        <v>46038</v>
      </c>
      <c r="O526" s="29">
        <f t="shared" si="42"/>
        <v>103</v>
      </c>
    </row>
    <row r="527" spans="1:15" x14ac:dyDescent="0.45">
      <c r="A527" s="1" t="s">
        <v>623</v>
      </c>
      <c r="B527" s="4" t="s">
        <v>624</v>
      </c>
      <c r="C527" s="3">
        <v>95</v>
      </c>
      <c r="D527" s="4">
        <v>160.11000000000001</v>
      </c>
      <c r="E527" s="4">
        <v>162.94999999999999</v>
      </c>
      <c r="F527" s="4">
        <v>164.9</v>
      </c>
      <c r="G527" s="6">
        <v>0</v>
      </c>
      <c r="H527" s="7">
        <v>0</v>
      </c>
      <c r="I527" s="4">
        <v>1</v>
      </c>
      <c r="J527" s="4">
        <v>173</v>
      </c>
      <c r="K527" s="5">
        <v>0.98829999999999996</v>
      </c>
      <c r="L527" s="26" t="b">
        <f t="shared" si="43"/>
        <v>1</v>
      </c>
      <c r="M527" s="26" t="str">
        <f t="shared" si="40"/>
        <v>call</v>
      </c>
      <c r="N527" s="28">
        <f t="shared" si="41"/>
        <v>46038</v>
      </c>
      <c r="O527" s="29">
        <f t="shared" si="42"/>
        <v>103</v>
      </c>
    </row>
    <row r="528" spans="1:15" x14ac:dyDescent="0.45">
      <c r="A528" s="1" t="s">
        <v>625</v>
      </c>
      <c r="B528" s="2">
        <v>45698.651388888888</v>
      </c>
      <c r="C528" s="3">
        <v>100</v>
      </c>
      <c r="D528" s="4">
        <v>158.47999999999999</v>
      </c>
      <c r="E528" s="4">
        <v>157.6</v>
      </c>
      <c r="F528" s="4">
        <v>160.19999999999999</v>
      </c>
      <c r="G528" s="6">
        <v>0</v>
      </c>
      <c r="H528" s="7">
        <v>0</v>
      </c>
      <c r="I528" s="4">
        <v>1</v>
      </c>
      <c r="J528" s="10">
        <v>2037</v>
      </c>
      <c r="K528" s="5">
        <v>0.93700000000000006</v>
      </c>
      <c r="L528" s="26" t="b">
        <f t="shared" si="43"/>
        <v>1</v>
      </c>
      <c r="M528" s="26" t="str">
        <f t="shared" si="40"/>
        <v>call</v>
      </c>
      <c r="N528" s="28">
        <f t="shared" si="41"/>
        <v>46038</v>
      </c>
      <c r="O528" s="29">
        <f t="shared" si="42"/>
        <v>103</v>
      </c>
    </row>
    <row r="529" spans="1:15" x14ac:dyDescent="0.45">
      <c r="A529" s="1" t="s">
        <v>626</v>
      </c>
      <c r="B529" s="4" t="s">
        <v>627</v>
      </c>
      <c r="C529" s="3">
        <v>105</v>
      </c>
      <c r="D529" s="4">
        <v>136.37</v>
      </c>
      <c r="E529" s="4">
        <v>153.1</v>
      </c>
      <c r="F529" s="4">
        <v>154.94999999999999</v>
      </c>
      <c r="G529" s="8">
        <v>0</v>
      </c>
      <c r="H529" s="9">
        <v>0</v>
      </c>
      <c r="I529" s="4">
        <v>10</v>
      </c>
      <c r="J529" s="4">
        <v>209</v>
      </c>
      <c r="K529" s="5">
        <v>0.91359999999999997</v>
      </c>
      <c r="L529" s="26" t="b">
        <f t="shared" si="43"/>
        <v>1</v>
      </c>
      <c r="M529" s="26" t="str">
        <f t="shared" si="40"/>
        <v>call</v>
      </c>
      <c r="N529" s="28">
        <f t="shared" si="41"/>
        <v>46038</v>
      </c>
      <c r="O529" s="29">
        <f t="shared" si="42"/>
        <v>103</v>
      </c>
    </row>
    <row r="530" spans="1:15" x14ac:dyDescent="0.45">
      <c r="A530" s="1" t="s">
        <v>628</v>
      </c>
      <c r="B530" s="2">
        <v>45726.407638888886</v>
      </c>
      <c r="C530" s="3">
        <v>110</v>
      </c>
      <c r="D530" s="4">
        <v>149.84</v>
      </c>
      <c r="E530" s="4">
        <v>148.19999999999999</v>
      </c>
      <c r="F530" s="4">
        <v>150.35</v>
      </c>
      <c r="G530" s="8">
        <v>0.73</v>
      </c>
      <c r="H530" s="9">
        <v>4.8999999999999998E-3</v>
      </c>
      <c r="I530" s="4">
        <v>2</v>
      </c>
      <c r="J530" s="4">
        <v>369</v>
      </c>
      <c r="K530" s="5">
        <v>0.90649999999999997</v>
      </c>
      <c r="L530" s="26" t="b">
        <f t="shared" si="43"/>
        <v>1</v>
      </c>
      <c r="M530" s="26" t="str">
        <f t="shared" si="40"/>
        <v>call</v>
      </c>
      <c r="N530" s="28">
        <f t="shared" si="41"/>
        <v>46038</v>
      </c>
      <c r="O530" s="29">
        <f t="shared" si="42"/>
        <v>103</v>
      </c>
    </row>
    <row r="531" spans="1:15" x14ac:dyDescent="0.45">
      <c r="A531" s="1" t="s">
        <v>629</v>
      </c>
      <c r="B531" s="2">
        <v>45698.597222222219</v>
      </c>
      <c r="C531" s="3">
        <v>115</v>
      </c>
      <c r="D531" s="4">
        <v>144.1</v>
      </c>
      <c r="E531" s="4">
        <v>143.25</v>
      </c>
      <c r="F531" s="4">
        <v>145.5</v>
      </c>
      <c r="G531" s="8">
        <v>0</v>
      </c>
      <c r="H531" s="9">
        <v>0</v>
      </c>
      <c r="I531" s="4">
        <v>1</v>
      </c>
      <c r="J531" s="4">
        <v>301</v>
      </c>
      <c r="K531" s="5">
        <v>0.87670000000000003</v>
      </c>
      <c r="L531" s="26" t="b">
        <f t="shared" si="43"/>
        <v>1</v>
      </c>
      <c r="M531" s="26" t="str">
        <f t="shared" si="40"/>
        <v>call</v>
      </c>
      <c r="N531" s="28">
        <f t="shared" si="41"/>
        <v>46038</v>
      </c>
      <c r="O531" s="29">
        <f t="shared" si="42"/>
        <v>103</v>
      </c>
    </row>
    <row r="532" spans="1:15" x14ac:dyDescent="0.45">
      <c r="A532" s="1" t="s">
        <v>630</v>
      </c>
      <c r="B532" s="2">
        <v>45667.547222222223</v>
      </c>
      <c r="C532" s="3">
        <v>120</v>
      </c>
      <c r="D532" s="4">
        <v>138.36000000000001</v>
      </c>
      <c r="E532" s="4">
        <v>138.05000000000001</v>
      </c>
      <c r="F532" s="4">
        <v>141.15</v>
      </c>
      <c r="G532" s="6">
        <v>0</v>
      </c>
      <c r="H532" s="7">
        <v>0</v>
      </c>
      <c r="I532" s="4">
        <v>1</v>
      </c>
      <c r="J532" s="4">
        <v>801</v>
      </c>
      <c r="K532" s="5">
        <v>0.86109999999999998</v>
      </c>
      <c r="L532" s="26" t="b">
        <f t="shared" si="43"/>
        <v>1</v>
      </c>
      <c r="M532" s="26" t="str">
        <f t="shared" si="40"/>
        <v>call</v>
      </c>
      <c r="N532" s="28">
        <f t="shared" si="41"/>
        <v>46038</v>
      </c>
      <c r="O532" s="29">
        <f t="shared" si="42"/>
        <v>103</v>
      </c>
    </row>
    <row r="533" spans="1:15" x14ac:dyDescent="0.45">
      <c r="A533" s="1" t="s">
        <v>631</v>
      </c>
      <c r="B533" s="2">
        <v>45726.449305555558</v>
      </c>
      <c r="C533" s="3">
        <v>125</v>
      </c>
      <c r="D533" s="4">
        <v>134.94999999999999</v>
      </c>
      <c r="E533" s="4">
        <v>133.94999999999999</v>
      </c>
      <c r="F533" s="4">
        <v>135.05000000000001</v>
      </c>
      <c r="G533" s="6">
        <v>5.49</v>
      </c>
      <c r="H533" s="7">
        <v>4.24E-2</v>
      </c>
      <c r="I533" s="4">
        <v>10</v>
      </c>
      <c r="J533" s="4">
        <v>741</v>
      </c>
      <c r="K533" s="5">
        <v>0.80979999999999996</v>
      </c>
      <c r="L533" s="26" t="b">
        <f t="shared" si="43"/>
        <v>1</v>
      </c>
      <c r="M533" s="26" t="str">
        <f t="shared" si="40"/>
        <v>call</v>
      </c>
      <c r="N533" s="28">
        <f t="shared" si="41"/>
        <v>46038</v>
      </c>
      <c r="O533" s="29">
        <f t="shared" si="42"/>
        <v>103</v>
      </c>
    </row>
    <row r="534" spans="1:15" x14ac:dyDescent="0.45">
      <c r="A534" s="1" t="s">
        <v>632</v>
      </c>
      <c r="B534" s="2">
        <v>45698.636111111111</v>
      </c>
      <c r="C534" s="3">
        <v>130</v>
      </c>
      <c r="D534" s="4">
        <v>129.19999999999999</v>
      </c>
      <c r="E534" s="4">
        <v>128.15</v>
      </c>
      <c r="F534" s="4">
        <v>130.25</v>
      </c>
      <c r="G534" s="6">
        <v>0</v>
      </c>
      <c r="H534" s="7">
        <v>0</v>
      </c>
      <c r="I534" s="4">
        <v>40</v>
      </c>
      <c r="J534" s="4">
        <v>698</v>
      </c>
      <c r="K534" s="5">
        <v>0.73780000000000001</v>
      </c>
      <c r="L534" s="26" t="b">
        <f t="shared" si="43"/>
        <v>1</v>
      </c>
      <c r="M534" s="26" t="str">
        <f t="shared" si="40"/>
        <v>call</v>
      </c>
      <c r="N534" s="28">
        <f t="shared" si="41"/>
        <v>46038</v>
      </c>
      <c r="O534" s="29">
        <f t="shared" si="42"/>
        <v>103</v>
      </c>
    </row>
    <row r="535" spans="1:15" x14ac:dyDescent="0.45">
      <c r="A535" s="1" t="s">
        <v>633</v>
      </c>
      <c r="B535" s="4" t="s">
        <v>634</v>
      </c>
      <c r="C535" s="3">
        <v>135</v>
      </c>
      <c r="D535" s="4">
        <v>121.9</v>
      </c>
      <c r="E535" s="4">
        <v>123.55</v>
      </c>
      <c r="F535" s="4">
        <v>125.65</v>
      </c>
      <c r="G535" s="6">
        <v>0</v>
      </c>
      <c r="H535" s="7">
        <v>0</v>
      </c>
      <c r="I535" s="4">
        <v>1</v>
      </c>
      <c r="J535" s="4">
        <v>387</v>
      </c>
      <c r="K535" s="5">
        <v>0.74390000000000001</v>
      </c>
      <c r="L535" s="26" t="b">
        <f t="shared" si="43"/>
        <v>1</v>
      </c>
      <c r="M535" s="26" t="str">
        <f t="shared" si="40"/>
        <v>call</v>
      </c>
      <c r="N535" s="28">
        <f t="shared" si="41"/>
        <v>46038</v>
      </c>
      <c r="O535" s="29">
        <f t="shared" si="42"/>
        <v>103</v>
      </c>
    </row>
    <row r="536" spans="1:15" x14ac:dyDescent="0.45">
      <c r="A536" s="1" t="s">
        <v>635</v>
      </c>
      <c r="B536" s="4" t="s">
        <v>636</v>
      </c>
      <c r="C536" s="3">
        <v>140</v>
      </c>
      <c r="D536" s="4">
        <v>117.3</v>
      </c>
      <c r="E536" s="4">
        <v>118.25</v>
      </c>
      <c r="F536" s="4">
        <v>120.45</v>
      </c>
      <c r="G536" s="6">
        <v>0</v>
      </c>
      <c r="H536" s="7">
        <v>0</v>
      </c>
      <c r="I536" s="4">
        <v>1</v>
      </c>
      <c r="J536" s="10">
        <v>1233</v>
      </c>
      <c r="K536" s="5">
        <v>0.68340000000000001</v>
      </c>
      <c r="L536" s="26" t="b">
        <f t="shared" si="43"/>
        <v>1</v>
      </c>
      <c r="M536" s="26" t="str">
        <f t="shared" si="40"/>
        <v>call</v>
      </c>
      <c r="N536" s="28">
        <f t="shared" si="41"/>
        <v>46038</v>
      </c>
      <c r="O536" s="29">
        <f t="shared" si="42"/>
        <v>103</v>
      </c>
    </row>
    <row r="537" spans="1:15" x14ac:dyDescent="0.45">
      <c r="A537" s="1" t="s">
        <v>637</v>
      </c>
      <c r="B537" s="4" t="s">
        <v>638</v>
      </c>
      <c r="C537" s="3">
        <v>145</v>
      </c>
      <c r="D537" s="4">
        <v>114</v>
      </c>
      <c r="E537" s="4">
        <v>113.9</v>
      </c>
      <c r="F537" s="4">
        <v>115.35</v>
      </c>
      <c r="G537" s="8">
        <v>0</v>
      </c>
      <c r="H537" s="9">
        <v>0</v>
      </c>
      <c r="I537" s="4">
        <v>1</v>
      </c>
      <c r="J537" s="4">
        <v>311</v>
      </c>
      <c r="K537" s="5">
        <v>0.67479999999999996</v>
      </c>
      <c r="L537" s="26" t="b">
        <f t="shared" si="43"/>
        <v>1</v>
      </c>
      <c r="M537" s="26" t="str">
        <f t="shared" si="40"/>
        <v>call</v>
      </c>
      <c r="N537" s="28">
        <f t="shared" si="41"/>
        <v>46038</v>
      </c>
      <c r="O537" s="29">
        <f t="shared" si="42"/>
        <v>103</v>
      </c>
    </row>
    <row r="538" spans="1:15" x14ac:dyDescent="0.45">
      <c r="A538" s="1" t="s">
        <v>639</v>
      </c>
      <c r="B538" s="2">
        <v>45726.449305555558</v>
      </c>
      <c r="C538" s="3">
        <v>150</v>
      </c>
      <c r="D538" s="4">
        <v>109.75</v>
      </c>
      <c r="E538" s="4">
        <v>108.9</v>
      </c>
      <c r="F538" s="4">
        <v>110.55</v>
      </c>
      <c r="G538" s="6">
        <v>0</v>
      </c>
      <c r="H538" s="7">
        <v>0</v>
      </c>
      <c r="I538" s="4">
        <v>3</v>
      </c>
      <c r="J538" s="10">
        <v>57708</v>
      </c>
      <c r="K538" s="5">
        <v>0.64929999999999999</v>
      </c>
      <c r="L538" s="26" t="b">
        <f t="shared" si="43"/>
        <v>1</v>
      </c>
      <c r="M538" s="26" t="str">
        <f t="shared" si="40"/>
        <v>call</v>
      </c>
      <c r="N538" s="28">
        <f t="shared" si="41"/>
        <v>46038</v>
      </c>
      <c r="O538" s="29">
        <f t="shared" si="42"/>
        <v>103</v>
      </c>
    </row>
    <row r="539" spans="1:15" x14ac:dyDescent="0.45">
      <c r="A539" s="1" t="s">
        <v>640</v>
      </c>
      <c r="B539" s="2">
        <v>45667.401388888888</v>
      </c>
      <c r="C539" s="3">
        <v>155</v>
      </c>
      <c r="D539" s="4">
        <v>105.9</v>
      </c>
      <c r="E539" s="4">
        <v>104.65</v>
      </c>
      <c r="F539" s="4">
        <v>105.95</v>
      </c>
      <c r="G539" s="4">
        <v>0</v>
      </c>
      <c r="H539" s="5">
        <v>0</v>
      </c>
      <c r="I539" s="4">
        <v>1</v>
      </c>
      <c r="J539" s="10">
        <v>2250</v>
      </c>
      <c r="K539" s="5">
        <v>0.65810000000000002</v>
      </c>
      <c r="L539" s="26" t="b">
        <f t="shared" si="43"/>
        <v>1</v>
      </c>
      <c r="M539" s="26" t="str">
        <f t="shared" si="40"/>
        <v>call</v>
      </c>
      <c r="N539" s="28">
        <f t="shared" si="41"/>
        <v>46038</v>
      </c>
      <c r="O539" s="29">
        <f t="shared" si="42"/>
        <v>103</v>
      </c>
    </row>
    <row r="540" spans="1:15" x14ac:dyDescent="0.45">
      <c r="A540" s="1" t="s">
        <v>641</v>
      </c>
      <c r="B540" s="2">
        <v>45726.654861111114</v>
      </c>
      <c r="C540" s="3">
        <v>160</v>
      </c>
      <c r="D540" s="4">
        <v>100.4</v>
      </c>
      <c r="E540" s="4">
        <v>99.9</v>
      </c>
      <c r="F540" s="4">
        <v>100.65</v>
      </c>
      <c r="G540" s="8">
        <v>1.02</v>
      </c>
      <c r="H540" s="9">
        <v>1.03E-2</v>
      </c>
      <c r="I540" s="4">
        <v>5</v>
      </c>
      <c r="J540" s="10">
        <v>10459</v>
      </c>
      <c r="K540" s="5">
        <v>0.62229999999999996</v>
      </c>
      <c r="L540" s="26" t="b">
        <f t="shared" si="43"/>
        <v>1</v>
      </c>
      <c r="M540" s="26" t="str">
        <f t="shared" si="40"/>
        <v>call</v>
      </c>
      <c r="N540" s="28">
        <f t="shared" si="41"/>
        <v>46038</v>
      </c>
      <c r="O540" s="29">
        <f t="shared" si="42"/>
        <v>103</v>
      </c>
    </row>
    <row r="541" spans="1:15" x14ac:dyDescent="0.45">
      <c r="A541" s="1" t="s">
        <v>642</v>
      </c>
      <c r="B541" s="2">
        <v>45726.413888888892</v>
      </c>
      <c r="C541" s="3">
        <v>165</v>
      </c>
      <c r="D541" s="4">
        <v>95.78</v>
      </c>
      <c r="E541" s="4">
        <v>94.2</v>
      </c>
      <c r="F541" s="4">
        <v>96.05</v>
      </c>
      <c r="G541" s="4">
        <v>0.99</v>
      </c>
      <c r="H541" s="5">
        <v>1.04E-2</v>
      </c>
      <c r="I541" s="4">
        <v>2</v>
      </c>
      <c r="J541" s="10">
        <v>6208</v>
      </c>
      <c r="K541" s="5">
        <v>0.57969999999999999</v>
      </c>
      <c r="L541" s="26" t="b">
        <f t="shared" si="43"/>
        <v>1</v>
      </c>
      <c r="M541" s="26" t="str">
        <f t="shared" si="40"/>
        <v>call</v>
      </c>
      <c r="N541" s="28">
        <f t="shared" si="41"/>
        <v>46038</v>
      </c>
      <c r="O541" s="29">
        <f t="shared" si="42"/>
        <v>103</v>
      </c>
    </row>
    <row r="542" spans="1:15" x14ac:dyDescent="0.45">
      <c r="A542" s="1" t="s">
        <v>643</v>
      </c>
      <c r="B542" s="2">
        <v>45726.65902777778</v>
      </c>
      <c r="C542" s="3">
        <v>170</v>
      </c>
      <c r="D542" s="4">
        <v>90.5</v>
      </c>
      <c r="E542" s="4">
        <v>90.05</v>
      </c>
      <c r="F542" s="4">
        <v>90.85</v>
      </c>
      <c r="G542" s="8">
        <v>0.7</v>
      </c>
      <c r="H542" s="9">
        <v>7.7999999999999996E-3</v>
      </c>
      <c r="I542" s="4">
        <v>301</v>
      </c>
      <c r="J542" s="10">
        <v>5150</v>
      </c>
      <c r="K542" s="5">
        <v>0.5675</v>
      </c>
      <c r="L542" s="26" t="b">
        <f t="shared" si="43"/>
        <v>1</v>
      </c>
      <c r="M542" s="26" t="str">
        <f t="shared" si="40"/>
        <v>call</v>
      </c>
      <c r="N542" s="28">
        <f t="shared" si="41"/>
        <v>46038</v>
      </c>
      <c r="O542" s="29">
        <f t="shared" si="42"/>
        <v>103</v>
      </c>
    </row>
    <row r="543" spans="1:15" x14ac:dyDescent="0.45">
      <c r="A543" s="1" t="s">
        <v>644</v>
      </c>
      <c r="B543" s="2">
        <v>45726.413888888892</v>
      </c>
      <c r="C543" s="3">
        <v>175</v>
      </c>
      <c r="D543" s="4">
        <v>86.01</v>
      </c>
      <c r="E543" s="4">
        <v>85.1</v>
      </c>
      <c r="F543" s="4">
        <v>86.15</v>
      </c>
      <c r="G543" s="8">
        <v>1.05</v>
      </c>
      <c r="H543" s="9">
        <v>1.24E-2</v>
      </c>
      <c r="I543" s="4">
        <v>3</v>
      </c>
      <c r="J543" s="10">
        <v>16811</v>
      </c>
      <c r="K543" s="5">
        <v>0.54530000000000001</v>
      </c>
      <c r="L543" s="26" t="b">
        <f t="shared" si="43"/>
        <v>1</v>
      </c>
      <c r="M543" s="26" t="str">
        <f t="shared" si="40"/>
        <v>call</v>
      </c>
      <c r="N543" s="28">
        <f t="shared" si="41"/>
        <v>46038</v>
      </c>
      <c r="O543" s="29">
        <f t="shared" si="42"/>
        <v>103</v>
      </c>
    </row>
    <row r="544" spans="1:15" x14ac:dyDescent="0.45">
      <c r="A544" s="1" t="s">
        <v>645</v>
      </c>
      <c r="B544" s="2">
        <v>45726.637499999997</v>
      </c>
      <c r="C544" s="3">
        <v>180</v>
      </c>
      <c r="D544" s="4">
        <v>80.67</v>
      </c>
      <c r="E544" s="4">
        <v>79.7</v>
      </c>
      <c r="F544" s="4">
        <v>81.75</v>
      </c>
      <c r="G544" s="8">
        <v>-0.01</v>
      </c>
      <c r="H544" s="9">
        <v>-1E-4</v>
      </c>
      <c r="I544" s="4">
        <v>16</v>
      </c>
      <c r="J544" s="10">
        <v>43395</v>
      </c>
      <c r="K544" s="5">
        <v>0.51890000000000003</v>
      </c>
      <c r="L544" s="26" t="b">
        <f t="shared" si="43"/>
        <v>1</v>
      </c>
      <c r="M544" s="26" t="str">
        <f t="shared" si="40"/>
        <v>call</v>
      </c>
      <c r="N544" s="28">
        <f t="shared" si="41"/>
        <v>46038</v>
      </c>
      <c r="O544" s="29">
        <f t="shared" si="42"/>
        <v>103</v>
      </c>
    </row>
    <row r="545" spans="1:15" x14ac:dyDescent="0.45">
      <c r="A545" s="1" t="s">
        <v>646</v>
      </c>
      <c r="B545" s="2">
        <v>45698.651388888888</v>
      </c>
      <c r="C545" s="3">
        <v>185</v>
      </c>
      <c r="D545" s="4">
        <v>75.69</v>
      </c>
      <c r="E545" s="4">
        <v>75.55</v>
      </c>
      <c r="F545" s="4">
        <v>76.8</v>
      </c>
      <c r="G545" s="8">
        <v>0</v>
      </c>
      <c r="H545" s="9">
        <v>0</v>
      </c>
      <c r="I545" s="4">
        <v>5</v>
      </c>
      <c r="J545" s="10">
        <v>6857</v>
      </c>
      <c r="K545" s="5">
        <v>0.50919999999999999</v>
      </c>
      <c r="L545" s="26" t="b">
        <f t="shared" si="43"/>
        <v>1</v>
      </c>
      <c r="M545" s="26" t="str">
        <f t="shared" si="40"/>
        <v>call</v>
      </c>
      <c r="N545" s="28">
        <f t="shared" si="41"/>
        <v>46038</v>
      </c>
      <c r="O545" s="29">
        <f t="shared" si="42"/>
        <v>103</v>
      </c>
    </row>
    <row r="546" spans="1:15" x14ac:dyDescent="0.45">
      <c r="A546" s="1" t="s">
        <v>647</v>
      </c>
      <c r="B546" s="2">
        <v>45726.511805555558</v>
      </c>
      <c r="C546" s="3">
        <v>190</v>
      </c>
      <c r="D546" s="4">
        <v>71.900000000000006</v>
      </c>
      <c r="E546" s="4">
        <v>70.2</v>
      </c>
      <c r="F546" s="4">
        <v>71.8</v>
      </c>
      <c r="G546" s="8">
        <v>1.1299999999999999</v>
      </c>
      <c r="H546" s="9">
        <v>1.6E-2</v>
      </c>
      <c r="I546" s="4">
        <v>107</v>
      </c>
      <c r="J546" s="10">
        <v>5116</v>
      </c>
      <c r="K546" s="5">
        <v>0.50419999999999998</v>
      </c>
      <c r="L546" s="26" t="b">
        <f t="shared" si="43"/>
        <v>1</v>
      </c>
      <c r="M546" s="26" t="str">
        <f t="shared" si="40"/>
        <v>call</v>
      </c>
      <c r="N546" s="28">
        <f t="shared" si="41"/>
        <v>46038</v>
      </c>
      <c r="O546" s="29">
        <f t="shared" si="42"/>
        <v>103</v>
      </c>
    </row>
    <row r="547" spans="1:15" x14ac:dyDescent="0.45">
      <c r="A547" s="1" t="s">
        <v>648</v>
      </c>
      <c r="B547" s="2">
        <v>45726.538888888892</v>
      </c>
      <c r="C547" s="3">
        <v>195</v>
      </c>
      <c r="D547" s="4">
        <v>65.599999999999994</v>
      </c>
      <c r="E547" s="4">
        <v>65.900000000000006</v>
      </c>
      <c r="F547" s="4">
        <v>66.8</v>
      </c>
      <c r="G547" s="8">
        <v>-0.66</v>
      </c>
      <c r="H547" s="9">
        <v>-0.01</v>
      </c>
      <c r="I547" s="4">
        <v>21</v>
      </c>
      <c r="J547" s="10">
        <v>7141</v>
      </c>
      <c r="K547" s="5">
        <v>0.47220000000000001</v>
      </c>
      <c r="L547" s="26" t="b">
        <f t="shared" si="43"/>
        <v>1</v>
      </c>
      <c r="M547" s="26" t="str">
        <f t="shared" si="40"/>
        <v>call</v>
      </c>
      <c r="N547" s="28">
        <f t="shared" si="41"/>
        <v>46038</v>
      </c>
      <c r="O547" s="29">
        <f t="shared" si="42"/>
        <v>103</v>
      </c>
    </row>
    <row r="548" spans="1:15" x14ac:dyDescent="0.45">
      <c r="A548" s="1" t="s">
        <v>649</v>
      </c>
      <c r="B548" s="2">
        <v>45726.65902777778</v>
      </c>
      <c r="C548" s="3">
        <v>200</v>
      </c>
      <c r="D548" s="4">
        <v>61.31</v>
      </c>
      <c r="E548" s="4">
        <v>61.05</v>
      </c>
      <c r="F548" s="4">
        <v>61.95</v>
      </c>
      <c r="G548" s="8">
        <v>0.11</v>
      </c>
      <c r="H548" s="9">
        <v>1.8E-3</v>
      </c>
      <c r="I548" s="4">
        <v>241</v>
      </c>
      <c r="J548" s="10">
        <v>20529</v>
      </c>
      <c r="K548" s="5">
        <v>0.44619999999999999</v>
      </c>
      <c r="L548" s="26" t="b">
        <f t="shared" si="43"/>
        <v>1</v>
      </c>
      <c r="M548" s="26" t="str">
        <f t="shared" si="40"/>
        <v>call</v>
      </c>
      <c r="N548" s="28">
        <f t="shared" si="41"/>
        <v>46038</v>
      </c>
      <c r="O548" s="29">
        <f t="shared" si="42"/>
        <v>103</v>
      </c>
    </row>
    <row r="549" spans="1:15" x14ac:dyDescent="0.45">
      <c r="A549" s="1" t="s">
        <v>650</v>
      </c>
      <c r="B549" s="2">
        <v>45726.587500000001</v>
      </c>
      <c r="C549" s="3">
        <v>205</v>
      </c>
      <c r="D549" s="4">
        <v>55.94</v>
      </c>
      <c r="E549" s="4">
        <v>56.45</v>
      </c>
      <c r="F549" s="4">
        <v>57.1</v>
      </c>
      <c r="G549" s="8">
        <v>-0.66</v>
      </c>
      <c r="H549" s="9">
        <v>-1.17E-2</v>
      </c>
      <c r="I549" s="4">
        <v>35</v>
      </c>
      <c r="J549" s="10">
        <v>5003</v>
      </c>
      <c r="K549" s="5">
        <v>0.42020000000000002</v>
      </c>
      <c r="L549" s="26" t="b">
        <f t="shared" si="43"/>
        <v>1</v>
      </c>
      <c r="M549" s="26" t="str">
        <f t="shared" si="40"/>
        <v>call</v>
      </c>
      <c r="N549" s="28">
        <f t="shared" si="41"/>
        <v>46038</v>
      </c>
      <c r="O549" s="29">
        <f t="shared" si="42"/>
        <v>103</v>
      </c>
    </row>
    <row r="550" spans="1:15" x14ac:dyDescent="0.45">
      <c r="A550" s="1" t="s">
        <v>651</v>
      </c>
      <c r="B550" s="2">
        <v>45726.622916666667</v>
      </c>
      <c r="C550" s="3">
        <v>210</v>
      </c>
      <c r="D550" s="4">
        <v>52.62</v>
      </c>
      <c r="E550" s="4">
        <v>51.95</v>
      </c>
      <c r="F550" s="4">
        <v>52.25</v>
      </c>
      <c r="G550" s="8">
        <v>0.52</v>
      </c>
      <c r="H550" s="9">
        <v>0.01</v>
      </c>
      <c r="I550" s="4">
        <v>45</v>
      </c>
      <c r="J550" s="10">
        <v>14905</v>
      </c>
      <c r="K550" s="5">
        <v>0.39389999999999997</v>
      </c>
      <c r="L550" s="26" t="b">
        <f t="shared" si="43"/>
        <v>1</v>
      </c>
      <c r="M550" s="26" t="str">
        <f t="shared" si="40"/>
        <v>call</v>
      </c>
      <c r="N550" s="28">
        <f t="shared" si="41"/>
        <v>46038</v>
      </c>
      <c r="O550" s="29">
        <f t="shared" si="42"/>
        <v>103</v>
      </c>
    </row>
    <row r="551" spans="1:15" x14ac:dyDescent="0.45">
      <c r="A551" s="1" t="s">
        <v>652</v>
      </c>
      <c r="B551" s="2">
        <v>45726.646527777775</v>
      </c>
      <c r="C551" s="3">
        <v>215</v>
      </c>
      <c r="D551" s="4">
        <v>47.58</v>
      </c>
      <c r="E551" s="4">
        <v>47.45</v>
      </c>
      <c r="F551" s="4">
        <v>47.8</v>
      </c>
      <c r="G551" s="8">
        <v>0.01</v>
      </c>
      <c r="H551" s="9">
        <v>2.0000000000000001E-4</v>
      </c>
      <c r="I551" s="4">
        <v>30</v>
      </c>
      <c r="J551" s="10">
        <v>12006</v>
      </c>
      <c r="K551" s="5">
        <v>0.37959999999999999</v>
      </c>
      <c r="L551" s="26" t="b">
        <f t="shared" si="43"/>
        <v>1</v>
      </c>
      <c r="M551" s="26" t="str">
        <f t="shared" si="40"/>
        <v>call</v>
      </c>
      <c r="N551" s="28">
        <f t="shared" si="41"/>
        <v>46038</v>
      </c>
      <c r="O551" s="29">
        <f t="shared" si="42"/>
        <v>103</v>
      </c>
    </row>
    <row r="552" spans="1:15" x14ac:dyDescent="0.45">
      <c r="A552" s="1" t="s">
        <v>653</v>
      </c>
      <c r="B552" s="2">
        <v>45726.654166666667</v>
      </c>
      <c r="C552" s="3">
        <v>220</v>
      </c>
      <c r="D552" s="4">
        <v>42.88</v>
      </c>
      <c r="E552" s="4">
        <v>43</v>
      </c>
      <c r="F552" s="4">
        <v>43.3</v>
      </c>
      <c r="G552" s="8">
        <v>0.23</v>
      </c>
      <c r="H552" s="9">
        <v>5.4000000000000003E-3</v>
      </c>
      <c r="I552" s="4">
        <v>198</v>
      </c>
      <c r="J552" s="10">
        <v>14561</v>
      </c>
      <c r="K552" s="5">
        <v>0.3619</v>
      </c>
      <c r="L552" s="26" t="b">
        <f t="shared" si="43"/>
        <v>1</v>
      </c>
      <c r="M552" s="26" t="str">
        <f t="shared" si="40"/>
        <v>call</v>
      </c>
      <c r="N552" s="28">
        <f t="shared" si="41"/>
        <v>46038</v>
      </c>
      <c r="O552" s="29">
        <f t="shared" si="42"/>
        <v>103</v>
      </c>
    </row>
    <row r="553" spans="1:15" x14ac:dyDescent="0.45">
      <c r="A553" s="1" t="s">
        <v>654</v>
      </c>
      <c r="B553" s="2">
        <v>45726.631944444445</v>
      </c>
      <c r="C553" s="3">
        <v>225</v>
      </c>
      <c r="D553" s="4">
        <v>38.5</v>
      </c>
      <c r="E553" s="4">
        <v>38.65</v>
      </c>
      <c r="F553" s="4">
        <v>38.9</v>
      </c>
      <c r="G553" s="8">
        <v>0.28999999999999998</v>
      </c>
      <c r="H553" s="9">
        <v>7.6E-3</v>
      </c>
      <c r="I553" s="4">
        <v>470</v>
      </c>
      <c r="J553" s="10">
        <v>25901</v>
      </c>
      <c r="K553" s="5">
        <v>0.34510000000000002</v>
      </c>
      <c r="L553" s="26" t="b">
        <f t="shared" si="43"/>
        <v>1</v>
      </c>
      <c r="M553" s="26" t="str">
        <f t="shared" si="40"/>
        <v>call</v>
      </c>
      <c r="N553" s="28">
        <f t="shared" si="41"/>
        <v>46038</v>
      </c>
      <c r="O553" s="29">
        <f t="shared" si="42"/>
        <v>103</v>
      </c>
    </row>
    <row r="554" spans="1:15" x14ac:dyDescent="0.45">
      <c r="A554" s="1" t="s">
        <v>655</v>
      </c>
      <c r="B554" s="2">
        <v>45726.65902777778</v>
      </c>
      <c r="C554" s="3">
        <v>230</v>
      </c>
      <c r="D554" s="4">
        <v>34.619999999999997</v>
      </c>
      <c r="E554" s="4">
        <v>34.450000000000003</v>
      </c>
      <c r="F554" s="4">
        <v>34.700000000000003</v>
      </c>
      <c r="G554" s="4">
        <v>0.6</v>
      </c>
      <c r="H554" s="5">
        <v>1.7600000000000001E-2</v>
      </c>
      <c r="I554" s="4">
        <v>230</v>
      </c>
      <c r="J554" s="10">
        <v>22563</v>
      </c>
      <c r="K554" s="5">
        <v>0.33119999999999999</v>
      </c>
      <c r="L554" s="26" t="b">
        <f t="shared" si="43"/>
        <v>1</v>
      </c>
      <c r="M554" s="26" t="str">
        <f t="shared" si="40"/>
        <v>call</v>
      </c>
      <c r="N554" s="28">
        <f t="shared" si="41"/>
        <v>46038</v>
      </c>
      <c r="O554" s="29">
        <f t="shared" si="42"/>
        <v>103</v>
      </c>
    </row>
    <row r="555" spans="1:15" x14ac:dyDescent="0.45">
      <c r="A555" s="1" t="s">
        <v>656</v>
      </c>
      <c r="B555" s="2">
        <v>45726.657638888886</v>
      </c>
      <c r="C555" s="3">
        <v>235</v>
      </c>
      <c r="D555" s="4">
        <v>30.4</v>
      </c>
      <c r="E555" s="4">
        <v>30.35</v>
      </c>
      <c r="F555" s="4">
        <v>30.6</v>
      </c>
      <c r="G555" s="8">
        <v>0.19</v>
      </c>
      <c r="H555" s="9">
        <v>6.3E-3</v>
      </c>
      <c r="I555" s="10">
        <v>1037</v>
      </c>
      <c r="J555" s="10">
        <v>26404</v>
      </c>
      <c r="K555" s="5">
        <v>0.317</v>
      </c>
      <c r="L555" s="26" t="b">
        <f t="shared" si="43"/>
        <v>1</v>
      </c>
      <c r="M555" s="26" t="str">
        <f t="shared" si="40"/>
        <v>call</v>
      </c>
      <c r="N555" s="28">
        <f t="shared" si="41"/>
        <v>46038</v>
      </c>
      <c r="O555" s="29">
        <f t="shared" si="42"/>
        <v>103</v>
      </c>
    </row>
    <row r="556" spans="1:15" x14ac:dyDescent="0.45">
      <c r="A556" s="1" t="s">
        <v>657</v>
      </c>
      <c r="B556" s="2">
        <v>45726.652083333334</v>
      </c>
      <c r="C556" s="3">
        <v>240</v>
      </c>
      <c r="D556" s="4">
        <v>26.4</v>
      </c>
      <c r="E556" s="4">
        <v>26.5</v>
      </c>
      <c r="F556" s="4">
        <v>26.75</v>
      </c>
      <c r="G556" s="4">
        <v>-0.12</v>
      </c>
      <c r="H556" s="5">
        <v>-4.4999999999999997E-3</v>
      </c>
      <c r="I556" s="4">
        <v>218</v>
      </c>
      <c r="J556" s="10">
        <v>29389</v>
      </c>
      <c r="K556" s="5">
        <v>0.30530000000000002</v>
      </c>
      <c r="L556" s="26" t="b">
        <f t="shared" si="43"/>
        <v>1</v>
      </c>
      <c r="M556" s="26" t="str">
        <f t="shared" si="40"/>
        <v>call</v>
      </c>
      <c r="N556" s="28">
        <f t="shared" si="41"/>
        <v>46038</v>
      </c>
      <c r="O556" s="29">
        <f t="shared" si="42"/>
        <v>103</v>
      </c>
    </row>
    <row r="557" spans="1:15" x14ac:dyDescent="0.45">
      <c r="A557" s="1" t="s">
        <v>658</v>
      </c>
      <c r="B557" s="2">
        <v>45726.665972222225</v>
      </c>
      <c r="C557" s="3">
        <v>245</v>
      </c>
      <c r="D557" s="4">
        <v>22.9</v>
      </c>
      <c r="E557" s="4">
        <v>22.85</v>
      </c>
      <c r="F557" s="4">
        <v>23.1</v>
      </c>
      <c r="G557" s="4">
        <v>0.17</v>
      </c>
      <c r="H557" s="5">
        <v>7.4999999999999997E-3</v>
      </c>
      <c r="I557" s="4">
        <v>318</v>
      </c>
      <c r="J557" s="10">
        <v>16557</v>
      </c>
      <c r="K557" s="5">
        <v>0.29420000000000002</v>
      </c>
      <c r="L557" s="26" t="b">
        <f t="shared" si="43"/>
        <v>1</v>
      </c>
      <c r="M557" s="26" t="str">
        <f t="shared" si="40"/>
        <v>call</v>
      </c>
      <c r="N557" s="28">
        <f t="shared" si="41"/>
        <v>46038</v>
      </c>
      <c r="O557" s="29">
        <f t="shared" si="42"/>
        <v>103</v>
      </c>
    </row>
    <row r="558" spans="1:15" x14ac:dyDescent="0.45">
      <c r="A558" s="1" t="s">
        <v>659</v>
      </c>
      <c r="B558" s="2">
        <v>45726.663194444445</v>
      </c>
      <c r="C558" s="3">
        <v>250</v>
      </c>
      <c r="D558" s="4">
        <v>19.5</v>
      </c>
      <c r="E558" s="4">
        <v>19.45</v>
      </c>
      <c r="F558" s="4">
        <v>19.600000000000001</v>
      </c>
      <c r="G558" s="8">
        <v>0.2</v>
      </c>
      <c r="H558" s="9">
        <v>1.04E-2</v>
      </c>
      <c r="I558" s="10">
        <v>1242</v>
      </c>
      <c r="J558" s="10">
        <v>46558</v>
      </c>
      <c r="K558" s="5">
        <v>0.28220000000000001</v>
      </c>
      <c r="L558" s="26" t="b">
        <f t="shared" si="43"/>
        <v>1</v>
      </c>
      <c r="M558" s="26" t="str">
        <f t="shared" si="40"/>
        <v>call</v>
      </c>
      <c r="N558" s="28">
        <f t="shared" si="41"/>
        <v>46038</v>
      </c>
      <c r="O558" s="29">
        <f t="shared" si="42"/>
        <v>103</v>
      </c>
    </row>
    <row r="559" spans="1:15" x14ac:dyDescent="0.45">
      <c r="A559" s="1" t="s">
        <v>660</v>
      </c>
      <c r="B559" s="2">
        <v>45726.664583333331</v>
      </c>
      <c r="C559" s="3">
        <v>255</v>
      </c>
      <c r="D559" s="4">
        <v>16.3</v>
      </c>
      <c r="E559" s="4">
        <v>16.399999999999999</v>
      </c>
      <c r="F559" s="4">
        <v>16.5</v>
      </c>
      <c r="G559" s="6">
        <v>0.05</v>
      </c>
      <c r="H559" s="7">
        <v>3.0999999999999999E-3</v>
      </c>
      <c r="I559" s="4">
        <v>845</v>
      </c>
      <c r="J559" s="10">
        <v>28442</v>
      </c>
      <c r="K559" s="5">
        <v>0.2737</v>
      </c>
      <c r="L559" s="26" t="b">
        <f t="shared" si="43"/>
        <v>1</v>
      </c>
      <c r="M559" s="26" t="str">
        <f t="shared" si="40"/>
        <v>call</v>
      </c>
      <c r="N559" s="28">
        <f t="shared" si="41"/>
        <v>46038</v>
      </c>
      <c r="O559" s="29">
        <f t="shared" si="42"/>
        <v>103</v>
      </c>
    </row>
    <row r="560" spans="1:15" x14ac:dyDescent="0.45">
      <c r="A560" s="11" t="s">
        <v>661</v>
      </c>
      <c r="B560" s="12">
        <v>45726.665972222225</v>
      </c>
      <c r="C560" s="13">
        <v>260</v>
      </c>
      <c r="D560" s="14">
        <v>13.65</v>
      </c>
      <c r="E560" s="14">
        <v>13.6</v>
      </c>
      <c r="F560" s="14">
        <v>13.7</v>
      </c>
      <c r="G560" s="15">
        <v>0.1</v>
      </c>
      <c r="H560" s="16">
        <v>7.4000000000000003E-3</v>
      </c>
      <c r="I560" s="17">
        <v>2166</v>
      </c>
      <c r="J560" s="17">
        <v>64082</v>
      </c>
      <c r="K560" s="18">
        <v>0.2661</v>
      </c>
      <c r="L560" s="26" t="b">
        <f t="shared" si="43"/>
        <v>0</v>
      </c>
      <c r="M560" s="26" t="str">
        <f t="shared" si="40"/>
        <v>call</v>
      </c>
      <c r="N560" s="28">
        <f t="shared" si="41"/>
        <v>46038</v>
      </c>
      <c r="O560" s="29">
        <f t="shared" si="42"/>
        <v>103</v>
      </c>
    </row>
    <row r="561" spans="1:15" x14ac:dyDescent="0.45">
      <c r="A561" s="11" t="s">
        <v>662</v>
      </c>
      <c r="B561" s="12">
        <v>45726.662499999999</v>
      </c>
      <c r="C561" s="13">
        <v>265</v>
      </c>
      <c r="D561" s="14">
        <v>11.01</v>
      </c>
      <c r="E561" s="14">
        <v>11.1</v>
      </c>
      <c r="F561" s="14">
        <v>11.25</v>
      </c>
      <c r="G561" s="19">
        <v>-0.06</v>
      </c>
      <c r="H561" s="20">
        <v>-5.4000000000000003E-3</v>
      </c>
      <c r="I561" s="14">
        <v>810</v>
      </c>
      <c r="J561" s="17">
        <v>33996</v>
      </c>
      <c r="K561" s="18">
        <v>0.26</v>
      </c>
      <c r="L561" s="26" t="b">
        <f t="shared" si="43"/>
        <v>0</v>
      </c>
      <c r="M561" s="26" t="str">
        <f t="shared" si="40"/>
        <v>call</v>
      </c>
      <c r="N561" s="28">
        <f t="shared" si="41"/>
        <v>46038</v>
      </c>
      <c r="O561" s="29">
        <f t="shared" si="42"/>
        <v>103</v>
      </c>
    </row>
    <row r="562" spans="1:15" x14ac:dyDescent="0.45">
      <c r="A562" s="11" t="s">
        <v>663</v>
      </c>
      <c r="B562" s="12">
        <v>45726.665277777778</v>
      </c>
      <c r="C562" s="13">
        <v>270</v>
      </c>
      <c r="D562" s="14">
        <v>9.01</v>
      </c>
      <c r="E562" s="14">
        <v>9</v>
      </c>
      <c r="F562" s="14">
        <v>9.0500000000000007</v>
      </c>
      <c r="G562" s="15">
        <v>0.06</v>
      </c>
      <c r="H562" s="16">
        <v>6.7000000000000002E-3</v>
      </c>
      <c r="I562" s="17">
        <v>2089</v>
      </c>
      <c r="J562" s="17">
        <v>83564</v>
      </c>
      <c r="K562" s="18">
        <v>0.25359999999999999</v>
      </c>
      <c r="L562" s="26" t="b">
        <f t="shared" si="43"/>
        <v>0</v>
      </c>
      <c r="M562" s="26" t="str">
        <f t="shared" si="40"/>
        <v>call</v>
      </c>
      <c r="N562" s="28">
        <f t="shared" si="41"/>
        <v>46038</v>
      </c>
      <c r="O562" s="29">
        <f t="shared" si="42"/>
        <v>103</v>
      </c>
    </row>
    <row r="563" spans="1:15" x14ac:dyDescent="0.45">
      <c r="A563" s="11" t="s">
        <v>664</v>
      </c>
      <c r="B563" s="12">
        <v>45726.651388888888</v>
      </c>
      <c r="C563" s="13">
        <v>275</v>
      </c>
      <c r="D563" s="14">
        <v>7.15</v>
      </c>
      <c r="E563" s="14">
        <v>7.1</v>
      </c>
      <c r="F563" s="14">
        <v>7.25</v>
      </c>
      <c r="G563" s="15">
        <v>-0.05</v>
      </c>
      <c r="H563" s="16">
        <v>-6.8999999999999999E-3</v>
      </c>
      <c r="I563" s="14">
        <v>491</v>
      </c>
      <c r="J563" s="17">
        <v>14185</v>
      </c>
      <c r="K563" s="18">
        <v>0.2495</v>
      </c>
      <c r="L563" s="26" t="b">
        <f t="shared" si="43"/>
        <v>0</v>
      </c>
      <c r="M563" s="26" t="str">
        <f t="shared" si="40"/>
        <v>call</v>
      </c>
      <c r="N563" s="28">
        <f t="shared" si="41"/>
        <v>46038</v>
      </c>
      <c r="O563" s="29">
        <f t="shared" si="42"/>
        <v>103</v>
      </c>
    </row>
    <row r="564" spans="1:15" x14ac:dyDescent="0.45">
      <c r="A564" s="11" t="s">
        <v>665</v>
      </c>
      <c r="B564" s="12">
        <v>45726.660416666666</v>
      </c>
      <c r="C564" s="13">
        <v>280</v>
      </c>
      <c r="D564" s="14">
        <v>5.47</v>
      </c>
      <c r="E564" s="14">
        <v>5.6</v>
      </c>
      <c r="F564" s="14">
        <v>5.7</v>
      </c>
      <c r="G564" s="15">
        <v>-0.18</v>
      </c>
      <c r="H564" s="16">
        <v>-3.1899999999999998E-2</v>
      </c>
      <c r="I564" s="17">
        <v>2699</v>
      </c>
      <c r="J564" s="17">
        <v>32801</v>
      </c>
      <c r="K564" s="18">
        <v>0.24529999999999999</v>
      </c>
      <c r="L564" s="26" t="b">
        <f t="shared" si="43"/>
        <v>0</v>
      </c>
      <c r="M564" s="26" t="str">
        <f t="shared" si="40"/>
        <v>call</v>
      </c>
      <c r="N564" s="28">
        <f t="shared" si="41"/>
        <v>46038</v>
      </c>
      <c r="O564" s="29">
        <f t="shared" si="42"/>
        <v>103</v>
      </c>
    </row>
    <row r="565" spans="1:15" x14ac:dyDescent="0.45">
      <c r="A565" s="11" t="s">
        <v>666</v>
      </c>
      <c r="B565" s="12">
        <v>45726.651388888888</v>
      </c>
      <c r="C565" s="13">
        <v>285</v>
      </c>
      <c r="D565" s="14">
        <v>4.38</v>
      </c>
      <c r="E565" s="14">
        <v>4.3499999999999996</v>
      </c>
      <c r="F565" s="14">
        <v>4.45</v>
      </c>
      <c r="G565" s="15">
        <v>-0.12</v>
      </c>
      <c r="H565" s="16">
        <v>-2.6700000000000002E-2</v>
      </c>
      <c r="I565" s="14">
        <v>653</v>
      </c>
      <c r="J565" s="17">
        <v>11752</v>
      </c>
      <c r="K565" s="18">
        <v>0.24229999999999999</v>
      </c>
      <c r="L565" s="26" t="b">
        <f t="shared" si="43"/>
        <v>0</v>
      </c>
      <c r="M565" s="26" t="str">
        <f t="shared" si="40"/>
        <v>call</v>
      </c>
      <c r="N565" s="28">
        <f t="shared" si="41"/>
        <v>46038</v>
      </c>
      <c r="O565" s="29">
        <f t="shared" si="42"/>
        <v>103</v>
      </c>
    </row>
    <row r="566" spans="1:15" x14ac:dyDescent="0.45">
      <c r="A566" s="11" t="s">
        <v>667</v>
      </c>
      <c r="B566" s="12">
        <v>45726.665277777778</v>
      </c>
      <c r="C566" s="13">
        <v>290</v>
      </c>
      <c r="D566" s="14">
        <v>3.35</v>
      </c>
      <c r="E566" s="14">
        <v>3.3</v>
      </c>
      <c r="F566" s="14">
        <v>3.4</v>
      </c>
      <c r="G566" s="15">
        <v>-0.09</v>
      </c>
      <c r="H566" s="16">
        <v>-2.6200000000000001E-2</v>
      </c>
      <c r="I566" s="14">
        <v>239</v>
      </c>
      <c r="J566" s="17">
        <v>7290</v>
      </c>
      <c r="K566" s="18">
        <v>0.23899999999999999</v>
      </c>
      <c r="L566" s="26" t="b">
        <f t="shared" si="43"/>
        <v>0</v>
      </c>
      <c r="M566" s="26" t="str">
        <f t="shared" si="40"/>
        <v>call</v>
      </c>
      <c r="N566" s="28">
        <f t="shared" si="41"/>
        <v>46038</v>
      </c>
      <c r="O566" s="29">
        <f t="shared" si="42"/>
        <v>103</v>
      </c>
    </row>
    <row r="567" spans="1:15" x14ac:dyDescent="0.45">
      <c r="A567" s="11" t="s">
        <v>668</v>
      </c>
      <c r="B567" s="12">
        <v>45726.662499999999</v>
      </c>
      <c r="C567" s="13">
        <v>295</v>
      </c>
      <c r="D567" s="14">
        <v>2.5</v>
      </c>
      <c r="E567" s="14">
        <v>2.54</v>
      </c>
      <c r="F567" s="14">
        <v>2.59</v>
      </c>
      <c r="G567" s="15">
        <v>-0.19</v>
      </c>
      <c r="H567" s="16">
        <v>-7.0599999999999996E-2</v>
      </c>
      <c r="I567" s="14">
        <v>155</v>
      </c>
      <c r="J567" s="17">
        <v>3291</v>
      </c>
      <c r="K567" s="18">
        <v>0.2369</v>
      </c>
      <c r="L567" s="26" t="b">
        <f t="shared" si="43"/>
        <v>0</v>
      </c>
      <c r="M567" s="26" t="str">
        <f t="shared" si="40"/>
        <v>call</v>
      </c>
      <c r="N567" s="28">
        <f t="shared" si="41"/>
        <v>46038</v>
      </c>
      <c r="O567" s="29">
        <f t="shared" si="42"/>
        <v>103</v>
      </c>
    </row>
    <row r="568" spans="1:15" x14ac:dyDescent="0.45">
      <c r="A568" s="11" t="s">
        <v>669</v>
      </c>
      <c r="B568" s="12">
        <v>45726.665972222225</v>
      </c>
      <c r="C568" s="13">
        <v>300</v>
      </c>
      <c r="D568" s="14">
        <v>1.95</v>
      </c>
      <c r="E568" s="14">
        <v>1.92</v>
      </c>
      <c r="F568" s="14">
        <v>1.97</v>
      </c>
      <c r="G568" s="15">
        <v>-0.05</v>
      </c>
      <c r="H568" s="16">
        <v>-2.5000000000000001E-2</v>
      </c>
      <c r="I568" s="17">
        <v>2203</v>
      </c>
      <c r="J568" s="17">
        <v>46316</v>
      </c>
      <c r="K568" s="18">
        <v>0.23569999999999999</v>
      </c>
      <c r="L568" s="26" t="b">
        <f t="shared" si="43"/>
        <v>0</v>
      </c>
      <c r="M568" s="26" t="str">
        <f t="shared" si="40"/>
        <v>call</v>
      </c>
      <c r="N568" s="28">
        <f t="shared" si="41"/>
        <v>46038</v>
      </c>
      <c r="O568" s="29">
        <f t="shared" si="42"/>
        <v>103</v>
      </c>
    </row>
    <row r="569" spans="1:15" x14ac:dyDescent="0.45">
      <c r="A569" s="11" t="s">
        <v>670</v>
      </c>
      <c r="B569" s="12">
        <v>45726.631944444445</v>
      </c>
      <c r="C569" s="13">
        <v>305</v>
      </c>
      <c r="D569" s="14">
        <v>1.45</v>
      </c>
      <c r="E569" s="14">
        <v>1.45</v>
      </c>
      <c r="F569" s="14">
        <v>1.49</v>
      </c>
      <c r="G569" s="15">
        <v>-0.17</v>
      </c>
      <c r="H569" s="16">
        <v>-0.10489999999999999</v>
      </c>
      <c r="I569" s="14">
        <v>36</v>
      </c>
      <c r="J569" s="17">
        <v>1615</v>
      </c>
      <c r="K569" s="18">
        <v>0.23499999999999999</v>
      </c>
      <c r="L569" s="26" t="b">
        <f t="shared" si="43"/>
        <v>0</v>
      </c>
      <c r="M569" s="26" t="str">
        <f t="shared" si="40"/>
        <v>call</v>
      </c>
      <c r="N569" s="28">
        <f t="shared" si="41"/>
        <v>46038</v>
      </c>
      <c r="O569" s="29">
        <f t="shared" si="42"/>
        <v>103</v>
      </c>
    </row>
    <row r="570" spans="1:15" x14ac:dyDescent="0.45">
      <c r="A570" s="11" t="s">
        <v>671</v>
      </c>
      <c r="B570" s="12">
        <v>45726.661805555559</v>
      </c>
      <c r="C570" s="13">
        <v>310</v>
      </c>
      <c r="D570" s="14">
        <v>1.07</v>
      </c>
      <c r="E570" s="14">
        <v>1.0900000000000001</v>
      </c>
      <c r="F570" s="14">
        <v>1.1200000000000001</v>
      </c>
      <c r="G570" s="15">
        <v>-0.09</v>
      </c>
      <c r="H570" s="16">
        <v>-7.7600000000000002E-2</v>
      </c>
      <c r="I570" s="14">
        <v>205</v>
      </c>
      <c r="J570" s="17">
        <v>42168</v>
      </c>
      <c r="K570" s="18">
        <v>0.23449999999999999</v>
      </c>
      <c r="L570" s="26" t="b">
        <f t="shared" si="43"/>
        <v>0</v>
      </c>
      <c r="M570" s="26" t="str">
        <f t="shared" si="40"/>
        <v>call</v>
      </c>
      <c r="N570" s="28">
        <f t="shared" si="41"/>
        <v>46038</v>
      </c>
      <c r="O570" s="29">
        <f t="shared" si="42"/>
        <v>103</v>
      </c>
    </row>
    <row r="571" spans="1:15" x14ac:dyDescent="0.45">
      <c r="A571" s="11" t="s">
        <v>672</v>
      </c>
      <c r="B571" s="12">
        <v>45726.640972222223</v>
      </c>
      <c r="C571" s="13">
        <v>315</v>
      </c>
      <c r="D571" s="14">
        <v>0.84</v>
      </c>
      <c r="E571" s="14">
        <v>0.82</v>
      </c>
      <c r="F571" s="14">
        <v>0.85</v>
      </c>
      <c r="G571" s="15">
        <v>-0.09</v>
      </c>
      <c r="H571" s="16">
        <v>-9.6799999999999997E-2</v>
      </c>
      <c r="I571" s="14">
        <v>49</v>
      </c>
      <c r="J571" s="17">
        <v>1538</v>
      </c>
      <c r="K571" s="18">
        <v>0.2351</v>
      </c>
      <c r="L571" s="26" t="b">
        <f t="shared" si="43"/>
        <v>0</v>
      </c>
      <c r="M571" s="26" t="str">
        <f t="shared" si="40"/>
        <v>call</v>
      </c>
      <c r="N571" s="28">
        <f t="shared" si="41"/>
        <v>46038</v>
      </c>
      <c r="O571" s="29">
        <f t="shared" si="42"/>
        <v>103</v>
      </c>
    </row>
    <row r="572" spans="1:15" x14ac:dyDescent="0.45">
      <c r="A572" s="11" t="s">
        <v>673</v>
      </c>
      <c r="B572" s="12">
        <v>45726.661111111112</v>
      </c>
      <c r="C572" s="13">
        <v>320</v>
      </c>
      <c r="D572" s="14">
        <v>0.6</v>
      </c>
      <c r="E572" s="14">
        <v>0.61</v>
      </c>
      <c r="F572" s="14">
        <v>0.64</v>
      </c>
      <c r="G572" s="15">
        <v>-0.1</v>
      </c>
      <c r="H572" s="16">
        <v>-0.1429</v>
      </c>
      <c r="I572" s="14">
        <v>332</v>
      </c>
      <c r="J572" s="17">
        <v>10922</v>
      </c>
      <c r="K572" s="18">
        <v>0.23549999999999999</v>
      </c>
      <c r="L572" s="26" t="b">
        <f t="shared" si="43"/>
        <v>0</v>
      </c>
      <c r="M572" s="26" t="str">
        <f t="shared" si="40"/>
        <v>call</v>
      </c>
      <c r="N572" s="28">
        <f t="shared" si="41"/>
        <v>46038</v>
      </c>
      <c r="O572" s="29">
        <f t="shared" si="42"/>
        <v>103</v>
      </c>
    </row>
    <row r="573" spans="1:15" x14ac:dyDescent="0.45">
      <c r="A573" s="11" t="s">
        <v>674</v>
      </c>
      <c r="B573" s="12">
        <v>45726.627083333333</v>
      </c>
      <c r="C573" s="13">
        <v>330</v>
      </c>
      <c r="D573" s="14">
        <v>0.33</v>
      </c>
      <c r="E573" s="14">
        <v>0.35</v>
      </c>
      <c r="F573" s="14">
        <v>0.36</v>
      </c>
      <c r="G573" s="15">
        <v>-0.08</v>
      </c>
      <c r="H573" s="16">
        <v>-0.1951</v>
      </c>
      <c r="I573" s="14">
        <v>131</v>
      </c>
      <c r="J573" s="17">
        <v>8304</v>
      </c>
      <c r="K573" s="18">
        <v>0.23680000000000001</v>
      </c>
      <c r="L573" s="26" t="b">
        <f t="shared" si="43"/>
        <v>0</v>
      </c>
      <c r="M573" s="26" t="str">
        <f t="shared" ref="M573:M636" si="44">IF(MID(A573,11,1)="C","call","put")</f>
        <v>call</v>
      </c>
      <c r="N573" s="28">
        <f t="shared" ref="N573:N636" si="45">DATE(MID(A573,5,2)+2000,MID(A573,7,2),MID(A573,9,2))</f>
        <v>46038</v>
      </c>
      <c r="O573" s="29">
        <f t="shared" si="42"/>
        <v>103</v>
      </c>
    </row>
    <row r="574" spans="1:15" x14ac:dyDescent="0.45">
      <c r="A574" s="11" t="s">
        <v>675</v>
      </c>
      <c r="B574" s="12">
        <v>45726.55</v>
      </c>
      <c r="C574" s="13">
        <v>340</v>
      </c>
      <c r="D574" s="14">
        <v>0.21</v>
      </c>
      <c r="E574" s="14">
        <v>0.19</v>
      </c>
      <c r="F574" s="14">
        <v>0.21</v>
      </c>
      <c r="G574" s="15">
        <v>-0.03</v>
      </c>
      <c r="H574" s="16">
        <v>-0.125</v>
      </c>
      <c r="I574" s="14">
        <v>90</v>
      </c>
      <c r="J574" s="17">
        <v>5099</v>
      </c>
      <c r="K574" s="18">
        <v>0.23980000000000001</v>
      </c>
      <c r="L574" s="26" t="b">
        <f t="shared" si="43"/>
        <v>0</v>
      </c>
      <c r="M574" s="26" t="str">
        <f t="shared" si="44"/>
        <v>call</v>
      </c>
      <c r="N574" s="28">
        <f t="shared" si="45"/>
        <v>46038</v>
      </c>
      <c r="O574" s="29">
        <f t="shared" ref="O574:O637" si="46">N574-DATE(2025,10,5)</f>
        <v>103</v>
      </c>
    </row>
    <row r="575" spans="1:15" x14ac:dyDescent="0.45">
      <c r="A575" s="11" t="s">
        <v>676</v>
      </c>
      <c r="B575" s="12">
        <v>45726.636111111111</v>
      </c>
      <c r="C575" s="13">
        <v>350</v>
      </c>
      <c r="D575" s="14">
        <v>0.12</v>
      </c>
      <c r="E575" s="14">
        <v>0.11</v>
      </c>
      <c r="F575" s="14">
        <v>0.12</v>
      </c>
      <c r="G575" s="15">
        <v>-0.01</v>
      </c>
      <c r="H575" s="16">
        <v>-7.6899999999999996E-2</v>
      </c>
      <c r="I575" s="14">
        <v>330</v>
      </c>
      <c r="J575" s="17">
        <v>9351</v>
      </c>
      <c r="K575" s="18">
        <v>0.2422</v>
      </c>
      <c r="L575" s="26" t="b">
        <f t="shared" si="43"/>
        <v>0</v>
      </c>
      <c r="M575" s="26" t="str">
        <f t="shared" si="44"/>
        <v>call</v>
      </c>
      <c r="N575" s="28">
        <f t="shared" si="45"/>
        <v>46038</v>
      </c>
      <c r="O575" s="29">
        <f t="shared" si="46"/>
        <v>103</v>
      </c>
    </row>
    <row r="576" spans="1:15" x14ac:dyDescent="0.45">
      <c r="A576" s="11" t="s">
        <v>677</v>
      </c>
      <c r="B576" s="12">
        <v>45726.625694444447</v>
      </c>
      <c r="C576" s="13">
        <v>360</v>
      </c>
      <c r="D576" s="14">
        <v>0.08</v>
      </c>
      <c r="E576" s="14">
        <v>0.06</v>
      </c>
      <c r="F576" s="14">
        <v>0.09</v>
      </c>
      <c r="G576" s="15">
        <v>-0.01</v>
      </c>
      <c r="H576" s="16">
        <v>-0.1111</v>
      </c>
      <c r="I576" s="14">
        <v>35</v>
      </c>
      <c r="J576" s="17">
        <v>1644</v>
      </c>
      <c r="K576" s="18">
        <v>0.25240000000000001</v>
      </c>
      <c r="L576" s="26" t="b">
        <f t="shared" ref="L576:L639" si="47">IF(M576="call",C576&lt;$P$1,C576&gt;$P$1)</f>
        <v>0</v>
      </c>
      <c r="M576" s="26" t="str">
        <f t="shared" si="44"/>
        <v>call</v>
      </c>
      <c r="N576" s="28">
        <f t="shared" si="45"/>
        <v>46038</v>
      </c>
      <c r="O576" s="29">
        <f t="shared" si="46"/>
        <v>103</v>
      </c>
    </row>
    <row r="577" spans="1:15" x14ac:dyDescent="0.45">
      <c r="A577" s="11" t="s">
        <v>678</v>
      </c>
      <c r="B577" s="12">
        <v>45698.647222222222</v>
      </c>
      <c r="C577" s="13">
        <v>370</v>
      </c>
      <c r="D577" s="14">
        <v>0.06</v>
      </c>
      <c r="E577" s="14">
        <v>0.03</v>
      </c>
      <c r="F577" s="14">
        <v>0.06</v>
      </c>
      <c r="G577" s="14">
        <v>0</v>
      </c>
      <c r="H577" s="18">
        <v>0</v>
      </c>
      <c r="I577" s="14">
        <v>2</v>
      </c>
      <c r="J577" s="17">
        <v>1502</v>
      </c>
      <c r="K577" s="18">
        <v>0.25879999999999997</v>
      </c>
      <c r="L577" s="26" t="b">
        <f t="shared" si="47"/>
        <v>0</v>
      </c>
      <c r="M577" s="26" t="str">
        <f t="shared" si="44"/>
        <v>call</v>
      </c>
      <c r="N577" s="28">
        <f t="shared" si="45"/>
        <v>46038</v>
      </c>
      <c r="O577" s="29">
        <f t="shared" si="46"/>
        <v>103</v>
      </c>
    </row>
    <row r="578" spans="1:15" x14ac:dyDescent="0.45">
      <c r="A578" s="11" t="s">
        <v>679</v>
      </c>
      <c r="B578" s="12">
        <v>45726.65</v>
      </c>
      <c r="C578" s="13">
        <v>380</v>
      </c>
      <c r="D578" s="14">
        <v>0.04</v>
      </c>
      <c r="E578" s="14">
        <v>0.03</v>
      </c>
      <c r="F578" s="14">
        <v>0.05</v>
      </c>
      <c r="G578" s="14">
        <v>0</v>
      </c>
      <c r="H578" s="18">
        <v>0</v>
      </c>
      <c r="I578" s="14">
        <v>34</v>
      </c>
      <c r="J578" s="17">
        <v>6559</v>
      </c>
      <c r="K578" s="18">
        <v>0.26950000000000002</v>
      </c>
      <c r="L578" s="26" t="b">
        <f t="shared" si="47"/>
        <v>0</v>
      </c>
      <c r="M578" s="26" t="str">
        <f t="shared" si="44"/>
        <v>call</v>
      </c>
      <c r="N578" s="28">
        <f t="shared" si="45"/>
        <v>46038</v>
      </c>
      <c r="O578" s="29">
        <f t="shared" si="46"/>
        <v>103</v>
      </c>
    </row>
    <row r="579" spans="1:15" x14ac:dyDescent="0.45">
      <c r="A579" s="11" t="s">
        <v>680</v>
      </c>
      <c r="B579" s="12">
        <v>45726.617361111108</v>
      </c>
      <c r="C579" s="13">
        <v>390</v>
      </c>
      <c r="D579" s="14">
        <v>0.02</v>
      </c>
      <c r="E579" s="14">
        <v>0.02</v>
      </c>
      <c r="F579" s="14">
        <v>0.03</v>
      </c>
      <c r="G579" s="14">
        <v>-0.01</v>
      </c>
      <c r="H579" s="18">
        <v>-0.33329999999999999</v>
      </c>
      <c r="I579" s="14">
        <v>617</v>
      </c>
      <c r="J579" s="17">
        <v>15382</v>
      </c>
      <c r="K579" s="18">
        <v>0.27150000000000002</v>
      </c>
      <c r="L579" s="26" t="b">
        <f t="shared" si="47"/>
        <v>0</v>
      </c>
      <c r="M579" s="26" t="str">
        <f t="shared" si="44"/>
        <v>call</v>
      </c>
      <c r="N579" s="28">
        <f t="shared" si="45"/>
        <v>46038</v>
      </c>
      <c r="O579" s="29">
        <f t="shared" si="46"/>
        <v>103</v>
      </c>
    </row>
    <row r="580" spans="1:15" x14ac:dyDescent="0.45">
      <c r="A580" s="11" t="s">
        <v>681</v>
      </c>
      <c r="B580" s="12">
        <v>45667.415972222225</v>
      </c>
      <c r="C580" s="13">
        <v>5</v>
      </c>
      <c r="D580" s="14">
        <v>0.01</v>
      </c>
      <c r="E580" s="14">
        <v>0</v>
      </c>
      <c r="F580" s="14">
        <v>0.01</v>
      </c>
      <c r="G580" s="14">
        <v>0</v>
      </c>
      <c r="H580" s="18">
        <v>0</v>
      </c>
      <c r="I580" s="14">
        <v>1</v>
      </c>
      <c r="J580" s="17">
        <v>13663</v>
      </c>
      <c r="K580" s="18">
        <v>2.25</v>
      </c>
      <c r="L580" s="26" t="b">
        <f t="shared" si="47"/>
        <v>0</v>
      </c>
      <c r="M580" s="26" t="str">
        <f t="shared" si="44"/>
        <v>put</v>
      </c>
      <c r="N580" s="28">
        <f t="shared" si="45"/>
        <v>46038</v>
      </c>
      <c r="O580" s="29">
        <f t="shared" si="46"/>
        <v>103</v>
      </c>
    </row>
    <row r="581" spans="1:15" x14ac:dyDescent="0.45">
      <c r="A581" s="11" t="s">
        <v>682</v>
      </c>
      <c r="B581" s="14" t="s">
        <v>683</v>
      </c>
      <c r="C581" s="13">
        <v>10</v>
      </c>
      <c r="D581" s="14">
        <v>0.01</v>
      </c>
      <c r="E581" s="14">
        <v>0</v>
      </c>
      <c r="F581" s="14">
        <v>0.01</v>
      </c>
      <c r="G581" s="14">
        <v>0</v>
      </c>
      <c r="H581" s="18">
        <v>0</v>
      </c>
      <c r="I581" s="14">
        <v>1</v>
      </c>
      <c r="J581" s="17">
        <v>2191</v>
      </c>
      <c r="K581" s="18">
        <v>1.8125</v>
      </c>
      <c r="L581" s="26" t="b">
        <f t="shared" si="47"/>
        <v>0</v>
      </c>
      <c r="M581" s="26" t="str">
        <f t="shared" si="44"/>
        <v>put</v>
      </c>
      <c r="N581" s="28">
        <f t="shared" si="45"/>
        <v>46038</v>
      </c>
      <c r="O581" s="29">
        <f t="shared" si="46"/>
        <v>103</v>
      </c>
    </row>
    <row r="582" spans="1:15" x14ac:dyDescent="0.45">
      <c r="A582" s="11" t="s">
        <v>684</v>
      </c>
      <c r="B582" s="12">
        <v>45786.647916666669</v>
      </c>
      <c r="C582" s="13">
        <v>15</v>
      </c>
      <c r="D582" s="14">
        <v>0.01</v>
      </c>
      <c r="E582" s="14">
        <v>0</v>
      </c>
      <c r="F582" s="14">
        <v>0.01</v>
      </c>
      <c r="G582" s="14">
        <v>0</v>
      </c>
      <c r="H582" s="18">
        <v>0</v>
      </c>
      <c r="I582" s="14">
        <v>1</v>
      </c>
      <c r="J582" s="14">
        <v>128</v>
      </c>
      <c r="K582" s="18">
        <v>1.5938000000000001</v>
      </c>
      <c r="L582" s="26" t="b">
        <f t="shared" si="47"/>
        <v>0</v>
      </c>
      <c r="M582" s="26" t="str">
        <f t="shared" si="44"/>
        <v>put</v>
      </c>
      <c r="N582" s="28">
        <f t="shared" si="45"/>
        <v>46038</v>
      </c>
      <c r="O582" s="29">
        <f t="shared" si="46"/>
        <v>103</v>
      </c>
    </row>
    <row r="583" spans="1:15" x14ac:dyDescent="0.45">
      <c r="A583" s="11" t="s">
        <v>685</v>
      </c>
      <c r="B583" s="12">
        <v>45970.413888888892</v>
      </c>
      <c r="C583" s="13">
        <v>20</v>
      </c>
      <c r="D583" s="14">
        <v>0.01</v>
      </c>
      <c r="E583" s="14">
        <v>0</v>
      </c>
      <c r="F583" s="14">
        <v>0.01</v>
      </c>
      <c r="G583" s="14">
        <v>0</v>
      </c>
      <c r="H583" s="18">
        <v>0</v>
      </c>
      <c r="I583" s="14">
        <v>5</v>
      </c>
      <c r="J583" s="14">
        <v>520</v>
      </c>
      <c r="K583" s="18">
        <v>1.4375</v>
      </c>
      <c r="L583" s="26" t="b">
        <f t="shared" si="47"/>
        <v>0</v>
      </c>
      <c r="M583" s="26" t="str">
        <f t="shared" si="44"/>
        <v>put</v>
      </c>
      <c r="N583" s="28">
        <f t="shared" si="45"/>
        <v>46038</v>
      </c>
      <c r="O583" s="29">
        <f t="shared" si="46"/>
        <v>103</v>
      </c>
    </row>
    <row r="584" spans="1:15" x14ac:dyDescent="0.45">
      <c r="A584" s="11" t="s">
        <v>686</v>
      </c>
      <c r="B584" s="14" t="s">
        <v>687</v>
      </c>
      <c r="C584" s="13">
        <v>25</v>
      </c>
      <c r="D584" s="14">
        <v>0.01</v>
      </c>
      <c r="E584" s="14">
        <v>0</v>
      </c>
      <c r="F584" s="14">
        <v>0.01</v>
      </c>
      <c r="G584" s="14">
        <v>0</v>
      </c>
      <c r="H584" s="18">
        <v>0</v>
      </c>
      <c r="I584" s="14">
        <v>1</v>
      </c>
      <c r="J584" s="14">
        <v>8</v>
      </c>
      <c r="K584" s="18">
        <v>1.2813000000000001</v>
      </c>
      <c r="L584" s="26" t="b">
        <f t="shared" si="47"/>
        <v>0</v>
      </c>
      <c r="M584" s="26" t="str">
        <f t="shared" si="44"/>
        <v>put</v>
      </c>
      <c r="N584" s="28">
        <f t="shared" si="45"/>
        <v>46038</v>
      </c>
      <c r="O584" s="29">
        <f t="shared" si="46"/>
        <v>103</v>
      </c>
    </row>
    <row r="585" spans="1:15" x14ac:dyDescent="0.45">
      <c r="A585" s="11" t="s">
        <v>688</v>
      </c>
      <c r="B585" s="12">
        <v>45999.644444444442</v>
      </c>
      <c r="C585" s="13">
        <v>30</v>
      </c>
      <c r="D585" s="14">
        <v>0.01</v>
      </c>
      <c r="E585" s="14">
        <v>0</v>
      </c>
      <c r="F585" s="14">
        <v>0.11</v>
      </c>
      <c r="G585" s="15">
        <v>0</v>
      </c>
      <c r="H585" s="16">
        <v>0</v>
      </c>
      <c r="I585" s="14">
        <v>3</v>
      </c>
      <c r="J585" s="17">
        <v>2367</v>
      </c>
      <c r="K585" s="18">
        <v>1.4570000000000001</v>
      </c>
      <c r="L585" s="26" t="b">
        <f t="shared" si="47"/>
        <v>0</v>
      </c>
      <c r="M585" s="26" t="str">
        <f t="shared" si="44"/>
        <v>put</v>
      </c>
      <c r="N585" s="28">
        <f t="shared" si="45"/>
        <v>46038</v>
      </c>
      <c r="O585" s="29">
        <f t="shared" si="46"/>
        <v>103</v>
      </c>
    </row>
    <row r="586" spans="1:15" x14ac:dyDescent="0.45">
      <c r="A586" s="11" t="s">
        <v>689</v>
      </c>
      <c r="B586" s="14" t="s">
        <v>690</v>
      </c>
      <c r="C586" s="13">
        <v>35</v>
      </c>
      <c r="D586" s="14">
        <v>0.01</v>
      </c>
      <c r="E586" s="14">
        <v>0</v>
      </c>
      <c r="F586" s="14">
        <v>0.1</v>
      </c>
      <c r="G586" s="14">
        <v>0</v>
      </c>
      <c r="H586" s="18">
        <v>0</v>
      </c>
      <c r="I586" s="14">
        <v>10</v>
      </c>
      <c r="J586" s="14">
        <v>152</v>
      </c>
      <c r="K586" s="18">
        <v>1.3398000000000001</v>
      </c>
      <c r="L586" s="26" t="b">
        <f t="shared" si="47"/>
        <v>0</v>
      </c>
      <c r="M586" s="26" t="str">
        <f t="shared" si="44"/>
        <v>put</v>
      </c>
      <c r="N586" s="28">
        <f t="shared" si="45"/>
        <v>46038</v>
      </c>
      <c r="O586" s="29">
        <f t="shared" si="46"/>
        <v>103</v>
      </c>
    </row>
    <row r="587" spans="1:15" x14ac:dyDescent="0.45">
      <c r="A587" s="11" t="s">
        <v>691</v>
      </c>
      <c r="B587" s="14" t="s">
        <v>692</v>
      </c>
      <c r="C587" s="13">
        <v>40</v>
      </c>
      <c r="D587" s="14">
        <v>0.01</v>
      </c>
      <c r="E587" s="14">
        <v>0</v>
      </c>
      <c r="F587" s="14">
        <v>0.1</v>
      </c>
      <c r="G587" s="14">
        <v>0</v>
      </c>
      <c r="H587" s="18">
        <v>0</v>
      </c>
      <c r="I587" s="14">
        <v>5</v>
      </c>
      <c r="J587" s="17">
        <v>1016</v>
      </c>
      <c r="K587" s="18">
        <v>1.25</v>
      </c>
      <c r="L587" s="26" t="b">
        <f t="shared" si="47"/>
        <v>0</v>
      </c>
      <c r="M587" s="26" t="str">
        <f t="shared" si="44"/>
        <v>put</v>
      </c>
      <c r="N587" s="28">
        <f t="shared" si="45"/>
        <v>46038</v>
      </c>
      <c r="O587" s="29">
        <f t="shared" si="46"/>
        <v>103</v>
      </c>
    </row>
    <row r="588" spans="1:15" x14ac:dyDescent="0.45">
      <c r="A588" s="11" t="s">
        <v>693</v>
      </c>
      <c r="B588" s="12">
        <v>45697.593055555553</v>
      </c>
      <c r="C588" s="13">
        <v>45</v>
      </c>
      <c r="D588" s="14">
        <v>0.01</v>
      </c>
      <c r="E588" s="14">
        <v>0</v>
      </c>
      <c r="F588" s="14">
        <v>0.02</v>
      </c>
      <c r="G588" s="14">
        <v>0</v>
      </c>
      <c r="H588" s="18">
        <v>0</v>
      </c>
      <c r="I588" s="14">
        <v>1</v>
      </c>
      <c r="J588" s="17">
        <v>2381</v>
      </c>
      <c r="K588" s="18">
        <v>1.0156000000000001</v>
      </c>
      <c r="L588" s="26" t="b">
        <f t="shared" si="47"/>
        <v>0</v>
      </c>
      <c r="M588" s="26" t="str">
        <f t="shared" si="44"/>
        <v>put</v>
      </c>
      <c r="N588" s="28">
        <f t="shared" si="45"/>
        <v>46038</v>
      </c>
      <c r="O588" s="29">
        <f t="shared" si="46"/>
        <v>103</v>
      </c>
    </row>
    <row r="589" spans="1:15" x14ac:dyDescent="0.45">
      <c r="A589" s="11" t="s">
        <v>694</v>
      </c>
      <c r="B589" s="12">
        <v>45698.45208333333</v>
      </c>
      <c r="C589" s="13">
        <v>50</v>
      </c>
      <c r="D589" s="14">
        <v>0.01</v>
      </c>
      <c r="E589" s="14">
        <v>0</v>
      </c>
      <c r="F589" s="14">
        <v>0.06</v>
      </c>
      <c r="G589" s="19">
        <v>0</v>
      </c>
      <c r="H589" s="20">
        <v>0</v>
      </c>
      <c r="I589" s="14">
        <v>30</v>
      </c>
      <c r="J589" s="17">
        <v>5647</v>
      </c>
      <c r="K589" s="18">
        <v>1.0468999999999999</v>
      </c>
      <c r="L589" s="26" t="b">
        <f t="shared" si="47"/>
        <v>0</v>
      </c>
      <c r="M589" s="26" t="str">
        <f t="shared" si="44"/>
        <v>put</v>
      </c>
      <c r="N589" s="28">
        <f t="shared" si="45"/>
        <v>46038</v>
      </c>
      <c r="O589" s="29">
        <f t="shared" si="46"/>
        <v>103</v>
      </c>
    </row>
    <row r="590" spans="1:15" x14ac:dyDescent="0.45">
      <c r="A590" s="11" t="s">
        <v>695</v>
      </c>
      <c r="B590" s="14" t="s">
        <v>696</v>
      </c>
      <c r="C590" s="13">
        <v>55</v>
      </c>
      <c r="D590" s="14">
        <v>0.02</v>
      </c>
      <c r="E590" s="14">
        <v>0</v>
      </c>
      <c r="F590" s="14">
        <v>7.0000000000000007E-2</v>
      </c>
      <c r="G590" s="19">
        <v>0</v>
      </c>
      <c r="H590" s="20">
        <v>0</v>
      </c>
      <c r="I590" s="14">
        <v>2</v>
      </c>
      <c r="J590" s="14">
        <v>867</v>
      </c>
      <c r="K590" s="18">
        <v>1.0039</v>
      </c>
      <c r="L590" s="26" t="b">
        <f t="shared" si="47"/>
        <v>0</v>
      </c>
      <c r="M590" s="26" t="str">
        <f t="shared" si="44"/>
        <v>put</v>
      </c>
      <c r="N590" s="28">
        <f t="shared" si="45"/>
        <v>46038</v>
      </c>
      <c r="O590" s="29">
        <f t="shared" si="46"/>
        <v>103</v>
      </c>
    </row>
    <row r="591" spans="1:15" x14ac:dyDescent="0.45">
      <c r="A591" s="11" t="s">
        <v>697</v>
      </c>
      <c r="B591" s="14" t="s">
        <v>698</v>
      </c>
      <c r="C591" s="13">
        <v>60</v>
      </c>
      <c r="D591" s="14">
        <v>0.02</v>
      </c>
      <c r="E591" s="14">
        <v>0</v>
      </c>
      <c r="F591" s="14">
        <v>0.22</v>
      </c>
      <c r="G591" s="14">
        <v>0</v>
      </c>
      <c r="H591" s="18">
        <v>0</v>
      </c>
      <c r="I591" s="14">
        <v>10</v>
      </c>
      <c r="J591" s="17">
        <v>1816</v>
      </c>
      <c r="K591" s="18">
        <v>1.0625</v>
      </c>
      <c r="L591" s="26" t="b">
        <f t="shared" si="47"/>
        <v>0</v>
      </c>
      <c r="M591" s="26" t="str">
        <f t="shared" si="44"/>
        <v>put</v>
      </c>
      <c r="N591" s="28">
        <f t="shared" si="45"/>
        <v>46038</v>
      </c>
      <c r="O591" s="29">
        <f t="shared" si="46"/>
        <v>103</v>
      </c>
    </row>
    <row r="592" spans="1:15" x14ac:dyDescent="0.45">
      <c r="A592" s="11" t="s">
        <v>699</v>
      </c>
      <c r="B592" s="14" t="s">
        <v>700</v>
      </c>
      <c r="C592" s="13">
        <v>65</v>
      </c>
      <c r="D592" s="14">
        <v>0.02</v>
      </c>
      <c r="E592" s="14">
        <v>0</v>
      </c>
      <c r="F592" s="14">
        <v>0.02</v>
      </c>
      <c r="G592" s="15">
        <v>0</v>
      </c>
      <c r="H592" s="16">
        <v>0</v>
      </c>
      <c r="I592" s="14">
        <v>7</v>
      </c>
      <c r="J592" s="17">
        <v>5735</v>
      </c>
      <c r="K592" s="18">
        <v>0.80469999999999997</v>
      </c>
      <c r="L592" s="26" t="b">
        <f t="shared" si="47"/>
        <v>0</v>
      </c>
      <c r="M592" s="26" t="str">
        <f t="shared" si="44"/>
        <v>put</v>
      </c>
      <c r="N592" s="28">
        <f t="shared" si="45"/>
        <v>46038</v>
      </c>
      <c r="O592" s="29">
        <f t="shared" si="46"/>
        <v>103</v>
      </c>
    </row>
    <row r="593" spans="1:15" x14ac:dyDescent="0.45">
      <c r="A593" s="11" t="s">
        <v>701</v>
      </c>
      <c r="B593" s="12">
        <v>45726.55972222222</v>
      </c>
      <c r="C593" s="13">
        <v>70</v>
      </c>
      <c r="D593" s="14">
        <v>0.01</v>
      </c>
      <c r="E593" s="14">
        <v>0</v>
      </c>
      <c r="F593" s="14">
        <v>0.14000000000000001</v>
      </c>
      <c r="G593" s="15">
        <v>-0.01</v>
      </c>
      <c r="H593" s="16">
        <v>-0.5</v>
      </c>
      <c r="I593" s="14">
        <v>1</v>
      </c>
      <c r="J593" s="17">
        <v>2837</v>
      </c>
      <c r="K593" s="18">
        <v>0.91020000000000001</v>
      </c>
      <c r="L593" s="26" t="b">
        <f t="shared" si="47"/>
        <v>0</v>
      </c>
      <c r="M593" s="26" t="str">
        <f t="shared" si="44"/>
        <v>put</v>
      </c>
      <c r="N593" s="28">
        <f t="shared" si="45"/>
        <v>46038</v>
      </c>
      <c r="O593" s="29">
        <f t="shared" si="46"/>
        <v>103</v>
      </c>
    </row>
    <row r="594" spans="1:15" x14ac:dyDescent="0.45">
      <c r="A594" s="11" t="s">
        <v>702</v>
      </c>
      <c r="B594" s="12">
        <v>45726.55972222222</v>
      </c>
      <c r="C594" s="13">
        <v>75</v>
      </c>
      <c r="D594" s="14">
        <v>0.01</v>
      </c>
      <c r="E594" s="14">
        <v>0</v>
      </c>
      <c r="F594" s="14">
        <v>0.09</v>
      </c>
      <c r="G594" s="15">
        <v>-0.01</v>
      </c>
      <c r="H594" s="16">
        <v>-0.5</v>
      </c>
      <c r="I594" s="14">
        <v>1</v>
      </c>
      <c r="J594" s="17">
        <v>3905</v>
      </c>
      <c r="K594" s="18">
        <v>0.82420000000000004</v>
      </c>
      <c r="L594" s="26" t="b">
        <f t="shared" si="47"/>
        <v>0</v>
      </c>
      <c r="M594" s="26" t="str">
        <f t="shared" si="44"/>
        <v>put</v>
      </c>
      <c r="N594" s="28">
        <f t="shared" si="45"/>
        <v>46038</v>
      </c>
      <c r="O594" s="29">
        <f t="shared" si="46"/>
        <v>103</v>
      </c>
    </row>
    <row r="595" spans="1:15" x14ac:dyDescent="0.45">
      <c r="A595" s="11" t="s">
        <v>703</v>
      </c>
      <c r="B595" s="12">
        <v>45726.55972222222</v>
      </c>
      <c r="C595" s="13">
        <v>80</v>
      </c>
      <c r="D595" s="14">
        <v>0.01</v>
      </c>
      <c r="E595" s="14">
        <v>0.01</v>
      </c>
      <c r="F595" s="14">
        <v>0.11</v>
      </c>
      <c r="G595" s="14">
        <v>-0.01</v>
      </c>
      <c r="H595" s="18">
        <v>-0.5</v>
      </c>
      <c r="I595" s="14">
        <v>11</v>
      </c>
      <c r="J595" s="17">
        <v>2498</v>
      </c>
      <c r="K595" s="18">
        <v>0.80659999999999998</v>
      </c>
      <c r="L595" s="26" t="b">
        <f t="shared" si="47"/>
        <v>0</v>
      </c>
      <c r="M595" s="26" t="str">
        <f t="shared" si="44"/>
        <v>put</v>
      </c>
      <c r="N595" s="28">
        <f t="shared" si="45"/>
        <v>46038</v>
      </c>
      <c r="O595" s="29">
        <f t="shared" si="46"/>
        <v>103</v>
      </c>
    </row>
    <row r="596" spans="1:15" x14ac:dyDescent="0.45">
      <c r="A596" s="11" t="s">
        <v>704</v>
      </c>
      <c r="B596" s="12">
        <v>45726.590277777781</v>
      </c>
      <c r="C596" s="13">
        <v>85</v>
      </c>
      <c r="D596" s="14">
        <v>0.02</v>
      </c>
      <c r="E596" s="14">
        <v>0.01</v>
      </c>
      <c r="F596" s="14">
        <v>0.11</v>
      </c>
      <c r="G596" s="15">
        <v>0</v>
      </c>
      <c r="H596" s="16">
        <v>0</v>
      </c>
      <c r="I596" s="14">
        <v>31</v>
      </c>
      <c r="J596" s="17">
        <v>2065</v>
      </c>
      <c r="K596" s="18">
        <v>0.76559999999999995</v>
      </c>
      <c r="L596" s="26" t="b">
        <f t="shared" si="47"/>
        <v>0</v>
      </c>
      <c r="M596" s="26" t="str">
        <f t="shared" si="44"/>
        <v>put</v>
      </c>
      <c r="N596" s="28">
        <f t="shared" si="45"/>
        <v>46038</v>
      </c>
      <c r="O596" s="29">
        <f t="shared" si="46"/>
        <v>103</v>
      </c>
    </row>
    <row r="597" spans="1:15" x14ac:dyDescent="0.45">
      <c r="A597" s="11" t="s">
        <v>705</v>
      </c>
      <c r="B597" s="12">
        <v>45726.496527777781</v>
      </c>
      <c r="C597" s="13">
        <v>90</v>
      </c>
      <c r="D597" s="14">
        <v>0.02</v>
      </c>
      <c r="E597" s="14">
        <v>0</v>
      </c>
      <c r="F597" s="14">
        <v>0.23</v>
      </c>
      <c r="G597" s="19">
        <v>0</v>
      </c>
      <c r="H597" s="20">
        <v>0</v>
      </c>
      <c r="I597" s="14">
        <v>31</v>
      </c>
      <c r="J597" s="17">
        <v>1930</v>
      </c>
      <c r="K597" s="18">
        <v>0.78129999999999999</v>
      </c>
      <c r="L597" s="26" t="b">
        <f t="shared" si="47"/>
        <v>0</v>
      </c>
      <c r="M597" s="26" t="str">
        <f t="shared" si="44"/>
        <v>put</v>
      </c>
      <c r="N597" s="28">
        <f t="shared" si="45"/>
        <v>46038</v>
      </c>
      <c r="O597" s="29">
        <f t="shared" si="46"/>
        <v>103</v>
      </c>
    </row>
    <row r="598" spans="1:15" x14ac:dyDescent="0.45">
      <c r="A598" s="11" t="s">
        <v>706</v>
      </c>
      <c r="B598" s="12">
        <v>46000.479166666664</v>
      </c>
      <c r="C598" s="13">
        <v>95</v>
      </c>
      <c r="D598" s="14">
        <v>0.03</v>
      </c>
      <c r="E598" s="14">
        <v>0.01</v>
      </c>
      <c r="F598" s="14">
        <v>0.23</v>
      </c>
      <c r="G598" s="15">
        <v>0</v>
      </c>
      <c r="H598" s="16">
        <v>0</v>
      </c>
      <c r="I598" s="14">
        <v>60</v>
      </c>
      <c r="J598" s="17">
        <v>6026</v>
      </c>
      <c r="K598" s="18">
        <v>0.74609999999999999</v>
      </c>
      <c r="L598" s="26" t="b">
        <f t="shared" si="47"/>
        <v>0</v>
      </c>
      <c r="M598" s="26" t="str">
        <f t="shared" si="44"/>
        <v>put</v>
      </c>
      <c r="N598" s="28">
        <f t="shared" si="45"/>
        <v>46038</v>
      </c>
      <c r="O598" s="29">
        <f t="shared" si="46"/>
        <v>103</v>
      </c>
    </row>
    <row r="599" spans="1:15" x14ac:dyDescent="0.45">
      <c r="A599" s="11" t="s">
        <v>707</v>
      </c>
      <c r="B599" s="12">
        <v>45667.486111111109</v>
      </c>
      <c r="C599" s="13">
        <v>100</v>
      </c>
      <c r="D599" s="14">
        <v>0.04</v>
      </c>
      <c r="E599" s="14">
        <v>0.03</v>
      </c>
      <c r="F599" s="14">
        <v>0.08</v>
      </c>
      <c r="G599" s="15">
        <v>0</v>
      </c>
      <c r="H599" s="16">
        <v>0</v>
      </c>
      <c r="I599" s="14">
        <v>1</v>
      </c>
      <c r="J599" s="17">
        <v>6537</v>
      </c>
      <c r="K599" s="18">
        <v>0.65229999999999999</v>
      </c>
      <c r="L599" s="26" t="b">
        <f t="shared" si="47"/>
        <v>0</v>
      </c>
      <c r="M599" s="26" t="str">
        <f t="shared" si="44"/>
        <v>put</v>
      </c>
      <c r="N599" s="28">
        <f t="shared" si="45"/>
        <v>46038</v>
      </c>
      <c r="O599" s="29">
        <f t="shared" si="46"/>
        <v>103</v>
      </c>
    </row>
    <row r="600" spans="1:15" x14ac:dyDescent="0.45">
      <c r="A600" s="11" t="s">
        <v>708</v>
      </c>
      <c r="B600" s="14" t="s">
        <v>709</v>
      </c>
      <c r="C600" s="13">
        <v>105</v>
      </c>
      <c r="D600" s="14">
        <v>0.05</v>
      </c>
      <c r="E600" s="14">
        <v>0.02</v>
      </c>
      <c r="F600" s="14">
        <v>0.16</v>
      </c>
      <c r="G600" s="15">
        <v>0</v>
      </c>
      <c r="H600" s="16">
        <v>0</v>
      </c>
      <c r="I600" s="14">
        <v>1</v>
      </c>
      <c r="J600" s="17">
        <v>4804</v>
      </c>
      <c r="K600" s="18">
        <v>0.65429999999999999</v>
      </c>
      <c r="L600" s="26" t="b">
        <f t="shared" si="47"/>
        <v>0</v>
      </c>
      <c r="M600" s="26" t="str">
        <f t="shared" si="44"/>
        <v>put</v>
      </c>
      <c r="N600" s="28">
        <f t="shared" si="45"/>
        <v>46038</v>
      </c>
      <c r="O600" s="29">
        <f t="shared" si="46"/>
        <v>103</v>
      </c>
    </row>
    <row r="601" spans="1:15" x14ac:dyDescent="0.45">
      <c r="A601" s="11" t="s">
        <v>710</v>
      </c>
      <c r="B601" s="14" t="s">
        <v>711</v>
      </c>
      <c r="C601" s="13">
        <v>110</v>
      </c>
      <c r="D601" s="14">
        <v>0.05</v>
      </c>
      <c r="E601" s="14">
        <v>0.03</v>
      </c>
      <c r="F601" s="14">
        <v>0.18</v>
      </c>
      <c r="G601" s="15">
        <v>0</v>
      </c>
      <c r="H601" s="16">
        <v>0</v>
      </c>
      <c r="I601" s="14">
        <v>5</v>
      </c>
      <c r="J601" s="17">
        <v>3177</v>
      </c>
      <c r="K601" s="18">
        <v>0.63280000000000003</v>
      </c>
      <c r="L601" s="26" t="b">
        <f t="shared" si="47"/>
        <v>0</v>
      </c>
      <c r="M601" s="26" t="str">
        <f t="shared" si="44"/>
        <v>put</v>
      </c>
      <c r="N601" s="28">
        <f t="shared" si="45"/>
        <v>46038</v>
      </c>
      <c r="O601" s="29">
        <f t="shared" si="46"/>
        <v>103</v>
      </c>
    </row>
    <row r="602" spans="1:15" x14ac:dyDescent="0.45">
      <c r="A602" s="11" t="s">
        <v>712</v>
      </c>
      <c r="B602" s="12">
        <v>45726.576388888891</v>
      </c>
      <c r="C602" s="13">
        <v>115</v>
      </c>
      <c r="D602" s="14">
        <v>0.06</v>
      </c>
      <c r="E602" s="14">
        <v>0.04</v>
      </c>
      <c r="F602" s="14">
        <v>0.18</v>
      </c>
      <c r="G602" s="15">
        <v>0.01</v>
      </c>
      <c r="H602" s="16">
        <v>0.2</v>
      </c>
      <c r="I602" s="14">
        <v>10</v>
      </c>
      <c r="J602" s="17">
        <v>1147</v>
      </c>
      <c r="K602" s="18">
        <v>0.60550000000000004</v>
      </c>
      <c r="L602" s="26" t="b">
        <f t="shared" si="47"/>
        <v>0</v>
      </c>
      <c r="M602" s="26" t="str">
        <f t="shared" si="44"/>
        <v>put</v>
      </c>
      <c r="N602" s="28">
        <f t="shared" si="45"/>
        <v>46038</v>
      </c>
      <c r="O602" s="29">
        <f t="shared" si="46"/>
        <v>103</v>
      </c>
    </row>
    <row r="603" spans="1:15" x14ac:dyDescent="0.45">
      <c r="A603" s="11" t="s">
        <v>713</v>
      </c>
      <c r="B603" s="14" t="s">
        <v>714</v>
      </c>
      <c r="C603" s="13">
        <v>120</v>
      </c>
      <c r="D603" s="14">
        <v>0.05</v>
      </c>
      <c r="E603" s="14">
        <v>0.05</v>
      </c>
      <c r="F603" s="14">
        <v>0.1</v>
      </c>
      <c r="G603" s="15">
        <v>0</v>
      </c>
      <c r="H603" s="16">
        <v>0</v>
      </c>
      <c r="I603" s="14">
        <v>1</v>
      </c>
      <c r="J603" s="17">
        <v>3747</v>
      </c>
      <c r="K603" s="18">
        <v>0.55079999999999996</v>
      </c>
      <c r="L603" s="26" t="b">
        <f t="shared" si="47"/>
        <v>0</v>
      </c>
      <c r="M603" s="26" t="str">
        <f t="shared" si="44"/>
        <v>put</v>
      </c>
      <c r="N603" s="28">
        <f t="shared" si="45"/>
        <v>46038</v>
      </c>
      <c r="O603" s="29">
        <f t="shared" si="46"/>
        <v>103</v>
      </c>
    </row>
    <row r="604" spans="1:15" x14ac:dyDescent="0.45">
      <c r="A604" s="11" t="s">
        <v>715</v>
      </c>
      <c r="B604" s="12">
        <v>45667.505555555559</v>
      </c>
      <c r="C604" s="13">
        <v>125</v>
      </c>
      <c r="D604" s="14">
        <v>7.0000000000000007E-2</v>
      </c>
      <c r="E604" s="14">
        <v>7.0000000000000007E-2</v>
      </c>
      <c r="F604" s="14">
        <v>0.1</v>
      </c>
      <c r="G604" s="15">
        <v>-0.02</v>
      </c>
      <c r="H604" s="16">
        <v>-0.22220000000000001</v>
      </c>
      <c r="I604" s="14">
        <v>1</v>
      </c>
      <c r="J604" s="17">
        <v>3062</v>
      </c>
      <c r="K604" s="18">
        <v>0.53129999999999999</v>
      </c>
      <c r="L604" s="26" t="b">
        <f t="shared" si="47"/>
        <v>0</v>
      </c>
      <c r="M604" s="26" t="str">
        <f t="shared" si="44"/>
        <v>put</v>
      </c>
      <c r="N604" s="28">
        <f t="shared" si="45"/>
        <v>46038</v>
      </c>
      <c r="O604" s="29">
        <f t="shared" si="46"/>
        <v>103</v>
      </c>
    </row>
    <row r="605" spans="1:15" x14ac:dyDescent="0.45">
      <c r="A605" s="11" t="s">
        <v>716</v>
      </c>
      <c r="B605" s="12">
        <v>45726.423611111109</v>
      </c>
      <c r="C605" s="13">
        <v>130</v>
      </c>
      <c r="D605" s="14">
        <v>0.1</v>
      </c>
      <c r="E605" s="14">
        <v>0.09</v>
      </c>
      <c r="F605" s="14">
        <v>0.11</v>
      </c>
      <c r="G605" s="15">
        <v>0</v>
      </c>
      <c r="H605" s="16">
        <v>0</v>
      </c>
      <c r="I605" s="14">
        <v>1</v>
      </c>
      <c r="J605" s="17">
        <v>9468</v>
      </c>
      <c r="K605" s="18">
        <v>0.51370000000000005</v>
      </c>
      <c r="L605" s="26" t="b">
        <f t="shared" si="47"/>
        <v>0</v>
      </c>
      <c r="M605" s="26" t="str">
        <f t="shared" si="44"/>
        <v>put</v>
      </c>
      <c r="N605" s="28">
        <f t="shared" si="45"/>
        <v>46038</v>
      </c>
      <c r="O605" s="29">
        <f t="shared" si="46"/>
        <v>103</v>
      </c>
    </row>
    <row r="606" spans="1:15" x14ac:dyDescent="0.45">
      <c r="A606" s="11" t="s">
        <v>717</v>
      </c>
      <c r="B606" s="12">
        <v>45726.654166666667</v>
      </c>
      <c r="C606" s="13">
        <v>135</v>
      </c>
      <c r="D606" s="14">
        <v>0.11</v>
      </c>
      <c r="E606" s="14">
        <v>0.1</v>
      </c>
      <c r="F606" s="14">
        <v>0.13</v>
      </c>
      <c r="G606" s="15">
        <v>0</v>
      </c>
      <c r="H606" s="16">
        <v>0</v>
      </c>
      <c r="I606" s="14">
        <v>2</v>
      </c>
      <c r="J606" s="17">
        <v>3319</v>
      </c>
      <c r="K606" s="18">
        <v>0.50290000000000001</v>
      </c>
      <c r="L606" s="26" t="b">
        <f t="shared" si="47"/>
        <v>0</v>
      </c>
      <c r="M606" s="26" t="str">
        <f t="shared" si="44"/>
        <v>put</v>
      </c>
      <c r="N606" s="28">
        <f t="shared" si="45"/>
        <v>46038</v>
      </c>
      <c r="O606" s="29">
        <f t="shared" si="46"/>
        <v>103</v>
      </c>
    </row>
    <row r="607" spans="1:15" x14ac:dyDescent="0.45">
      <c r="A607" s="11" t="s">
        <v>718</v>
      </c>
      <c r="B607" s="12">
        <v>45726.563888888886</v>
      </c>
      <c r="C607" s="13">
        <v>140</v>
      </c>
      <c r="D607" s="14">
        <v>0.13</v>
      </c>
      <c r="E607" s="14">
        <v>0.12</v>
      </c>
      <c r="F607" s="14">
        <v>0.14000000000000001</v>
      </c>
      <c r="G607" s="15">
        <v>-0.02</v>
      </c>
      <c r="H607" s="16">
        <v>-0.1333</v>
      </c>
      <c r="I607" s="14">
        <v>18</v>
      </c>
      <c r="J607" s="17">
        <v>4365</v>
      </c>
      <c r="K607" s="18">
        <v>0.48149999999999998</v>
      </c>
      <c r="L607" s="26" t="b">
        <f t="shared" si="47"/>
        <v>0</v>
      </c>
      <c r="M607" s="26" t="str">
        <f t="shared" si="44"/>
        <v>put</v>
      </c>
      <c r="N607" s="28">
        <f t="shared" si="45"/>
        <v>46038</v>
      </c>
      <c r="O607" s="29">
        <f t="shared" si="46"/>
        <v>103</v>
      </c>
    </row>
    <row r="608" spans="1:15" x14ac:dyDescent="0.45">
      <c r="A608" s="11" t="s">
        <v>719</v>
      </c>
      <c r="B608" s="12">
        <v>45726.493055555555</v>
      </c>
      <c r="C608" s="13">
        <v>145</v>
      </c>
      <c r="D608" s="14">
        <v>0.15</v>
      </c>
      <c r="E608" s="14">
        <v>0.15</v>
      </c>
      <c r="F608" s="14">
        <v>0.17</v>
      </c>
      <c r="G608" s="15">
        <v>0</v>
      </c>
      <c r="H608" s="16">
        <v>0</v>
      </c>
      <c r="I608" s="14">
        <v>3</v>
      </c>
      <c r="J608" s="17">
        <v>5057</v>
      </c>
      <c r="K608" s="18">
        <v>0.46729999999999999</v>
      </c>
      <c r="L608" s="26" t="b">
        <f t="shared" si="47"/>
        <v>0</v>
      </c>
      <c r="M608" s="26" t="str">
        <f t="shared" si="44"/>
        <v>put</v>
      </c>
      <c r="N608" s="28">
        <f t="shared" si="45"/>
        <v>46038</v>
      </c>
      <c r="O608" s="29">
        <f t="shared" si="46"/>
        <v>103</v>
      </c>
    </row>
    <row r="609" spans="1:15" x14ac:dyDescent="0.45">
      <c r="A609" s="11" t="s">
        <v>720</v>
      </c>
      <c r="B609" s="12">
        <v>45726.654166666667</v>
      </c>
      <c r="C609" s="13">
        <v>150</v>
      </c>
      <c r="D609" s="14">
        <v>0.17</v>
      </c>
      <c r="E609" s="14">
        <v>0.17</v>
      </c>
      <c r="F609" s="14">
        <v>0.19</v>
      </c>
      <c r="G609" s="15">
        <v>0</v>
      </c>
      <c r="H609" s="16">
        <v>0</v>
      </c>
      <c r="I609" s="14">
        <v>143</v>
      </c>
      <c r="J609" s="17">
        <v>66329</v>
      </c>
      <c r="K609" s="18">
        <v>0.44869999999999999</v>
      </c>
      <c r="L609" s="26" t="b">
        <f t="shared" si="47"/>
        <v>0</v>
      </c>
      <c r="M609" s="26" t="str">
        <f t="shared" si="44"/>
        <v>put</v>
      </c>
      <c r="N609" s="28">
        <f t="shared" si="45"/>
        <v>46038</v>
      </c>
      <c r="O609" s="29">
        <f t="shared" si="46"/>
        <v>103</v>
      </c>
    </row>
    <row r="610" spans="1:15" x14ac:dyDescent="0.45">
      <c r="A610" s="11" t="s">
        <v>721</v>
      </c>
      <c r="B610" s="12">
        <v>45726.534722222219</v>
      </c>
      <c r="C610" s="13">
        <v>155</v>
      </c>
      <c r="D610" s="14">
        <v>0.2</v>
      </c>
      <c r="E610" s="14">
        <v>0.21</v>
      </c>
      <c r="F610" s="14">
        <v>0.23</v>
      </c>
      <c r="G610" s="15">
        <v>-0.01</v>
      </c>
      <c r="H610" s="16">
        <v>-4.7600000000000003E-2</v>
      </c>
      <c r="I610" s="14">
        <v>21</v>
      </c>
      <c r="J610" s="17">
        <v>6638</v>
      </c>
      <c r="K610" s="18">
        <v>0.43509999999999999</v>
      </c>
      <c r="L610" s="26" t="b">
        <f t="shared" si="47"/>
        <v>0</v>
      </c>
      <c r="M610" s="26" t="str">
        <f t="shared" si="44"/>
        <v>put</v>
      </c>
      <c r="N610" s="28">
        <f t="shared" si="45"/>
        <v>46038</v>
      </c>
      <c r="O610" s="29">
        <f t="shared" si="46"/>
        <v>103</v>
      </c>
    </row>
    <row r="611" spans="1:15" x14ac:dyDescent="0.45">
      <c r="A611" s="11" t="s">
        <v>722</v>
      </c>
      <c r="B611" s="12">
        <v>45726.614583333336</v>
      </c>
      <c r="C611" s="13">
        <v>160</v>
      </c>
      <c r="D611" s="14">
        <v>0.25</v>
      </c>
      <c r="E611" s="14">
        <v>0.24</v>
      </c>
      <c r="F611" s="14">
        <v>0.27</v>
      </c>
      <c r="G611" s="15">
        <v>0</v>
      </c>
      <c r="H611" s="16">
        <v>0</v>
      </c>
      <c r="I611" s="17">
        <v>1785</v>
      </c>
      <c r="J611" s="17">
        <v>15943</v>
      </c>
      <c r="K611" s="18">
        <v>0.4204</v>
      </c>
      <c r="L611" s="26" t="b">
        <f t="shared" si="47"/>
        <v>0</v>
      </c>
      <c r="M611" s="26" t="str">
        <f t="shared" si="44"/>
        <v>put</v>
      </c>
      <c r="N611" s="28">
        <f t="shared" si="45"/>
        <v>46038</v>
      </c>
      <c r="O611" s="29">
        <f t="shared" si="46"/>
        <v>103</v>
      </c>
    </row>
    <row r="612" spans="1:15" x14ac:dyDescent="0.45">
      <c r="A612" s="11" t="s">
        <v>723</v>
      </c>
      <c r="B612" s="12">
        <v>45698.598611111112</v>
      </c>
      <c r="C612" s="13">
        <v>165</v>
      </c>
      <c r="D612" s="14">
        <v>0.28999999999999998</v>
      </c>
      <c r="E612" s="14">
        <v>0.28999999999999998</v>
      </c>
      <c r="F612" s="14">
        <v>0.32</v>
      </c>
      <c r="G612" s="15">
        <v>0</v>
      </c>
      <c r="H612" s="16">
        <v>0</v>
      </c>
      <c r="I612" s="14">
        <v>101</v>
      </c>
      <c r="J612" s="17">
        <v>13998</v>
      </c>
      <c r="K612" s="18">
        <v>0.40629999999999999</v>
      </c>
      <c r="L612" s="26" t="b">
        <f t="shared" si="47"/>
        <v>0</v>
      </c>
      <c r="M612" s="26" t="str">
        <f t="shared" si="44"/>
        <v>put</v>
      </c>
      <c r="N612" s="28">
        <f t="shared" si="45"/>
        <v>46038</v>
      </c>
      <c r="O612" s="29">
        <f t="shared" si="46"/>
        <v>103</v>
      </c>
    </row>
    <row r="613" spans="1:15" x14ac:dyDescent="0.45">
      <c r="A613" s="11" t="s">
        <v>724</v>
      </c>
      <c r="B613" s="12">
        <v>45726.563888888886</v>
      </c>
      <c r="C613" s="13">
        <v>170</v>
      </c>
      <c r="D613" s="14">
        <v>0.34</v>
      </c>
      <c r="E613" s="14">
        <v>0.35</v>
      </c>
      <c r="F613" s="14">
        <v>0.38</v>
      </c>
      <c r="G613" s="15">
        <v>-0.01</v>
      </c>
      <c r="H613" s="16">
        <v>-2.86E-2</v>
      </c>
      <c r="I613" s="14">
        <v>19</v>
      </c>
      <c r="J613" s="17">
        <v>28026</v>
      </c>
      <c r="K613" s="18">
        <v>0.3926</v>
      </c>
      <c r="L613" s="26" t="b">
        <f t="shared" si="47"/>
        <v>0</v>
      </c>
      <c r="M613" s="26" t="str">
        <f t="shared" si="44"/>
        <v>put</v>
      </c>
      <c r="N613" s="28">
        <f t="shared" si="45"/>
        <v>46038</v>
      </c>
      <c r="O613" s="29">
        <f t="shared" si="46"/>
        <v>103</v>
      </c>
    </row>
    <row r="614" spans="1:15" x14ac:dyDescent="0.45">
      <c r="A614" s="11" t="s">
        <v>725</v>
      </c>
      <c r="B614" s="12">
        <v>45726.595138888886</v>
      </c>
      <c r="C614" s="13">
        <v>175</v>
      </c>
      <c r="D614" s="14">
        <v>0.43</v>
      </c>
      <c r="E614" s="14">
        <v>0.42</v>
      </c>
      <c r="F614" s="14">
        <v>0.45</v>
      </c>
      <c r="G614" s="15">
        <v>0.01</v>
      </c>
      <c r="H614" s="16">
        <v>2.3800000000000002E-2</v>
      </c>
      <c r="I614" s="14">
        <v>122</v>
      </c>
      <c r="J614" s="17">
        <v>26483</v>
      </c>
      <c r="K614" s="18">
        <v>0.37890000000000001</v>
      </c>
      <c r="L614" s="26" t="b">
        <f t="shared" si="47"/>
        <v>0</v>
      </c>
      <c r="M614" s="26" t="str">
        <f t="shared" si="44"/>
        <v>put</v>
      </c>
      <c r="N614" s="28">
        <f t="shared" si="45"/>
        <v>46038</v>
      </c>
      <c r="O614" s="29">
        <f t="shared" si="46"/>
        <v>103</v>
      </c>
    </row>
    <row r="615" spans="1:15" x14ac:dyDescent="0.45">
      <c r="A615" s="11" t="s">
        <v>726</v>
      </c>
      <c r="B615" s="12">
        <v>45726.599305555559</v>
      </c>
      <c r="C615" s="13">
        <v>180</v>
      </c>
      <c r="D615" s="14">
        <v>0.51</v>
      </c>
      <c r="E615" s="14">
        <v>0.51</v>
      </c>
      <c r="F615" s="14">
        <v>0.53</v>
      </c>
      <c r="G615" s="15">
        <v>-0.01</v>
      </c>
      <c r="H615" s="16">
        <v>-1.9199999999999998E-2</v>
      </c>
      <c r="I615" s="14">
        <v>927</v>
      </c>
      <c r="J615" s="17">
        <v>64290</v>
      </c>
      <c r="K615" s="18">
        <v>0.36520000000000002</v>
      </c>
      <c r="L615" s="26" t="b">
        <f t="shared" si="47"/>
        <v>0</v>
      </c>
      <c r="M615" s="26" t="str">
        <f t="shared" si="44"/>
        <v>put</v>
      </c>
      <c r="N615" s="28">
        <f t="shared" si="45"/>
        <v>46038</v>
      </c>
      <c r="O615" s="29">
        <f t="shared" si="46"/>
        <v>103</v>
      </c>
    </row>
    <row r="616" spans="1:15" x14ac:dyDescent="0.45">
      <c r="A616" s="11" t="s">
        <v>727</v>
      </c>
      <c r="B616" s="12">
        <v>45726.595138888886</v>
      </c>
      <c r="C616" s="13">
        <v>185</v>
      </c>
      <c r="D616" s="14">
        <v>0.62</v>
      </c>
      <c r="E616" s="14">
        <v>0.62</v>
      </c>
      <c r="F616" s="14">
        <v>0.64</v>
      </c>
      <c r="G616" s="15">
        <v>0.01</v>
      </c>
      <c r="H616" s="16">
        <v>1.6400000000000001E-2</v>
      </c>
      <c r="I616" s="14">
        <v>171</v>
      </c>
      <c r="J616" s="17">
        <v>17722</v>
      </c>
      <c r="K616" s="18">
        <v>0.3533</v>
      </c>
      <c r="L616" s="26" t="b">
        <f t="shared" si="47"/>
        <v>0</v>
      </c>
      <c r="M616" s="26" t="str">
        <f t="shared" si="44"/>
        <v>put</v>
      </c>
      <c r="N616" s="28">
        <f t="shared" si="45"/>
        <v>46038</v>
      </c>
      <c r="O616" s="29">
        <f t="shared" si="46"/>
        <v>103</v>
      </c>
    </row>
    <row r="617" spans="1:15" x14ac:dyDescent="0.45">
      <c r="A617" s="11" t="s">
        <v>728</v>
      </c>
      <c r="B617" s="12">
        <v>45726.620833333334</v>
      </c>
      <c r="C617" s="13">
        <v>190</v>
      </c>
      <c r="D617" s="14">
        <v>0.74</v>
      </c>
      <c r="E617" s="14">
        <v>0.75</v>
      </c>
      <c r="F617" s="14">
        <v>0.77</v>
      </c>
      <c r="G617" s="15">
        <v>-0.03</v>
      </c>
      <c r="H617" s="16">
        <v>-3.9E-2</v>
      </c>
      <c r="I617" s="14">
        <v>23</v>
      </c>
      <c r="J617" s="17">
        <v>16171</v>
      </c>
      <c r="K617" s="18">
        <v>0.34110000000000001</v>
      </c>
      <c r="L617" s="26" t="b">
        <f t="shared" si="47"/>
        <v>0</v>
      </c>
      <c r="M617" s="26" t="str">
        <f t="shared" si="44"/>
        <v>put</v>
      </c>
      <c r="N617" s="28">
        <f t="shared" si="45"/>
        <v>46038</v>
      </c>
      <c r="O617" s="29">
        <f t="shared" si="46"/>
        <v>103</v>
      </c>
    </row>
    <row r="618" spans="1:15" x14ac:dyDescent="0.45">
      <c r="A618" s="11" t="s">
        <v>729</v>
      </c>
      <c r="B618" s="12">
        <v>45726.663194444445</v>
      </c>
      <c r="C618" s="13">
        <v>195</v>
      </c>
      <c r="D618" s="14">
        <v>0.93</v>
      </c>
      <c r="E618" s="14">
        <v>0.9</v>
      </c>
      <c r="F618" s="14">
        <v>0.93</v>
      </c>
      <c r="G618" s="14">
        <v>0</v>
      </c>
      <c r="H618" s="18">
        <v>0</v>
      </c>
      <c r="I618" s="14">
        <v>557</v>
      </c>
      <c r="J618" s="17">
        <v>18332</v>
      </c>
      <c r="K618" s="18">
        <v>0.32940000000000003</v>
      </c>
      <c r="L618" s="26" t="b">
        <f t="shared" si="47"/>
        <v>0</v>
      </c>
      <c r="M618" s="26" t="str">
        <f t="shared" si="44"/>
        <v>put</v>
      </c>
      <c r="N618" s="28">
        <f t="shared" si="45"/>
        <v>46038</v>
      </c>
      <c r="O618" s="29">
        <f t="shared" si="46"/>
        <v>103</v>
      </c>
    </row>
    <row r="619" spans="1:15" x14ac:dyDescent="0.45">
      <c r="A619" s="11" t="s">
        <v>730</v>
      </c>
      <c r="B619" s="12">
        <v>45726.636805555558</v>
      </c>
      <c r="C619" s="13">
        <v>200</v>
      </c>
      <c r="D619" s="14">
        <v>1.08</v>
      </c>
      <c r="E619" s="14">
        <v>1.1000000000000001</v>
      </c>
      <c r="F619" s="14">
        <v>1.1299999999999999</v>
      </c>
      <c r="G619" s="15">
        <v>-0.05</v>
      </c>
      <c r="H619" s="16">
        <v>-4.4200000000000003E-2</v>
      </c>
      <c r="I619" s="14">
        <v>592</v>
      </c>
      <c r="J619" s="17">
        <v>43050</v>
      </c>
      <c r="K619" s="18">
        <v>0.31840000000000002</v>
      </c>
      <c r="L619" s="26" t="b">
        <f t="shared" si="47"/>
        <v>0</v>
      </c>
      <c r="M619" s="26" t="str">
        <f t="shared" si="44"/>
        <v>put</v>
      </c>
      <c r="N619" s="28">
        <f t="shared" si="45"/>
        <v>46038</v>
      </c>
      <c r="O619" s="29">
        <f t="shared" si="46"/>
        <v>103</v>
      </c>
    </row>
    <row r="620" spans="1:15" x14ac:dyDescent="0.45">
      <c r="A620" s="11" t="s">
        <v>731</v>
      </c>
      <c r="B620" s="12">
        <v>45726.558333333334</v>
      </c>
      <c r="C620" s="13">
        <v>205</v>
      </c>
      <c r="D620" s="14">
        <v>1.37</v>
      </c>
      <c r="E620" s="14">
        <v>1.34</v>
      </c>
      <c r="F620" s="14">
        <v>1.38</v>
      </c>
      <c r="G620" s="14">
        <v>-0.01</v>
      </c>
      <c r="H620" s="18">
        <v>-7.1999999999999998E-3</v>
      </c>
      <c r="I620" s="14">
        <v>31</v>
      </c>
      <c r="J620" s="17">
        <v>15439</v>
      </c>
      <c r="K620" s="18">
        <v>0.30769999999999997</v>
      </c>
      <c r="L620" s="26" t="b">
        <f t="shared" si="47"/>
        <v>0</v>
      </c>
      <c r="M620" s="26" t="str">
        <f t="shared" si="44"/>
        <v>put</v>
      </c>
      <c r="N620" s="28">
        <f t="shared" si="45"/>
        <v>46038</v>
      </c>
      <c r="O620" s="29">
        <f t="shared" si="46"/>
        <v>103</v>
      </c>
    </row>
    <row r="621" spans="1:15" x14ac:dyDescent="0.45">
      <c r="A621" s="11" t="s">
        <v>732</v>
      </c>
      <c r="B621" s="12">
        <v>45726.645833333336</v>
      </c>
      <c r="C621" s="13">
        <v>210</v>
      </c>
      <c r="D621" s="14">
        <v>1.65</v>
      </c>
      <c r="E621" s="14">
        <v>1.64</v>
      </c>
      <c r="F621" s="14">
        <v>1.68</v>
      </c>
      <c r="G621" s="14">
        <v>-0.05</v>
      </c>
      <c r="H621" s="18">
        <v>-2.9399999999999999E-2</v>
      </c>
      <c r="I621" s="14">
        <v>820</v>
      </c>
      <c r="J621" s="17">
        <v>37098</v>
      </c>
      <c r="K621" s="18">
        <v>0.29699999999999999</v>
      </c>
      <c r="L621" s="26" t="b">
        <f t="shared" si="47"/>
        <v>0</v>
      </c>
      <c r="M621" s="26" t="str">
        <f t="shared" si="44"/>
        <v>put</v>
      </c>
      <c r="N621" s="28">
        <f t="shared" si="45"/>
        <v>46038</v>
      </c>
      <c r="O621" s="29">
        <f t="shared" si="46"/>
        <v>103</v>
      </c>
    </row>
    <row r="622" spans="1:15" x14ac:dyDescent="0.45">
      <c r="A622" s="11" t="s">
        <v>733</v>
      </c>
      <c r="B622" s="12">
        <v>45726.637499999997</v>
      </c>
      <c r="C622" s="13">
        <v>215</v>
      </c>
      <c r="D622" s="14">
        <v>2.0099999999999998</v>
      </c>
      <c r="E622" s="14">
        <v>2.02</v>
      </c>
      <c r="F622" s="14">
        <v>2.06</v>
      </c>
      <c r="G622" s="14">
        <v>-0.09</v>
      </c>
      <c r="H622" s="18">
        <v>-4.2900000000000001E-2</v>
      </c>
      <c r="I622" s="17">
        <v>2637</v>
      </c>
      <c r="J622" s="17">
        <v>13904</v>
      </c>
      <c r="K622" s="18">
        <v>0.28710000000000002</v>
      </c>
      <c r="L622" s="26" t="b">
        <f t="shared" si="47"/>
        <v>0</v>
      </c>
      <c r="M622" s="26" t="str">
        <f t="shared" si="44"/>
        <v>put</v>
      </c>
      <c r="N622" s="28">
        <f t="shared" si="45"/>
        <v>46038</v>
      </c>
      <c r="O622" s="29">
        <f t="shared" si="46"/>
        <v>103</v>
      </c>
    </row>
    <row r="623" spans="1:15" x14ac:dyDescent="0.45">
      <c r="A623" s="11" t="s">
        <v>734</v>
      </c>
      <c r="B623" s="12">
        <v>45726.611111111109</v>
      </c>
      <c r="C623" s="13">
        <v>220</v>
      </c>
      <c r="D623" s="14">
        <v>2.5299999999999998</v>
      </c>
      <c r="E623" s="14">
        <v>2.48</v>
      </c>
      <c r="F623" s="14">
        <v>2.5299999999999998</v>
      </c>
      <c r="G623" s="14">
        <v>0</v>
      </c>
      <c r="H623" s="18">
        <v>0</v>
      </c>
      <c r="I623" s="17">
        <v>1016</v>
      </c>
      <c r="J623" s="17">
        <v>17119</v>
      </c>
      <c r="K623" s="18">
        <v>0.27739999999999998</v>
      </c>
      <c r="L623" s="26" t="b">
        <f t="shared" si="47"/>
        <v>0</v>
      </c>
      <c r="M623" s="26" t="str">
        <f t="shared" si="44"/>
        <v>put</v>
      </c>
      <c r="N623" s="28">
        <f t="shared" si="45"/>
        <v>46038</v>
      </c>
      <c r="O623" s="29">
        <f t="shared" si="46"/>
        <v>103</v>
      </c>
    </row>
    <row r="624" spans="1:15" x14ac:dyDescent="0.45">
      <c r="A624" s="11" t="s">
        <v>735</v>
      </c>
      <c r="B624" s="12">
        <v>45726.631944444445</v>
      </c>
      <c r="C624" s="13">
        <v>225</v>
      </c>
      <c r="D624" s="14">
        <v>3.15</v>
      </c>
      <c r="E624" s="14">
        <v>3.05</v>
      </c>
      <c r="F624" s="14">
        <v>3.15</v>
      </c>
      <c r="G624" s="14">
        <v>-0.03</v>
      </c>
      <c r="H624" s="18">
        <v>-9.4000000000000004E-3</v>
      </c>
      <c r="I624" s="14">
        <v>634</v>
      </c>
      <c r="J624" s="17">
        <v>14734</v>
      </c>
      <c r="K624" s="18">
        <v>0.26929999999999998</v>
      </c>
      <c r="L624" s="26" t="b">
        <f t="shared" si="47"/>
        <v>0</v>
      </c>
      <c r="M624" s="26" t="str">
        <f t="shared" si="44"/>
        <v>put</v>
      </c>
      <c r="N624" s="28">
        <f t="shared" si="45"/>
        <v>46038</v>
      </c>
      <c r="O624" s="29">
        <f t="shared" si="46"/>
        <v>103</v>
      </c>
    </row>
    <row r="625" spans="1:15" x14ac:dyDescent="0.45">
      <c r="A625" s="11" t="s">
        <v>736</v>
      </c>
      <c r="B625" s="12">
        <v>45726.664583333331</v>
      </c>
      <c r="C625" s="13">
        <v>230</v>
      </c>
      <c r="D625" s="14">
        <v>3.84</v>
      </c>
      <c r="E625" s="14">
        <v>3.75</v>
      </c>
      <c r="F625" s="14">
        <v>3.85</v>
      </c>
      <c r="G625" s="15">
        <v>-0.06</v>
      </c>
      <c r="H625" s="16">
        <v>-1.54E-2</v>
      </c>
      <c r="I625" s="14">
        <v>282</v>
      </c>
      <c r="J625" s="17">
        <v>17132</v>
      </c>
      <c r="K625" s="18">
        <v>0.25979999999999998</v>
      </c>
      <c r="L625" s="26" t="b">
        <f t="shared" si="47"/>
        <v>0</v>
      </c>
      <c r="M625" s="26" t="str">
        <f t="shared" si="44"/>
        <v>put</v>
      </c>
      <c r="N625" s="28">
        <f t="shared" si="45"/>
        <v>46038</v>
      </c>
      <c r="O625" s="29">
        <f t="shared" si="46"/>
        <v>103</v>
      </c>
    </row>
    <row r="626" spans="1:15" x14ac:dyDescent="0.45">
      <c r="A626" s="11" t="s">
        <v>737</v>
      </c>
      <c r="B626" s="12">
        <v>45726.627083333333</v>
      </c>
      <c r="C626" s="13">
        <v>235</v>
      </c>
      <c r="D626" s="14">
        <v>4.6500000000000004</v>
      </c>
      <c r="E626" s="14">
        <v>4.6500000000000004</v>
      </c>
      <c r="F626" s="14">
        <v>4.75</v>
      </c>
      <c r="G626" s="15">
        <v>-0.3</v>
      </c>
      <c r="H626" s="16">
        <v>-6.0600000000000001E-2</v>
      </c>
      <c r="I626" s="14">
        <v>86</v>
      </c>
      <c r="J626" s="17">
        <v>8762</v>
      </c>
      <c r="K626" s="18">
        <v>0.25159999999999999</v>
      </c>
      <c r="L626" s="26" t="b">
        <f t="shared" si="47"/>
        <v>0</v>
      </c>
      <c r="M626" s="26" t="str">
        <f t="shared" si="44"/>
        <v>put</v>
      </c>
      <c r="N626" s="28">
        <f t="shared" si="45"/>
        <v>46038</v>
      </c>
      <c r="O626" s="29">
        <f t="shared" si="46"/>
        <v>103</v>
      </c>
    </row>
    <row r="627" spans="1:15" x14ac:dyDescent="0.45">
      <c r="A627" s="11" t="s">
        <v>738</v>
      </c>
      <c r="B627" s="12">
        <v>45726.647222222222</v>
      </c>
      <c r="C627" s="13">
        <v>240</v>
      </c>
      <c r="D627" s="14">
        <v>5.85</v>
      </c>
      <c r="E627" s="14">
        <v>5.75</v>
      </c>
      <c r="F627" s="14">
        <v>5.85</v>
      </c>
      <c r="G627" s="15">
        <v>-0.22</v>
      </c>
      <c r="H627" s="16">
        <v>-3.6200000000000003E-2</v>
      </c>
      <c r="I627" s="14">
        <v>221</v>
      </c>
      <c r="J627" s="17">
        <v>8607</v>
      </c>
      <c r="K627" s="18">
        <v>0.24379999999999999</v>
      </c>
      <c r="L627" s="26" t="b">
        <f t="shared" si="47"/>
        <v>0</v>
      </c>
      <c r="M627" s="26" t="str">
        <f t="shared" si="44"/>
        <v>put</v>
      </c>
      <c r="N627" s="28">
        <f t="shared" si="45"/>
        <v>46038</v>
      </c>
      <c r="O627" s="29">
        <f t="shared" si="46"/>
        <v>103</v>
      </c>
    </row>
    <row r="628" spans="1:15" x14ac:dyDescent="0.45">
      <c r="A628" s="11" t="s">
        <v>739</v>
      </c>
      <c r="B628" s="12">
        <v>45726.604166666664</v>
      </c>
      <c r="C628" s="13">
        <v>245</v>
      </c>
      <c r="D628" s="14">
        <v>7</v>
      </c>
      <c r="E628" s="14">
        <v>7.1</v>
      </c>
      <c r="F628" s="14">
        <v>7.2</v>
      </c>
      <c r="G628" s="15">
        <v>-0.47</v>
      </c>
      <c r="H628" s="16">
        <v>-6.2899999999999998E-2</v>
      </c>
      <c r="I628" s="14">
        <v>120</v>
      </c>
      <c r="J628" s="17">
        <v>3690</v>
      </c>
      <c r="K628" s="18">
        <v>0.2366</v>
      </c>
      <c r="L628" s="26" t="b">
        <f t="shared" si="47"/>
        <v>0</v>
      </c>
      <c r="M628" s="26" t="str">
        <f t="shared" si="44"/>
        <v>put</v>
      </c>
      <c r="N628" s="28">
        <f t="shared" si="45"/>
        <v>46038</v>
      </c>
      <c r="O628" s="29">
        <f t="shared" si="46"/>
        <v>103</v>
      </c>
    </row>
    <row r="629" spans="1:15" x14ac:dyDescent="0.45">
      <c r="A629" s="11" t="s">
        <v>740</v>
      </c>
      <c r="B629" s="12">
        <v>45726.665277777778</v>
      </c>
      <c r="C629" s="13">
        <v>250</v>
      </c>
      <c r="D629" s="14">
        <v>8.82</v>
      </c>
      <c r="E629" s="14">
        <v>8.6999999999999993</v>
      </c>
      <c r="F629" s="14">
        <v>8.8000000000000007</v>
      </c>
      <c r="G629" s="15">
        <v>-0.33</v>
      </c>
      <c r="H629" s="16">
        <v>-3.61E-2</v>
      </c>
      <c r="I629" s="14">
        <v>401</v>
      </c>
      <c r="J629" s="17">
        <v>16451</v>
      </c>
      <c r="K629" s="18">
        <v>0.22939999999999999</v>
      </c>
      <c r="L629" s="26" t="b">
        <f t="shared" si="47"/>
        <v>0</v>
      </c>
      <c r="M629" s="26" t="str">
        <f t="shared" si="44"/>
        <v>put</v>
      </c>
      <c r="N629" s="28">
        <f t="shared" si="45"/>
        <v>46038</v>
      </c>
      <c r="O629" s="29">
        <f t="shared" si="46"/>
        <v>103</v>
      </c>
    </row>
    <row r="630" spans="1:15" x14ac:dyDescent="0.45">
      <c r="A630" s="11" t="s">
        <v>741</v>
      </c>
      <c r="B630" s="12">
        <v>45726.646527777775</v>
      </c>
      <c r="C630" s="13">
        <v>255</v>
      </c>
      <c r="D630" s="14">
        <v>10.62</v>
      </c>
      <c r="E630" s="14">
        <v>10.55</v>
      </c>
      <c r="F630" s="14">
        <v>10.7</v>
      </c>
      <c r="G630" s="15">
        <v>-0.57999999999999996</v>
      </c>
      <c r="H630" s="16">
        <v>-5.1799999999999999E-2</v>
      </c>
      <c r="I630" s="14">
        <v>558</v>
      </c>
      <c r="J630" s="17">
        <v>2015</v>
      </c>
      <c r="K630" s="18">
        <v>0.22259999999999999</v>
      </c>
      <c r="L630" s="26" t="b">
        <f t="shared" si="47"/>
        <v>0</v>
      </c>
      <c r="M630" s="26" t="str">
        <f t="shared" si="44"/>
        <v>put</v>
      </c>
      <c r="N630" s="28">
        <f t="shared" si="45"/>
        <v>46038</v>
      </c>
      <c r="O630" s="29">
        <f t="shared" si="46"/>
        <v>103</v>
      </c>
    </row>
    <row r="631" spans="1:15" x14ac:dyDescent="0.45">
      <c r="A631" s="1" t="s">
        <v>742</v>
      </c>
      <c r="B631" s="2">
        <v>45726.652083333334</v>
      </c>
      <c r="C631" s="3">
        <v>260</v>
      </c>
      <c r="D631" s="4">
        <v>12.95</v>
      </c>
      <c r="E631" s="4">
        <v>12.8</v>
      </c>
      <c r="F631" s="4">
        <v>12.95</v>
      </c>
      <c r="G631" s="8">
        <v>-0.08</v>
      </c>
      <c r="H631" s="9">
        <v>-6.1000000000000004E-3</v>
      </c>
      <c r="I631" s="4">
        <v>322</v>
      </c>
      <c r="J631" s="10">
        <v>3234</v>
      </c>
      <c r="K631" s="5">
        <v>0.21659999999999999</v>
      </c>
      <c r="L631" s="26" t="b">
        <f t="shared" si="47"/>
        <v>1</v>
      </c>
      <c r="M631" s="26" t="str">
        <f t="shared" si="44"/>
        <v>put</v>
      </c>
      <c r="N631" s="28">
        <f t="shared" si="45"/>
        <v>46038</v>
      </c>
      <c r="O631" s="29">
        <f t="shared" si="46"/>
        <v>103</v>
      </c>
    </row>
    <row r="632" spans="1:15" x14ac:dyDescent="0.45">
      <c r="A632" s="1" t="s">
        <v>743</v>
      </c>
      <c r="B632" s="2">
        <v>45726.65902777778</v>
      </c>
      <c r="C632" s="3">
        <v>265</v>
      </c>
      <c r="D632" s="4">
        <v>15.46</v>
      </c>
      <c r="E632" s="4">
        <v>15.35</v>
      </c>
      <c r="F632" s="4">
        <v>15.5</v>
      </c>
      <c r="G632" s="8">
        <v>-0.56999999999999995</v>
      </c>
      <c r="H632" s="9">
        <v>-3.56E-2</v>
      </c>
      <c r="I632" s="4">
        <v>11</v>
      </c>
      <c r="J632" s="4">
        <v>724</v>
      </c>
      <c r="K632" s="5">
        <v>0.2099</v>
      </c>
      <c r="L632" s="26" t="b">
        <f t="shared" si="47"/>
        <v>1</v>
      </c>
      <c r="M632" s="26" t="str">
        <f t="shared" si="44"/>
        <v>put</v>
      </c>
      <c r="N632" s="28">
        <f t="shared" si="45"/>
        <v>46038</v>
      </c>
      <c r="O632" s="29">
        <f t="shared" si="46"/>
        <v>103</v>
      </c>
    </row>
    <row r="633" spans="1:15" x14ac:dyDescent="0.45">
      <c r="A633" s="1" t="s">
        <v>744</v>
      </c>
      <c r="B633" s="2">
        <v>45726.489583333336</v>
      </c>
      <c r="C633" s="3">
        <v>270</v>
      </c>
      <c r="D633" s="4">
        <v>18.100000000000001</v>
      </c>
      <c r="E633" s="4">
        <v>18.25</v>
      </c>
      <c r="F633" s="4">
        <v>18.45</v>
      </c>
      <c r="G633" s="8">
        <v>-0.89</v>
      </c>
      <c r="H633" s="9">
        <v>-4.6899999999999997E-2</v>
      </c>
      <c r="I633" s="4">
        <v>28</v>
      </c>
      <c r="J633" s="4">
        <v>345</v>
      </c>
      <c r="K633" s="5">
        <v>0.2044</v>
      </c>
      <c r="L633" s="26" t="b">
        <f t="shared" si="47"/>
        <v>1</v>
      </c>
      <c r="M633" s="26" t="str">
        <f t="shared" si="44"/>
        <v>put</v>
      </c>
      <c r="N633" s="28">
        <f t="shared" si="45"/>
        <v>46038</v>
      </c>
      <c r="O633" s="29">
        <f t="shared" si="46"/>
        <v>103</v>
      </c>
    </row>
    <row r="634" spans="1:15" x14ac:dyDescent="0.45">
      <c r="A634" s="1" t="s">
        <v>745</v>
      </c>
      <c r="B634" s="2">
        <v>45726.6</v>
      </c>
      <c r="C634" s="3">
        <v>275</v>
      </c>
      <c r="D634" s="4">
        <v>21.45</v>
      </c>
      <c r="E634" s="4">
        <v>21.25</v>
      </c>
      <c r="F634" s="4">
        <v>21.8</v>
      </c>
      <c r="G634" s="8">
        <v>-0.7</v>
      </c>
      <c r="H634" s="9">
        <v>-3.1600000000000003E-2</v>
      </c>
      <c r="I634" s="4">
        <v>27</v>
      </c>
      <c r="J634" s="4">
        <v>114</v>
      </c>
      <c r="K634" s="5">
        <v>0.20019999999999999</v>
      </c>
      <c r="L634" s="26" t="b">
        <f t="shared" si="47"/>
        <v>1</v>
      </c>
      <c r="M634" s="26" t="str">
        <f t="shared" si="44"/>
        <v>put</v>
      </c>
      <c r="N634" s="28">
        <f t="shared" si="45"/>
        <v>46038</v>
      </c>
      <c r="O634" s="29">
        <f t="shared" si="46"/>
        <v>103</v>
      </c>
    </row>
    <row r="635" spans="1:15" x14ac:dyDescent="0.45">
      <c r="A635" s="1" t="s">
        <v>746</v>
      </c>
      <c r="B635" s="2">
        <v>45726.432638888888</v>
      </c>
      <c r="C635" s="3">
        <v>280</v>
      </c>
      <c r="D635" s="4">
        <v>25.25</v>
      </c>
      <c r="E635" s="4">
        <v>25.05</v>
      </c>
      <c r="F635" s="4">
        <v>25.35</v>
      </c>
      <c r="G635" s="8">
        <v>-0.41</v>
      </c>
      <c r="H635" s="9">
        <v>-1.6E-2</v>
      </c>
      <c r="I635" s="4">
        <v>2</v>
      </c>
      <c r="J635" s="4">
        <v>175</v>
      </c>
      <c r="K635" s="5">
        <v>0.1933</v>
      </c>
      <c r="L635" s="26" t="b">
        <f t="shared" si="47"/>
        <v>1</v>
      </c>
      <c r="M635" s="26" t="str">
        <f t="shared" si="44"/>
        <v>put</v>
      </c>
      <c r="N635" s="28">
        <f t="shared" si="45"/>
        <v>46038</v>
      </c>
      <c r="O635" s="29">
        <f t="shared" si="46"/>
        <v>103</v>
      </c>
    </row>
    <row r="636" spans="1:15" x14ac:dyDescent="0.45">
      <c r="A636" s="1" t="s">
        <v>747</v>
      </c>
      <c r="B636" s="2">
        <v>45726.494444444441</v>
      </c>
      <c r="C636" s="3">
        <v>285</v>
      </c>
      <c r="D636" s="4">
        <v>29.58</v>
      </c>
      <c r="E636" s="4">
        <v>28.8</v>
      </c>
      <c r="F636" s="4">
        <v>29.25</v>
      </c>
      <c r="G636" s="8">
        <v>-0.1</v>
      </c>
      <c r="H636" s="9">
        <v>-3.3999999999999998E-3</v>
      </c>
      <c r="I636" s="4">
        <v>3</v>
      </c>
      <c r="J636" s="4">
        <v>86</v>
      </c>
      <c r="K636" s="5">
        <v>0.18720000000000001</v>
      </c>
      <c r="L636" s="26" t="b">
        <f t="shared" si="47"/>
        <v>1</v>
      </c>
      <c r="M636" s="26" t="str">
        <f t="shared" si="44"/>
        <v>put</v>
      </c>
      <c r="N636" s="28">
        <f t="shared" si="45"/>
        <v>46038</v>
      </c>
      <c r="O636" s="29">
        <f t="shared" si="46"/>
        <v>103</v>
      </c>
    </row>
    <row r="637" spans="1:15" x14ac:dyDescent="0.45">
      <c r="A637" s="1" t="s">
        <v>748</v>
      </c>
      <c r="B637" s="2">
        <v>45726.505555555559</v>
      </c>
      <c r="C637" s="3">
        <v>290</v>
      </c>
      <c r="D637" s="4">
        <v>32.909999999999997</v>
      </c>
      <c r="E637" s="4">
        <v>33.049999999999997</v>
      </c>
      <c r="F637" s="4">
        <v>33.549999999999997</v>
      </c>
      <c r="G637" s="8">
        <v>-1.2</v>
      </c>
      <c r="H637" s="9">
        <v>-3.5200000000000002E-2</v>
      </c>
      <c r="I637" s="4">
        <v>7</v>
      </c>
      <c r="J637" s="4">
        <v>39</v>
      </c>
      <c r="K637" s="5">
        <v>0.18540000000000001</v>
      </c>
      <c r="L637" s="26" t="b">
        <f t="shared" si="47"/>
        <v>1</v>
      </c>
      <c r="M637" s="26" t="str">
        <f t="shared" ref="M637:M700" si="48">IF(MID(A637,11,1)="C","call","put")</f>
        <v>put</v>
      </c>
      <c r="N637" s="28">
        <f t="shared" ref="N637:N700" si="49">DATE(MID(A637,5,2)+2000,MID(A637,7,2),MID(A637,9,2))</f>
        <v>46038</v>
      </c>
      <c r="O637" s="29">
        <f t="shared" si="46"/>
        <v>103</v>
      </c>
    </row>
    <row r="638" spans="1:15" x14ac:dyDescent="0.45">
      <c r="A638" s="1" t="s">
        <v>749</v>
      </c>
      <c r="B638" s="4" t="s">
        <v>750</v>
      </c>
      <c r="C638" s="3">
        <v>295</v>
      </c>
      <c r="D638" s="4">
        <v>40</v>
      </c>
      <c r="E638" s="4">
        <v>37.299999999999997</v>
      </c>
      <c r="F638" s="4">
        <v>37.950000000000003</v>
      </c>
      <c r="G638" s="8">
        <v>0</v>
      </c>
      <c r="H638" s="9">
        <v>0</v>
      </c>
      <c r="I638" s="4">
        <v>1</v>
      </c>
      <c r="J638" s="4">
        <v>85</v>
      </c>
      <c r="K638" s="5">
        <v>0.1797</v>
      </c>
      <c r="L638" s="26" t="b">
        <f t="shared" si="47"/>
        <v>1</v>
      </c>
      <c r="M638" s="26" t="str">
        <f t="shared" si="48"/>
        <v>put</v>
      </c>
      <c r="N638" s="28">
        <f t="shared" si="49"/>
        <v>46038</v>
      </c>
      <c r="O638" s="29">
        <f t="shared" ref="O638:O701" si="50">N638-DATE(2025,10,5)</f>
        <v>103</v>
      </c>
    </row>
    <row r="639" spans="1:15" x14ac:dyDescent="0.45">
      <c r="A639" s="1" t="s">
        <v>751</v>
      </c>
      <c r="B639" s="4" t="s">
        <v>752</v>
      </c>
      <c r="C639" s="3">
        <v>300</v>
      </c>
      <c r="D639" s="4">
        <v>42.2</v>
      </c>
      <c r="E639" s="4">
        <v>41.95</v>
      </c>
      <c r="F639" s="4">
        <v>42.6</v>
      </c>
      <c r="G639" s="4">
        <v>-6.8</v>
      </c>
      <c r="H639" s="5">
        <v>-0.13880000000000001</v>
      </c>
      <c r="I639" s="4">
        <v>1</v>
      </c>
      <c r="J639" s="4">
        <v>52</v>
      </c>
      <c r="K639" s="5">
        <v>0.17760000000000001</v>
      </c>
      <c r="L639" s="26" t="b">
        <f t="shared" si="47"/>
        <v>1</v>
      </c>
      <c r="M639" s="26" t="str">
        <f t="shared" si="48"/>
        <v>put</v>
      </c>
      <c r="N639" s="28">
        <f t="shared" si="49"/>
        <v>46038</v>
      </c>
      <c r="O639" s="29">
        <f t="shared" si="50"/>
        <v>103</v>
      </c>
    </row>
    <row r="640" spans="1:15" x14ac:dyDescent="0.45">
      <c r="A640" s="1" t="s">
        <v>753</v>
      </c>
      <c r="B640" s="2">
        <v>45939.404861111114</v>
      </c>
      <c r="C640" s="3">
        <v>305</v>
      </c>
      <c r="D640" s="4">
        <v>76</v>
      </c>
      <c r="E640" s="4">
        <v>46.35</v>
      </c>
      <c r="F640" s="4">
        <v>47.75</v>
      </c>
      <c r="G640" s="4">
        <v>0</v>
      </c>
      <c r="H640" s="5">
        <v>0</v>
      </c>
      <c r="I640" s="4">
        <v>0</v>
      </c>
      <c r="J640" s="4">
        <v>0</v>
      </c>
      <c r="K640" s="5">
        <v>0.20150000000000001</v>
      </c>
      <c r="L640" s="26" t="b">
        <f t="shared" ref="L640:L703" si="51">IF(M640="call",C640&lt;$P$1,C640&gt;$P$1)</f>
        <v>1</v>
      </c>
      <c r="M640" s="26" t="str">
        <f t="shared" si="48"/>
        <v>put</v>
      </c>
      <c r="N640" s="28">
        <f t="shared" si="49"/>
        <v>46038</v>
      </c>
      <c r="O640" s="29">
        <f t="shared" si="50"/>
        <v>103</v>
      </c>
    </row>
    <row r="641" spans="1:15" x14ac:dyDescent="0.45">
      <c r="A641" s="1" t="s">
        <v>754</v>
      </c>
      <c r="B641" s="4" t="s">
        <v>755</v>
      </c>
      <c r="C641" s="3">
        <v>310</v>
      </c>
      <c r="D641" s="4">
        <v>72.28</v>
      </c>
      <c r="E641" s="4">
        <v>51.35</v>
      </c>
      <c r="F641" s="4">
        <v>52.65</v>
      </c>
      <c r="G641" s="4">
        <v>0</v>
      </c>
      <c r="H641" s="5">
        <v>0</v>
      </c>
      <c r="I641" s="4">
        <v>1</v>
      </c>
      <c r="J641" s="4">
        <v>1</v>
      </c>
      <c r="K641" s="5">
        <v>0.21029999999999999</v>
      </c>
      <c r="L641" s="26" t="b">
        <f t="shared" si="51"/>
        <v>1</v>
      </c>
      <c r="M641" s="26" t="str">
        <f t="shared" si="48"/>
        <v>put</v>
      </c>
      <c r="N641" s="28">
        <f t="shared" si="49"/>
        <v>46038</v>
      </c>
      <c r="O641" s="29">
        <f t="shared" si="50"/>
        <v>103</v>
      </c>
    </row>
    <row r="642" spans="1:15" x14ac:dyDescent="0.45">
      <c r="A642" s="1" t="s">
        <v>756</v>
      </c>
      <c r="B642" s="4" t="s">
        <v>755</v>
      </c>
      <c r="C642" s="3">
        <v>315</v>
      </c>
      <c r="D642" s="4">
        <v>77.3</v>
      </c>
      <c r="E642" s="4">
        <v>56.35</v>
      </c>
      <c r="F642" s="4">
        <v>57.65</v>
      </c>
      <c r="G642" s="4">
        <v>0</v>
      </c>
      <c r="H642" s="5">
        <v>0</v>
      </c>
      <c r="I642" s="4">
        <v>1</v>
      </c>
      <c r="J642" s="4">
        <v>0</v>
      </c>
      <c r="K642" s="5">
        <v>0.22450000000000001</v>
      </c>
      <c r="L642" s="26" t="b">
        <f t="shared" si="51"/>
        <v>1</v>
      </c>
      <c r="M642" s="26" t="str">
        <f t="shared" si="48"/>
        <v>put</v>
      </c>
      <c r="N642" s="28">
        <f t="shared" si="49"/>
        <v>46038</v>
      </c>
      <c r="O642" s="29">
        <f t="shared" si="50"/>
        <v>103</v>
      </c>
    </row>
    <row r="643" spans="1:15" x14ac:dyDescent="0.45">
      <c r="A643" s="1" t="s">
        <v>757</v>
      </c>
      <c r="B643" s="2">
        <v>45939.404166666667</v>
      </c>
      <c r="C643" s="3">
        <v>320</v>
      </c>
      <c r="D643" s="4">
        <v>90.35</v>
      </c>
      <c r="E643" s="4">
        <v>61.35</v>
      </c>
      <c r="F643" s="4">
        <v>62.5</v>
      </c>
      <c r="G643" s="4">
        <v>0</v>
      </c>
      <c r="H643" s="5">
        <v>0</v>
      </c>
      <c r="I643" s="4">
        <v>2</v>
      </c>
      <c r="J643" s="4">
        <v>0</v>
      </c>
      <c r="K643" s="5">
        <v>0.22720000000000001</v>
      </c>
      <c r="L643" s="26" t="b">
        <f t="shared" si="51"/>
        <v>1</v>
      </c>
      <c r="M643" s="26" t="str">
        <f t="shared" si="48"/>
        <v>put</v>
      </c>
      <c r="N643" s="28">
        <f t="shared" si="49"/>
        <v>46038</v>
      </c>
      <c r="O643" s="29">
        <f t="shared" si="50"/>
        <v>103</v>
      </c>
    </row>
    <row r="644" spans="1:15" x14ac:dyDescent="0.45">
      <c r="A644" s="1" t="s">
        <v>758</v>
      </c>
      <c r="B644" s="2">
        <v>45939.404166666667</v>
      </c>
      <c r="C644" s="3">
        <v>330</v>
      </c>
      <c r="D644" s="4">
        <v>100.35</v>
      </c>
      <c r="E644" s="4">
        <v>71.599999999999994</v>
      </c>
      <c r="F644" s="4">
        <v>72.5</v>
      </c>
      <c r="G644" s="4">
        <v>0</v>
      </c>
      <c r="H644" s="5">
        <v>0</v>
      </c>
      <c r="I644" s="4">
        <v>1</v>
      </c>
      <c r="J644" s="4">
        <v>0</v>
      </c>
      <c r="K644" s="5">
        <v>0.25280000000000002</v>
      </c>
      <c r="L644" s="26" t="b">
        <f t="shared" si="51"/>
        <v>1</v>
      </c>
      <c r="M644" s="26" t="str">
        <f t="shared" si="48"/>
        <v>put</v>
      </c>
      <c r="N644" s="28">
        <f t="shared" si="49"/>
        <v>46038</v>
      </c>
      <c r="O644" s="29">
        <f t="shared" si="50"/>
        <v>103</v>
      </c>
    </row>
    <row r="645" spans="1:15" x14ac:dyDescent="0.45">
      <c r="A645" s="1" t="s">
        <v>759</v>
      </c>
      <c r="B645" s="2">
        <v>45939.650694444441</v>
      </c>
      <c r="C645" s="3">
        <v>340</v>
      </c>
      <c r="D645" s="4">
        <v>113.97</v>
      </c>
      <c r="E645" s="4">
        <v>81.599999999999994</v>
      </c>
      <c r="F645" s="4">
        <v>82.65</v>
      </c>
      <c r="G645" s="4">
        <v>0</v>
      </c>
      <c r="H645" s="5">
        <v>0</v>
      </c>
      <c r="I645" s="4">
        <v>4</v>
      </c>
      <c r="J645" s="4">
        <v>0</v>
      </c>
      <c r="K645" s="5">
        <v>0.2898</v>
      </c>
      <c r="L645" s="26" t="b">
        <f t="shared" si="51"/>
        <v>1</v>
      </c>
      <c r="M645" s="26" t="str">
        <f t="shared" si="48"/>
        <v>put</v>
      </c>
      <c r="N645" s="28">
        <f t="shared" si="49"/>
        <v>46038</v>
      </c>
      <c r="O645" s="29">
        <f t="shared" si="50"/>
        <v>103</v>
      </c>
    </row>
    <row r="646" spans="1:15" x14ac:dyDescent="0.45">
      <c r="A646" s="1" t="s">
        <v>760</v>
      </c>
      <c r="B646" s="4" t="s">
        <v>761</v>
      </c>
      <c r="C646" s="3">
        <v>350</v>
      </c>
      <c r="D646" s="4">
        <v>94.24</v>
      </c>
      <c r="E646" s="4">
        <v>91.35</v>
      </c>
      <c r="F646" s="4">
        <v>92.7</v>
      </c>
      <c r="G646" s="4">
        <v>0</v>
      </c>
      <c r="H646" s="5">
        <v>0</v>
      </c>
      <c r="I646" s="4">
        <v>25</v>
      </c>
      <c r="J646" s="4">
        <v>0</v>
      </c>
      <c r="K646" s="5">
        <v>0.31780000000000003</v>
      </c>
      <c r="L646" s="26" t="b">
        <f t="shared" si="51"/>
        <v>1</v>
      </c>
      <c r="M646" s="26" t="str">
        <f t="shared" si="48"/>
        <v>put</v>
      </c>
      <c r="N646" s="28">
        <f t="shared" si="49"/>
        <v>46038</v>
      </c>
      <c r="O646" s="29">
        <f t="shared" si="50"/>
        <v>103</v>
      </c>
    </row>
    <row r="647" spans="1:15" x14ac:dyDescent="0.45">
      <c r="A647" s="1" t="s">
        <v>762</v>
      </c>
      <c r="B647" s="2">
        <v>45939.404166666667</v>
      </c>
      <c r="C647" s="3">
        <v>360</v>
      </c>
      <c r="D647" s="4">
        <v>101.91</v>
      </c>
      <c r="E647" s="4">
        <v>101.6</v>
      </c>
      <c r="F647" s="4">
        <v>102.65</v>
      </c>
      <c r="G647" s="8">
        <v>-28.44</v>
      </c>
      <c r="H647" s="9">
        <v>-0.21820000000000001</v>
      </c>
      <c r="I647" s="4">
        <v>3</v>
      </c>
      <c r="J647" s="4">
        <v>0</v>
      </c>
      <c r="K647" s="5">
        <v>0.3367</v>
      </c>
      <c r="L647" s="26" t="b">
        <f t="shared" si="51"/>
        <v>1</v>
      </c>
      <c r="M647" s="26" t="str">
        <f t="shared" si="48"/>
        <v>put</v>
      </c>
      <c r="N647" s="28">
        <f t="shared" si="49"/>
        <v>46038</v>
      </c>
      <c r="O647" s="29">
        <f t="shared" si="50"/>
        <v>103</v>
      </c>
    </row>
    <row r="648" spans="1:15" x14ac:dyDescent="0.45">
      <c r="A648" s="1" t="s">
        <v>763</v>
      </c>
      <c r="B648" s="2">
        <v>45939.404166666667</v>
      </c>
      <c r="C648" s="3">
        <v>370</v>
      </c>
      <c r="D648" s="4">
        <v>140.35</v>
      </c>
      <c r="E648" s="4">
        <v>111.35</v>
      </c>
      <c r="F648" s="4">
        <v>112.65</v>
      </c>
      <c r="G648" s="4">
        <v>0</v>
      </c>
      <c r="H648" s="5">
        <v>0</v>
      </c>
      <c r="I648" s="4">
        <v>1</v>
      </c>
      <c r="J648" s="4">
        <v>0</v>
      </c>
      <c r="K648" s="5">
        <v>0.35859999999999997</v>
      </c>
      <c r="L648" s="26" t="b">
        <f t="shared" si="51"/>
        <v>1</v>
      </c>
      <c r="M648" s="26" t="str">
        <f t="shared" si="48"/>
        <v>put</v>
      </c>
      <c r="N648" s="28">
        <f t="shared" si="49"/>
        <v>46038</v>
      </c>
      <c r="O648" s="29">
        <f t="shared" si="50"/>
        <v>103</v>
      </c>
    </row>
    <row r="649" spans="1:15" x14ac:dyDescent="0.45">
      <c r="A649" s="21" t="s">
        <v>764</v>
      </c>
      <c r="B649" s="30">
        <v>45698.43472222222</v>
      </c>
      <c r="C649" s="23">
        <v>390</v>
      </c>
      <c r="D649" s="22">
        <v>133.69999999999999</v>
      </c>
      <c r="E649" s="22">
        <v>131.6</v>
      </c>
      <c r="F649" s="22">
        <v>132.44999999999999</v>
      </c>
      <c r="G649" s="22">
        <v>0</v>
      </c>
      <c r="H649" s="24">
        <v>0</v>
      </c>
      <c r="I649" s="22">
        <v>6</v>
      </c>
      <c r="J649" s="22">
        <v>0</v>
      </c>
      <c r="K649" s="24">
        <v>0.37869999999999998</v>
      </c>
      <c r="L649" s="26" t="b">
        <f t="shared" si="51"/>
        <v>1</v>
      </c>
      <c r="M649" s="26" t="str">
        <f t="shared" si="48"/>
        <v>put</v>
      </c>
      <c r="N649" s="28">
        <f t="shared" si="49"/>
        <v>46038</v>
      </c>
      <c r="O649" s="29">
        <f t="shared" si="50"/>
        <v>103</v>
      </c>
    </row>
    <row r="650" spans="1:15" x14ac:dyDescent="0.45">
      <c r="A650" s="1" t="s">
        <v>765</v>
      </c>
      <c r="B650" s="4" t="s">
        <v>766</v>
      </c>
      <c r="C650" s="3">
        <v>100</v>
      </c>
      <c r="D650" s="4">
        <v>153.19999999999999</v>
      </c>
      <c r="E650" s="4">
        <v>158.5</v>
      </c>
      <c r="F650" s="4">
        <v>160.4</v>
      </c>
      <c r="G650" s="4">
        <v>0</v>
      </c>
      <c r="H650" s="5">
        <v>0</v>
      </c>
      <c r="I650" s="4">
        <v>4</v>
      </c>
      <c r="J650" s="4">
        <v>13</v>
      </c>
      <c r="K650" s="5">
        <v>0.88449999999999995</v>
      </c>
      <c r="L650" s="26" t="b">
        <f t="shared" si="51"/>
        <v>1</v>
      </c>
      <c r="M650" s="26" t="str">
        <f t="shared" si="48"/>
        <v>call</v>
      </c>
      <c r="N650" s="28">
        <f t="shared" si="49"/>
        <v>46073</v>
      </c>
      <c r="O650" s="29">
        <f t="shared" si="50"/>
        <v>138</v>
      </c>
    </row>
    <row r="651" spans="1:15" x14ac:dyDescent="0.45">
      <c r="A651" s="1" t="s">
        <v>767</v>
      </c>
      <c r="B651" s="2">
        <v>45723.536805555559</v>
      </c>
      <c r="C651" s="3">
        <v>105</v>
      </c>
      <c r="D651" s="4">
        <v>111.38</v>
      </c>
      <c r="E651" s="4">
        <v>151.05000000000001</v>
      </c>
      <c r="F651" s="4">
        <v>153.19999999999999</v>
      </c>
      <c r="G651" s="4">
        <v>0</v>
      </c>
      <c r="H651" s="5">
        <v>0</v>
      </c>
      <c r="I651" s="4">
        <v>1</v>
      </c>
      <c r="J651" s="4">
        <v>1</v>
      </c>
      <c r="K651" s="5">
        <v>0.61129999999999995</v>
      </c>
      <c r="L651" s="26" t="b">
        <f t="shared" si="51"/>
        <v>1</v>
      </c>
      <c r="M651" s="26" t="str">
        <f t="shared" si="48"/>
        <v>call</v>
      </c>
      <c r="N651" s="28">
        <f t="shared" si="49"/>
        <v>46073</v>
      </c>
      <c r="O651" s="29">
        <f t="shared" si="50"/>
        <v>138</v>
      </c>
    </row>
    <row r="652" spans="1:15" x14ac:dyDescent="0.45">
      <c r="A652" s="1" t="s">
        <v>768</v>
      </c>
      <c r="B652" s="4" t="s">
        <v>769</v>
      </c>
      <c r="C652" s="3">
        <v>110</v>
      </c>
      <c r="D652" s="4">
        <v>148.05000000000001</v>
      </c>
      <c r="E652" s="4">
        <v>148.69999999999999</v>
      </c>
      <c r="F652" s="4">
        <v>150.35</v>
      </c>
      <c r="G652" s="4">
        <v>0</v>
      </c>
      <c r="H652" s="5">
        <v>0</v>
      </c>
      <c r="I652" s="4">
        <v>4</v>
      </c>
      <c r="J652" s="4">
        <v>55</v>
      </c>
      <c r="K652" s="5">
        <v>0.81179999999999997</v>
      </c>
      <c r="L652" s="26" t="b">
        <f t="shared" si="51"/>
        <v>1</v>
      </c>
      <c r="M652" s="26" t="str">
        <f t="shared" si="48"/>
        <v>call</v>
      </c>
      <c r="N652" s="28">
        <f t="shared" si="49"/>
        <v>46073</v>
      </c>
      <c r="O652" s="29">
        <f t="shared" si="50"/>
        <v>138</v>
      </c>
    </row>
    <row r="653" spans="1:15" x14ac:dyDescent="0.45">
      <c r="A653" s="1" t="s">
        <v>770</v>
      </c>
      <c r="B653" s="4" t="s">
        <v>208</v>
      </c>
      <c r="C653" s="3">
        <v>120</v>
      </c>
      <c r="D653" s="4">
        <v>137.49</v>
      </c>
      <c r="E653" s="4">
        <v>138.94999999999999</v>
      </c>
      <c r="F653" s="4">
        <v>140.5</v>
      </c>
      <c r="G653" s="6">
        <v>0</v>
      </c>
      <c r="H653" s="7">
        <v>0</v>
      </c>
      <c r="I653" s="4">
        <v>1</v>
      </c>
      <c r="J653" s="4">
        <v>77</v>
      </c>
      <c r="K653" s="5">
        <v>0.75639999999999996</v>
      </c>
      <c r="L653" s="26" t="b">
        <f t="shared" si="51"/>
        <v>1</v>
      </c>
      <c r="M653" s="26" t="str">
        <f t="shared" si="48"/>
        <v>call</v>
      </c>
      <c r="N653" s="28">
        <f t="shared" si="49"/>
        <v>46073</v>
      </c>
      <c r="O653" s="29">
        <f t="shared" si="50"/>
        <v>138</v>
      </c>
    </row>
    <row r="654" spans="1:15" x14ac:dyDescent="0.45">
      <c r="A654" s="1" t="s">
        <v>771</v>
      </c>
      <c r="B654" s="2">
        <v>45725.440972222219</v>
      </c>
      <c r="C654" s="3">
        <v>125</v>
      </c>
      <c r="D654" s="4">
        <v>114.78</v>
      </c>
      <c r="E654" s="4">
        <v>134.05000000000001</v>
      </c>
      <c r="F654" s="4">
        <v>135.80000000000001</v>
      </c>
      <c r="G654" s="4">
        <v>0</v>
      </c>
      <c r="H654" s="5">
        <v>0</v>
      </c>
      <c r="I654" s="4">
        <v>11</v>
      </c>
      <c r="J654" s="4">
        <v>37</v>
      </c>
      <c r="K654" s="5">
        <v>0.73780000000000001</v>
      </c>
      <c r="L654" s="26" t="b">
        <f t="shared" si="51"/>
        <v>1</v>
      </c>
      <c r="M654" s="26" t="str">
        <f t="shared" si="48"/>
        <v>call</v>
      </c>
      <c r="N654" s="28">
        <f t="shared" si="49"/>
        <v>46073</v>
      </c>
      <c r="O654" s="29">
        <f t="shared" si="50"/>
        <v>138</v>
      </c>
    </row>
    <row r="655" spans="1:15" x14ac:dyDescent="0.45">
      <c r="A655" s="1" t="s">
        <v>772</v>
      </c>
      <c r="B655" s="2">
        <v>46000.492361111108</v>
      </c>
      <c r="C655" s="3">
        <v>130</v>
      </c>
      <c r="D655" s="4">
        <v>106.85</v>
      </c>
      <c r="E655" s="4">
        <v>129.19999999999999</v>
      </c>
      <c r="F655" s="4">
        <v>130.80000000000001</v>
      </c>
      <c r="G655" s="4">
        <v>0</v>
      </c>
      <c r="H655" s="5">
        <v>0</v>
      </c>
      <c r="I655" s="4">
        <v>3</v>
      </c>
      <c r="J655" s="4">
        <v>97</v>
      </c>
      <c r="K655" s="5">
        <v>0.7087</v>
      </c>
      <c r="L655" s="26" t="b">
        <f t="shared" si="51"/>
        <v>1</v>
      </c>
      <c r="M655" s="26" t="str">
        <f t="shared" si="48"/>
        <v>call</v>
      </c>
      <c r="N655" s="28">
        <f t="shared" si="49"/>
        <v>46073</v>
      </c>
      <c r="O655" s="29">
        <f t="shared" si="50"/>
        <v>138</v>
      </c>
    </row>
    <row r="656" spans="1:15" x14ac:dyDescent="0.45">
      <c r="A656" s="1" t="s">
        <v>773</v>
      </c>
      <c r="B656" s="4" t="s">
        <v>774</v>
      </c>
      <c r="C656" s="3">
        <v>135</v>
      </c>
      <c r="D656" s="4">
        <v>120.79</v>
      </c>
      <c r="E656" s="4">
        <v>124.25</v>
      </c>
      <c r="F656" s="4">
        <v>125.75</v>
      </c>
      <c r="G656" s="6">
        <v>0</v>
      </c>
      <c r="H656" s="7">
        <v>0</v>
      </c>
      <c r="I656" s="4">
        <v>1</v>
      </c>
      <c r="J656" s="4">
        <v>10</v>
      </c>
      <c r="K656" s="5">
        <v>0.67490000000000006</v>
      </c>
      <c r="L656" s="26" t="b">
        <f t="shared" si="51"/>
        <v>1</v>
      </c>
      <c r="M656" s="26" t="str">
        <f t="shared" si="48"/>
        <v>call</v>
      </c>
      <c r="N656" s="28">
        <f t="shared" si="49"/>
        <v>46073</v>
      </c>
      <c r="O656" s="29">
        <f t="shared" si="50"/>
        <v>138</v>
      </c>
    </row>
    <row r="657" spans="1:15" x14ac:dyDescent="0.45">
      <c r="A657" s="1" t="s">
        <v>775</v>
      </c>
      <c r="B657" s="2">
        <v>45726.517361111109</v>
      </c>
      <c r="C657" s="3">
        <v>140</v>
      </c>
      <c r="D657" s="4">
        <v>120.8</v>
      </c>
      <c r="E657" s="4">
        <v>119.3</v>
      </c>
      <c r="F657" s="4">
        <v>120.75</v>
      </c>
      <c r="G657" s="4">
        <v>6.9</v>
      </c>
      <c r="H657" s="5">
        <v>6.0600000000000001E-2</v>
      </c>
      <c r="I657" s="4">
        <v>2</v>
      </c>
      <c r="J657" s="4">
        <v>139</v>
      </c>
      <c r="K657" s="5">
        <v>0.64419999999999999</v>
      </c>
      <c r="L657" s="26" t="b">
        <f t="shared" si="51"/>
        <v>1</v>
      </c>
      <c r="M657" s="26" t="str">
        <f t="shared" si="48"/>
        <v>call</v>
      </c>
      <c r="N657" s="28">
        <f t="shared" si="49"/>
        <v>46073</v>
      </c>
      <c r="O657" s="29">
        <f t="shared" si="50"/>
        <v>138</v>
      </c>
    </row>
    <row r="658" spans="1:15" x14ac:dyDescent="0.45">
      <c r="A658" s="1" t="s">
        <v>776</v>
      </c>
      <c r="B658" s="2">
        <v>45697.508333333331</v>
      </c>
      <c r="C658" s="3">
        <v>145</v>
      </c>
      <c r="D658" s="4">
        <v>86.1</v>
      </c>
      <c r="E658" s="4">
        <v>114.45</v>
      </c>
      <c r="F658" s="4">
        <v>116.6</v>
      </c>
      <c r="G658" s="6">
        <v>0</v>
      </c>
      <c r="H658" s="7">
        <v>0</v>
      </c>
      <c r="I658" s="4">
        <v>15</v>
      </c>
      <c r="J658" s="4">
        <v>15</v>
      </c>
      <c r="K658" s="5">
        <v>0.64490000000000003</v>
      </c>
      <c r="L658" s="26" t="b">
        <f t="shared" si="51"/>
        <v>1</v>
      </c>
      <c r="M658" s="26" t="str">
        <f t="shared" si="48"/>
        <v>call</v>
      </c>
      <c r="N658" s="28">
        <f t="shared" si="49"/>
        <v>46073</v>
      </c>
      <c r="O658" s="29">
        <f t="shared" si="50"/>
        <v>138</v>
      </c>
    </row>
    <row r="659" spans="1:15" x14ac:dyDescent="0.45">
      <c r="A659" s="1" t="s">
        <v>777</v>
      </c>
      <c r="B659" s="4" t="s">
        <v>778</v>
      </c>
      <c r="C659" s="3">
        <v>150</v>
      </c>
      <c r="D659" s="4">
        <v>98.4</v>
      </c>
      <c r="E659" s="4">
        <v>109.7</v>
      </c>
      <c r="F659" s="4">
        <v>111.1</v>
      </c>
      <c r="G659" s="6">
        <v>0</v>
      </c>
      <c r="H659" s="7">
        <v>0</v>
      </c>
      <c r="I659" s="4">
        <v>21</v>
      </c>
      <c r="J659" s="4">
        <v>66</v>
      </c>
      <c r="K659" s="5">
        <v>0.60560000000000003</v>
      </c>
      <c r="L659" s="26" t="b">
        <f t="shared" si="51"/>
        <v>1</v>
      </c>
      <c r="M659" s="26" t="str">
        <f t="shared" si="48"/>
        <v>call</v>
      </c>
      <c r="N659" s="28">
        <f t="shared" si="49"/>
        <v>46073</v>
      </c>
      <c r="O659" s="29">
        <f t="shared" si="50"/>
        <v>138</v>
      </c>
    </row>
    <row r="660" spans="1:15" x14ac:dyDescent="0.45">
      <c r="A660" s="1" t="s">
        <v>779</v>
      </c>
      <c r="B660" s="2">
        <v>45756.659722222219</v>
      </c>
      <c r="C660" s="3">
        <v>155</v>
      </c>
      <c r="D660" s="4">
        <v>87.85</v>
      </c>
      <c r="E660" s="4">
        <v>104.9</v>
      </c>
      <c r="F660" s="4">
        <v>106.55</v>
      </c>
      <c r="G660" s="6">
        <v>0</v>
      </c>
      <c r="H660" s="7">
        <v>0</v>
      </c>
      <c r="I660" s="4">
        <v>1</v>
      </c>
      <c r="J660" s="4">
        <v>29</v>
      </c>
      <c r="K660" s="5">
        <v>0.59330000000000005</v>
      </c>
      <c r="L660" s="26" t="b">
        <f t="shared" si="51"/>
        <v>1</v>
      </c>
      <c r="M660" s="26" t="str">
        <f t="shared" si="48"/>
        <v>call</v>
      </c>
      <c r="N660" s="28">
        <f t="shared" si="49"/>
        <v>46073</v>
      </c>
      <c r="O660" s="29">
        <f t="shared" si="50"/>
        <v>138</v>
      </c>
    </row>
    <row r="661" spans="1:15" x14ac:dyDescent="0.45">
      <c r="A661" s="1" t="s">
        <v>780</v>
      </c>
      <c r="B661" s="4" t="s">
        <v>781</v>
      </c>
      <c r="C661" s="3">
        <v>160</v>
      </c>
      <c r="D661" s="4">
        <v>88.34</v>
      </c>
      <c r="E661" s="4">
        <v>99.95</v>
      </c>
      <c r="F661" s="4">
        <v>101.75</v>
      </c>
      <c r="G661" s="6">
        <v>0</v>
      </c>
      <c r="H661" s="7">
        <v>0</v>
      </c>
      <c r="I661" s="4">
        <v>10</v>
      </c>
      <c r="J661" s="4">
        <v>108</v>
      </c>
      <c r="K661" s="5">
        <v>0.56930000000000003</v>
      </c>
      <c r="L661" s="26" t="b">
        <f t="shared" si="51"/>
        <v>1</v>
      </c>
      <c r="M661" s="26" t="str">
        <f t="shared" si="48"/>
        <v>call</v>
      </c>
      <c r="N661" s="28">
        <f t="shared" si="49"/>
        <v>46073</v>
      </c>
      <c r="O661" s="29">
        <f t="shared" si="50"/>
        <v>138</v>
      </c>
    </row>
    <row r="662" spans="1:15" x14ac:dyDescent="0.45">
      <c r="A662" s="1" t="s">
        <v>782</v>
      </c>
      <c r="B662" s="4" t="s">
        <v>783</v>
      </c>
      <c r="C662" s="3">
        <v>165</v>
      </c>
      <c r="D662" s="4">
        <v>94.17</v>
      </c>
      <c r="E662" s="4">
        <v>95.7</v>
      </c>
      <c r="F662" s="4">
        <v>96.9</v>
      </c>
      <c r="G662" s="6">
        <v>0</v>
      </c>
      <c r="H662" s="7">
        <v>0</v>
      </c>
      <c r="I662" s="4">
        <v>1</v>
      </c>
      <c r="J662" s="4">
        <v>25</v>
      </c>
      <c r="K662" s="5">
        <v>0.56089999999999995</v>
      </c>
      <c r="L662" s="26" t="b">
        <f t="shared" si="51"/>
        <v>1</v>
      </c>
      <c r="M662" s="26" t="str">
        <f t="shared" si="48"/>
        <v>call</v>
      </c>
      <c r="N662" s="28">
        <f t="shared" si="49"/>
        <v>46073</v>
      </c>
      <c r="O662" s="29">
        <f t="shared" si="50"/>
        <v>138</v>
      </c>
    </row>
    <row r="663" spans="1:15" x14ac:dyDescent="0.45">
      <c r="A663" s="1" t="s">
        <v>784</v>
      </c>
      <c r="B663" s="4" t="s">
        <v>785</v>
      </c>
      <c r="C663" s="3">
        <v>170</v>
      </c>
      <c r="D663" s="4">
        <v>88.6</v>
      </c>
      <c r="E663" s="4">
        <v>90.7</v>
      </c>
      <c r="F663" s="4">
        <v>91.95</v>
      </c>
      <c r="G663" s="6">
        <v>0</v>
      </c>
      <c r="H663" s="7">
        <v>0</v>
      </c>
      <c r="I663" s="4">
        <v>72</v>
      </c>
      <c r="J663" s="4">
        <v>133</v>
      </c>
      <c r="K663" s="5">
        <v>0.53200000000000003</v>
      </c>
      <c r="L663" s="26" t="b">
        <f t="shared" si="51"/>
        <v>1</v>
      </c>
      <c r="M663" s="26" t="str">
        <f t="shared" si="48"/>
        <v>call</v>
      </c>
      <c r="N663" s="28">
        <f t="shared" si="49"/>
        <v>46073</v>
      </c>
      <c r="O663" s="29">
        <f t="shared" si="50"/>
        <v>138</v>
      </c>
    </row>
    <row r="664" spans="1:15" x14ac:dyDescent="0.45">
      <c r="A664" s="1" t="s">
        <v>786</v>
      </c>
      <c r="B664" s="4" t="s">
        <v>787</v>
      </c>
      <c r="C664" s="3">
        <v>175</v>
      </c>
      <c r="D664" s="4">
        <v>83.6</v>
      </c>
      <c r="E664" s="4">
        <v>85.4</v>
      </c>
      <c r="F664" s="4">
        <v>87.2</v>
      </c>
      <c r="G664" s="6">
        <v>0</v>
      </c>
      <c r="H664" s="7">
        <v>0</v>
      </c>
      <c r="I664" s="4">
        <v>4</v>
      </c>
      <c r="J664" s="4">
        <v>95</v>
      </c>
      <c r="K664" s="5">
        <v>0.50170000000000003</v>
      </c>
      <c r="L664" s="26" t="b">
        <f t="shared" si="51"/>
        <v>1</v>
      </c>
      <c r="M664" s="26" t="str">
        <f t="shared" si="48"/>
        <v>call</v>
      </c>
      <c r="N664" s="28">
        <f t="shared" si="49"/>
        <v>46073</v>
      </c>
      <c r="O664" s="29">
        <f t="shared" si="50"/>
        <v>138</v>
      </c>
    </row>
    <row r="665" spans="1:15" x14ac:dyDescent="0.45">
      <c r="A665" s="1" t="s">
        <v>788</v>
      </c>
      <c r="B665" s="2">
        <v>45726.659722222219</v>
      </c>
      <c r="C665" s="3">
        <v>180</v>
      </c>
      <c r="D665" s="4">
        <v>81.3</v>
      </c>
      <c r="E665" s="4">
        <v>80.95</v>
      </c>
      <c r="F665" s="4">
        <v>82.3</v>
      </c>
      <c r="G665" s="6">
        <v>-0.3</v>
      </c>
      <c r="H665" s="7">
        <v>-3.7000000000000002E-3</v>
      </c>
      <c r="I665" s="4">
        <v>1</v>
      </c>
      <c r="J665" s="4">
        <v>145</v>
      </c>
      <c r="K665" s="5">
        <v>0.51170000000000004</v>
      </c>
      <c r="L665" s="26" t="b">
        <f t="shared" si="51"/>
        <v>1</v>
      </c>
      <c r="M665" s="26" t="str">
        <f t="shared" si="48"/>
        <v>call</v>
      </c>
      <c r="N665" s="28">
        <f t="shared" si="49"/>
        <v>46073</v>
      </c>
      <c r="O665" s="29">
        <f t="shared" si="50"/>
        <v>138</v>
      </c>
    </row>
    <row r="666" spans="1:15" x14ac:dyDescent="0.45">
      <c r="A666" s="1" t="s">
        <v>789</v>
      </c>
      <c r="B666" s="2">
        <v>45698.520833333336</v>
      </c>
      <c r="C666" s="3">
        <v>185</v>
      </c>
      <c r="D666" s="4">
        <v>76.39</v>
      </c>
      <c r="E666" s="4">
        <v>76.400000000000006</v>
      </c>
      <c r="F666" s="4">
        <v>77.349999999999994</v>
      </c>
      <c r="G666" s="6">
        <v>0</v>
      </c>
      <c r="H666" s="7">
        <v>0</v>
      </c>
      <c r="I666" s="4">
        <v>1</v>
      </c>
      <c r="J666" s="4">
        <v>133</v>
      </c>
      <c r="K666" s="5">
        <v>0.48399999999999999</v>
      </c>
      <c r="L666" s="26" t="b">
        <f t="shared" si="51"/>
        <v>1</v>
      </c>
      <c r="M666" s="26" t="str">
        <f t="shared" si="48"/>
        <v>call</v>
      </c>
      <c r="N666" s="28">
        <f t="shared" si="49"/>
        <v>46073</v>
      </c>
      <c r="O666" s="29">
        <f t="shared" si="50"/>
        <v>138</v>
      </c>
    </row>
    <row r="667" spans="1:15" x14ac:dyDescent="0.45">
      <c r="A667" s="1" t="s">
        <v>790</v>
      </c>
      <c r="B667" s="2">
        <v>45726.602777777778</v>
      </c>
      <c r="C667" s="3">
        <v>190</v>
      </c>
      <c r="D667" s="4">
        <v>72.7</v>
      </c>
      <c r="E667" s="4">
        <v>71.599999999999994</v>
      </c>
      <c r="F667" s="4">
        <v>72.8</v>
      </c>
      <c r="G667" s="8">
        <v>0.7</v>
      </c>
      <c r="H667" s="9">
        <v>9.7000000000000003E-3</v>
      </c>
      <c r="I667" s="4">
        <v>2</v>
      </c>
      <c r="J667" s="4">
        <v>137</v>
      </c>
      <c r="K667" s="5">
        <v>0.4698</v>
      </c>
      <c r="L667" s="26" t="b">
        <f t="shared" si="51"/>
        <v>1</v>
      </c>
      <c r="M667" s="26" t="str">
        <f t="shared" si="48"/>
        <v>call</v>
      </c>
      <c r="N667" s="28">
        <f t="shared" si="49"/>
        <v>46073</v>
      </c>
      <c r="O667" s="29">
        <f t="shared" si="50"/>
        <v>138</v>
      </c>
    </row>
    <row r="668" spans="1:15" x14ac:dyDescent="0.45">
      <c r="A668" s="1" t="s">
        <v>791</v>
      </c>
      <c r="B668" s="4" t="s">
        <v>792</v>
      </c>
      <c r="C668" s="3">
        <v>195</v>
      </c>
      <c r="D668" s="4">
        <v>65.150000000000006</v>
      </c>
      <c r="E668" s="4">
        <v>67.150000000000006</v>
      </c>
      <c r="F668" s="4">
        <v>67.849999999999994</v>
      </c>
      <c r="G668" s="6">
        <v>0</v>
      </c>
      <c r="H668" s="7">
        <v>0</v>
      </c>
      <c r="I668" s="4">
        <v>4</v>
      </c>
      <c r="J668" s="4">
        <v>406</v>
      </c>
      <c r="K668" s="5">
        <v>0.44230000000000003</v>
      </c>
      <c r="L668" s="26" t="b">
        <f t="shared" si="51"/>
        <v>1</v>
      </c>
      <c r="M668" s="26" t="str">
        <f t="shared" si="48"/>
        <v>call</v>
      </c>
      <c r="N668" s="28">
        <f t="shared" si="49"/>
        <v>46073</v>
      </c>
      <c r="O668" s="29">
        <f t="shared" si="50"/>
        <v>138</v>
      </c>
    </row>
    <row r="669" spans="1:15" x14ac:dyDescent="0.45">
      <c r="A669" s="1" t="s">
        <v>793</v>
      </c>
      <c r="B669" s="2">
        <v>45726.61041666667</v>
      </c>
      <c r="C669" s="3">
        <v>200</v>
      </c>
      <c r="D669" s="4">
        <v>63.05</v>
      </c>
      <c r="E669" s="4">
        <v>62.5</v>
      </c>
      <c r="F669" s="4">
        <v>63.25</v>
      </c>
      <c r="G669" s="6">
        <v>0.05</v>
      </c>
      <c r="H669" s="7">
        <v>8.0000000000000004E-4</v>
      </c>
      <c r="I669" s="4">
        <v>126</v>
      </c>
      <c r="J669" s="10">
        <v>1363</v>
      </c>
      <c r="K669" s="5">
        <v>0.42530000000000001</v>
      </c>
      <c r="L669" s="26" t="b">
        <f t="shared" si="51"/>
        <v>1</v>
      </c>
      <c r="M669" s="26" t="str">
        <f t="shared" si="48"/>
        <v>call</v>
      </c>
      <c r="N669" s="28">
        <f t="shared" si="49"/>
        <v>46073</v>
      </c>
      <c r="O669" s="29">
        <f t="shared" si="50"/>
        <v>138</v>
      </c>
    </row>
    <row r="670" spans="1:15" x14ac:dyDescent="0.45">
      <c r="A670" s="1" t="s">
        <v>794</v>
      </c>
      <c r="B670" s="2">
        <v>45726.44027777778</v>
      </c>
      <c r="C670" s="3">
        <v>205</v>
      </c>
      <c r="D670" s="4">
        <v>59.1</v>
      </c>
      <c r="E670" s="4">
        <v>57.95</v>
      </c>
      <c r="F670" s="4">
        <v>58.6</v>
      </c>
      <c r="G670" s="8">
        <v>1.2</v>
      </c>
      <c r="H670" s="9">
        <v>2.07E-2</v>
      </c>
      <c r="I670" s="4">
        <v>4</v>
      </c>
      <c r="J670" s="4">
        <v>417</v>
      </c>
      <c r="K670" s="5">
        <v>0.40610000000000002</v>
      </c>
      <c r="L670" s="26" t="b">
        <f t="shared" si="51"/>
        <v>1</v>
      </c>
      <c r="M670" s="26" t="str">
        <f t="shared" si="48"/>
        <v>call</v>
      </c>
      <c r="N670" s="28">
        <f t="shared" si="49"/>
        <v>46073</v>
      </c>
      <c r="O670" s="29">
        <f t="shared" si="50"/>
        <v>138</v>
      </c>
    </row>
    <row r="671" spans="1:15" x14ac:dyDescent="0.45">
      <c r="A671" s="1" t="s">
        <v>795</v>
      </c>
      <c r="B671" s="2">
        <v>45726.640972222223</v>
      </c>
      <c r="C671" s="3">
        <v>210</v>
      </c>
      <c r="D671" s="4">
        <v>53.68</v>
      </c>
      <c r="E671" s="4">
        <v>53.65</v>
      </c>
      <c r="F671" s="4">
        <v>54</v>
      </c>
      <c r="G671" s="8">
        <v>0</v>
      </c>
      <c r="H671" s="9">
        <v>0</v>
      </c>
      <c r="I671" s="4">
        <v>11</v>
      </c>
      <c r="J671" s="10">
        <v>1060</v>
      </c>
      <c r="K671" s="5">
        <v>0.38750000000000001</v>
      </c>
      <c r="L671" s="26" t="b">
        <f t="shared" si="51"/>
        <v>1</v>
      </c>
      <c r="M671" s="26" t="str">
        <f t="shared" si="48"/>
        <v>call</v>
      </c>
      <c r="N671" s="28">
        <f t="shared" si="49"/>
        <v>46073</v>
      </c>
      <c r="O671" s="29">
        <f t="shared" si="50"/>
        <v>138</v>
      </c>
    </row>
    <row r="672" spans="1:15" x14ac:dyDescent="0.45">
      <c r="A672" s="1" t="s">
        <v>796</v>
      </c>
      <c r="B672" s="2">
        <v>45726.434027777781</v>
      </c>
      <c r="C672" s="3">
        <v>215</v>
      </c>
      <c r="D672" s="4">
        <v>49.6</v>
      </c>
      <c r="E672" s="4">
        <v>49.25</v>
      </c>
      <c r="F672" s="4">
        <v>49.6</v>
      </c>
      <c r="G672" s="8">
        <v>0.55000000000000004</v>
      </c>
      <c r="H672" s="9">
        <v>1.12E-2</v>
      </c>
      <c r="I672" s="4">
        <v>11</v>
      </c>
      <c r="J672" s="4">
        <v>921</v>
      </c>
      <c r="K672" s="5">
        <v>0.37290000000000001</v>
      </c>
      <c r="L672" s="26" t="b">
        <f t="shared" si="51"/>
        <v>1</v>
      </c>
      <c r="M672" s="26" t="str">
        <f t="shared" si="48"/>
        <v>call</v>
      </c>
      <c r="N672" s="28">
        <f t="shared" si="49"/>
        <v>46073</v>
      </c>
      <c r="O672" s="29">
        <f t="shared" si="50"/>
        <v>138</v>
      </c>
    </row>
    <row r="673" spans="1:15" x14ac:dyDescent="0.45">
      <c r="A673" s="1" t="s">
        <v>797</v>
      </c>
      <c r="B673" s="2">
        <v>45726.643055555556</v>
      </c>
      <c r="C673" s="3">
        <v>220</v>
      </c>
      <c r="D673" s="4">
        <v>45</v>
      </c>
      <c r="E673" s="4">
        <v>45</v>
      </c>
      <c r="F673" s="4">
        <v>45.3</v>
      </c>
      <c r="G673" s="6">
        <v>0.1</v>
      </c>
      <c r="H673" s="7">
        <v>2.2000000000000001E-3</v>
      </c>
      <c r="I673" s="4">
        <v>25</v>
      </c>
      <c r="J673" s="10">
        <v>2589</v>
      </c>
      <c r="K673" s="5">
        <v>0.35909999999999997</v>
      </c>
      <c r="L673" s="26" t="b">
        <f t="shared" si="51"/>
        <v>1</v>
      </c>
      <c r="M673" s="26" t="str">
        <f t="shared" si="48"/>
        <v>call</v>
      </c>
      <c r="N673" s="28">
        <f t="shared" si="49"/>
        <v>46073</v>
      </c>
      <c r="O673" s="29">
        <f t="shared" si="50"/>
        <v>138</v>
      </c>
    </row>
    <row r="674" spans="1:15" x14ac:dyDescent="0.45">
      <c r="A674" s="1" t="s">
        <v>798</v>
      </c>
      <c r="B674" s="2">
        <v>45726.640972222223</v>
      </c>
      <c r="C674" s="3">
        <v>225</v>
      </c>
      <c r="D674" s="4">
        <v>40.86</v>
      </c>
      <c r="E674" s="4">
        <v>40.85</v>
      </c>
      <c r="F674" s="4">
        <v>41.15</v>
      </c>
      <c r="G674" s="6">
        <v>0.31</v>
      </c>
      <c r="H674" s="7">
        <v>7.6E-3</v>
      </c>
      <c r="I674" s="4">
        <v>71</v>
      </c>
      <c r="J674" s="10">
        <v>2781</v>
      </c>
      <c r="K674" s="5">
        <v>0.3468</v>
      </c>
      <c r="L674" s="26" t="b">
        <f t="shared" si="51"/>
        <v>1</v>
      </c>
      <c r="M674" s="26" t="str">
        <f t="shared" si="48"/>
        <v>call</v>
      </c>
      <c r="N674" s="28">
        <f t="shared" si="49"/>
        <v>46073</v>
      </c>
      <c r="O674" s="29">
        <f t="shared" si="50"/>
        <v>138</v>
      </c>
    </row>
    <row r="675" spans="1:15" x14ac:dyDescent="0.45">
      <c r="A675" s="1" t="s">
        <v>799</v>
      </c>
      <c r="B675" s="2">
        <v>45726.647916666669</v>
      </c>
      <c r="C675" s="3">
        <v>230</v>
      </c>
      <c r="D675" s="4">
        <v>36.92</v>
      </c>
      <c r="E675" s="4">
        <v>36.799999999999997</v>
      </c>
      <c r="F675" s="4">
        <v>37.1</v>
      </c>
      <c r="G675" s="6">
        <v>0.05</v>
      </c>
      <c r="H675" s="7">
        <v>1.4E-3</v>
      </c>
      <c r="I675" s="4">
        <v>17</v>
      </c>
      <c r="J675" s="10">
        <v>5993</v>
      </c>
      <c r="K675" s="5">
        <v>0.3347</v>
      </c>
      <c r="L675" s="26" t="b">
        <f t="shared" si="51"/>
        <v>1</v>
      </c>
      <c r="M675" s="26" t="str">
        <f t="shared" si="48"/>
        <v>call</v>
      </c>
      <c r="N675" s="28">
        <f t="shared" si="49"/>
        <v>46073</v>
      </c>
      <c r="O675" s="29">
        <f t="shared" si="50"/>
        <v>138</v>
      </c>
    </row>
    <row r="676" spans="1:15" x14ac:dyDescent="0.45">
      <c r="A676" s="1" t="s">
        <v>800</v>
      </c>
      <c r="B676" s="2">
        <v>45726.631944444445</v>
      </c>
      <c r="C676" s="3">
        <v>235</v>
      </c>
      <c r="D676" s="4">
        <v>33.1</v>
      </c>
      <c r="E676" s="4">
        <v>32.9</v>
      </c>
      <c r="F676" s="4">
        <v>33.200000000000003</v>
      </c>
      <c r="G676" s="6">
        <v>-0.25</v>
      </c>
      <c r="H676" s="7">
        <v>-7.4999999999999997E-3</v>
      </c>
      <c r="I676" s="4">
        <v>86</v>
      </c>
      <c r="J676" s="10">
        <v>2655</v>
      </c>
      <c r="K676" s="5">
        <v>0.32319999999999999</v>
      </c>
      <c r="L676" s="26" t="b">
        <f t="shared" si="51"/>
        <v>1</v>
      </c>
      <c r="M676" s="26" t="str">
        <f t="shared" si="48"/>
        <v>call</v>
      </c>
      <c r="N676" s="28">
        <f t="shared" si="49"/>
        <v>46073</v>
      </c>
      <c r="O676" s="29">
        <f t="shared" si="50"/>
        <v>138</v>
      </c>
    </row>
    <row r="677" spans="1:15" x14ac:dyDescent="0.45">
      <c r="A677" s="1" t="s">
        <v>801</v>
      </c>
      <c r="B677" s="2">
        <v>45726.631249999999</v>
      </c>
      <c r="C677" s="3">
        <v>240</v>
      </c>
      <c r="D677" s="4">
        <v>29.25</v>
      </c>
      <c r="E677" s="4">
        <v>29.2</v>
      </c>
      <c r="F677" s="4">
        <v>29.5</v>
      </c>
      <c r="G677" s="6">
        <v>-0.05</v>
      </c>
      <c r="H677" s="7">
        <v>-1.6999999999999999E-3</v>
      </c>
      <c r="I677" s="4">
        <v>18</v>
      </c>
      <c r="J677" s="10">
        <v>5285</v>
      </c>
      <c r="K677" s="5">
        <v>0.313</v>
      </c>
      <c r="L677" s="26" t="b">
        <f t="shared" si="51"/>
        <v>1</v>
      </c>
      <c r="M677" s="26" t="str">
        <f t="shared" si="48"/>
        <v>call</v>
      </c>
      <c r="N677" s="28">
        <f t="shared" si="49"/>
        <v>46073</v>
      </c>
      <c r="O677" s="29">
        <f t="shared" si="50"/>
        <v>138</v>
      </c>
    </row>
    <row r="678" spans="1:15" x14ac:dyDescent="0.45">
      <c r="A678" s="1" t="s">
        <v>802</v>
      </c>
      <c r="B678" s="2">
        <v>45726.64166666667</v>
      </c>
      <c r="C678" s="3">
        <v>245</v>
      </c>
      <c r="D678" s="4">
        <v>25.7</v>
      </c>
      <c r="E678" s="4">
        <v>25.75</v>
      </c>
      <c r="F678" s="4">
        <v>26.05</v>
      </c>
      <c r="G678" s="8">
        <v>-0.1</v>
      </c>
      <c r="H678" s="9">
        <v>-3.8999999999999998E-3</v>
      </c>
      <c r="I678" s="4">
        <v>18</v>
      </c>
      <c r="J678" s="10">
        <v>2663</v>
      </c>
      <c r="K678" s="5">
        <v>0.30449999999999999</v>
      </c>
      <c r="L678" s="26" t="b">
        <f t="shared" si="51"/>
        <v>1</v>
      </c>
      <c r="M678" s="26" t="str">
        <f t="shared" si="48"/>
        <v>call</v>
      </c>
      <c r="N678" s="28">
        <f t="shared" si="49"/>
        <v>46073</v>
      </c>
      <c r="O678" s="29">
        <f t="shared" si="50"/>
        <v>138</v>
      </c>
    </row>
    <row r="679" spans="1:15" x14ac:dyDescent="0.45">
      <c r="A679" s="1" t="s">
        <v>803</v>
      </c>
      <c r="B679" s="2">
        <v>45726.660416666666</v>
      </c>
      <c r="C679" s="3">
        <v>250</v>
      </c>
      <c r="D679" s="4">
        <v>22.45</v>
      </c>
      <c r="E679" s="4">
        <v>22.45</v>
      </c>
      <c r="F679" s="4">
        <v>22.7</v>
      </c>
      <c r="G679" s="6">
        <v>0.01</v>
      </c>
      <c r="H679" s="7">
        <v>4.0000000000000002E-4</v>
      </c>
      <c r="I679" s="4">
        <v>127</v>
      </c>
      <c r="J679" s="10">
        <v>3113</v>
      </c>
      <c r="K679" s="5">
        <v>0.29480000000000001</v>
      </c>
      <c r="L679" s="26" t="b">
        <f t="shared" si="51"/>
        <v>1</v>
      </c>
      <c r="M679" s="26" t="str">
        <f t="shared" si="48"/>
        <v>call</v>
      </c>
      <c r="N679" s="28">
        <f t="shared" si="49"/>
        <v>46073</v>
      </c>
      <c r="O679" s="29">
        <f t="shared" si="50"/>
        <v>138</v>
      </c>
    </row>
    <row r="680" spans="1:15" x14ac:dyDescent="0.45">
      <c r="A680" s="1" t="s">
        <v>804</v>
      </c>
      <c r="B680" s="2">
        <v>45726.654861111114</v>
      </c>
      <c r="C680" s="3">
        <v>255</v>
      </c>
      <c r="D680" s="4">
        <v>19.149999999999999</v>
      </c>
      <c r="E680" s="4">
        <v>19.399999999999999</v>
      </c>
      <c r="F680" s="4">
        <v>19.55</v>
      </c>
      <c r="G680" s="4">
        <v>-0.15</v>
      </c>
      <c r="H680" s="5">
        <v>-7.7999999999999996E-3</v>
      </c>
      <c r="I680" s="4">
        <v>229</v>
      </c>
      <c r="J680" s="10">
        <v>3502</v>
      </c>
      <c r="K680" s="5">
        <v>0.2853</v>
      </c>
      <c r="L680" s="26" t="b">
        <f t="shared" si="51"/>
        <v>1</v>
      </c>
      <c r="M680" s="26" t="str">
        <f t="shared" si="48"/>
        <v>call</v>
      </c>
      <c r="N680" s="28">
        <f t="shared" si="49"/>
        <v>46073</v>
      </c>
      <c r="O680" s="29">
        <f t="shared" si="50"/>
        <v>138</v>
      </c>
    </row>
    <row r="681" spans="1:15" x14ac:dyDescent="0.45">
      <c r="A681" s="11" t="s">
        <v>805</v>
      </c>
      <c r="B681" s="12">
        <v>45726.662499999999</v>
      </c>
      <c r="C681" s="13">
        <v>260</v>
      </c>
      <c r="D681" s="14">
        <v>16.399999999999999</v>
      </c>
      <c r="E681" s="14">
        <v>16.600000000000001</v>
      </c>
      <c r="F681" s="14">
        <v>16.75</v>
      </c>
      <c r="G681" s="15">
        <v>-0.15</v>
      </c>
      <c r="H681" s="16">
        <v>-9.1000000000000004E-3</v>
      </c>
      <c r="I681" s="14">
        <v>458</v>
      </c>
      <c r="J681" s="17">
        <v>8714</v>
      </c>
      <c r="K681" s="18">
        <v>0.2782</v>
      </c>
      <c r="L681" s="26" t="b">
        <f t="shared" si="51"/>
        <v>0</v>
      </c>
      <c r="M681" s="26" t="str">
        <f t="shared" si="48"/>
        <v>call</v>
      </c>
      <c r="N681" s="28">
        <f t="shared" si="49"/>
        <v>46073</v>
      </c>
      <c r="O681" s="29">
        <f t="shared" si="50"/>
        <v>138</v>
      </c>
    </row>
    <row r="682" spans="1:15" x14ac:dyDescent="0.45">
      <c r="A682" s="11" t="s">
        <v>806</v>
      </c>
      <c r="B682" s="12">
        <v>45726.650694444441</v>
      </c>
      <c r="C682" s="13">
        <v>265</v>
      </c>
      <c r="D682" s="14">
        <v>14.09</v>
      </c>
      <c r="E682" s="14">
        <v>14.1</v>
      </c>
      <c r="F682" s="14">
        <v>14.2</v>
      </c>
      <c r="G682" s="14">
        <v>-0.11</v>
      </c>
      <c r="H682" s="18">
        <v>-7.7000000000000002E-3</v>
      </c>
      <c r="I682" s="14">
        <v>244</v>
      </c>
      <c r="J682" s="17">
        <v>6228</v>
      </c>
      <c r="K682" s="18">
        <v>0.27160000000000001</v>
      </c>
      <c r="L682" s="26" t="b">
        <f t="shared" si="51"/>
        <v>0</v>
      </c>
      <c r="M682" s="26" t="str">
        <f t="shared" si="48"/>
        <v>call</v>
      </c>
      <c r="N682" s="28">
        <f t="shared" si="49"/>
        <v>46073</v>
      </c>
      <c r="O682" s="29">
        <f t="shared" si="50"/>
        <v>138</v>
      </c>
    </row>
    <row r="683" spans="1:15" x14ac:dyDescent="0.45">
      <c r="A683" s="11" t="s">
        <v>807</v>
      </c>
      <c r="B683" s="12">
        <v>45726.665277777778</v>
      </c>
      <c r="C683" s="13">
        <v>270</v>
      </c>
      <c r="D683" s="14">
        <v>11.87</v>
      </c>
      <c r="E683" s="14">
        <v>11.8</v>
      </c>
      <c r="F683" s="14">
        <v>11.95</v>
      </c>
      <c r="G683" s="15">
        <v>-7.0000000000000007E-2</v>
      </c>
      <c r="H683" s="16">
        <v>-5.8999999999999999E-3</v>
      </c>
      <c r="I683" s="14">
        <v>313</v>
      </c>
      <c r="J683" s="17">
        <v>6727</v>
      </c>
      <c r="K683" s="18">
        <v>0.26619999999999999</v>
      </c>
      <c r="L683" s="26" t="b">
        <f t="shared" si="51"/>
        <v>0</v>
      </c>
      <c r="M683" s="26" t="str">
        <f t="shared" si="48"/>
        <v>call</v>
      </c>
      <c r="N683" s="28">
        <f t="shared" si="49"/>
        <v>46073</v>
      </c>
      <c r="O683" s="29">
        <f t="shared" si="50"/>
        <v>138</v>
      </c>
    </row>
    <row r="684" spans="1:15" x14ac:dyDescent="0.45">
      <c r="A684" s="11" t="s">
        <v>808</v>
      </c>
      <c r="B684" s="12">
        <v>45726.645138888889</v>
      </c>
      <c r="C684" s="13">
        <v>275</v>
      </c>
      <c r="D684" s="14">
        <v>9.85</v>
      </c>
      <c r="E684" s="14">
        <v>9.85</v>
      </c>
      <c r="F684" s="14">
        <v>9.9499999999999993</v>
      </c>
      <c r="G684" s="15">
        <v>0.05</v>
      </c>
      <c r="H684" s="16">
        <v>5.1000000000000004E-3</v>
      </c>
      <c r="I684" s="14">
        <v>110</v>
      </c>
      <c r="J684" s="17">
        <v>11274</v>
      </c>
      <c r="K684" s="18">
        <v>0.26119999999999999</v>
      </c>
      <c r="L684" s="26" t="b">
        <f t="shared" si="51"/>
        <v>0</v>
      </c>
      <c r="M684" s="26" t="str">
        <f t="shared" si="48"/>
        <v>call</v>
      </c>
      <c r="N684" s="28">
        <f t="shared" si="49"/>
        <v>46073</v>
      </c>
      <c r="O684" s="29">
        <f t="shared" si="50"/>
        <v>138</v>
      </c>
    </row>
    <row r="685" spans="1:15" x14ac:dyDescent="0.45">
      <c r="A685" s="11" t="s">
        <v>809</v>
      </c>
      <c r="B685" s="12">
        <v>45726.644444444442</v>
      </c>
      <c r="C685" s="13">
        <v>280</v>
      </c>
      <c r="D685" s="14">
        <v>8.1</v>
      </c>
      <c r="E685" s="14">
        <v>8.1</v>
      </c>
      <c r="F685" s="14">
        <v>8.25</v>
      </c>
      <c r="G685" s="15">
        <v>-0.05</v>
      </c>
      <c r="H685" s="16">
        <v>-6.1000000000000004E-3</v>
      </c>
      <c r="I685" s="14">
        <v>347</v>
      </c>
      <c r="J685" s="17">
        <v>3632</v>
      </c>
      <c r="K685" s="18">
        <v>0.25750000000000001</v>
      </c>
      <c r="L685" s="26" t="b">
        <f t="shared" si="51"/>
        <v>0</v>
      </c>
      <c r="M685" s="26" t="str">
        <f t="shared" si="48"/>
        <v>call</v>
      </c>
      <c r="N685" s="28">
        <f t="shared" si="49"/>
        <v>46073</v>
      </c>
      <c r="O685" s="29">
        <f t="shared" si="50"/>
        <v>138</v>
      </c>
    </row>
    <row r="686" spans="1:15" x14ac:dyDescent="0.45">
      <c r="A686" s="11" t="s">
        <v>810</v>
      </c>
      <c r="B686" s="12">
        <v>45726.654861111114</v>
      </c>
      <c r="C686" s="13">
        <v>285</v>
      </c>
      <c r="D686" s="14">
        <v>6.75</v>
      </c>
      <c r="E686" s="14">
        <v>6.65</v>
      </c>
      <c r="F686" s="14">
        <v>6.75</v>
      </c>
      <c r="G686" s="15">
        <v>-0.04</v>
      </c>
      <c r="H686" s="16">
        <v>-5.8999999999999999E-3</v>
      </c>
      <c r="I686" s="14">
        <v>137</v>
      </c>
      <c r="J686" s="17">
        <v>1369</v>
      </c>
      <c r="K686" s="18">
        <v>0.25369999999999998</v>
      </c>
      <c r="L686" s="26" t="b">
        <f t="shared" si="51"/>
        <v>0</v>
      </c>
      <c r="M686" s="26" t="str">
        <f t="shared" si="48"/>
        <v>call</v>
      </c>
      <c r="N686" s="28">
        <f t="shared" si="49"/>
        <v>46073</v>
      </c>
      <c r="O686" s="29">
        <f t="shared" si="50"/>
        <v>138</v>
      </c>
    </row>
    <row r="687" spans="1:15" x14ac:dyDescent="0.45">
      <c r="A687" s="11" t="s">
        <v>811</v>
      </c>
      <c r="B687" s="12">
        <v>45726.578472222223</v>
      </c>
      <c r="C687" s="13">
        <v>290</v>
      </c>
      <c r="D687" s="14">
        <v>5.43</v>
      </c>
      <c r="E687" s="14">
        <v>5.4</v>
      </c>
      <c r="F687" s="14">
        <v>5.5</v>
      </c>
      <c r="G687" s="15">
        <v>-0.12</v>
      </c>
      <c r="H687" s="16">
        <v>-2.1600000000000001E-2</v>
      </c>
      <c r="I687" s="14">
        <v>163</v>
      </c>
      <c r="J687" s="17">
        <v>1302</v>
      </c>
      <c r="K687" s="18">
        <v>0.25080000000000002</v>
      </c>
      <c r="L687" s="26" t="b">
        <f t="shared" si="51"/>
        <v>0</v>
      </c>
      <c r="M687" s="26" t="str">
        <f t="shared" si="48"/>
        <v>call</v>
      </c>
      <c r="N687" s="28">
        <f t="shared" si="49"/>
        <v>46073</v>
      </c>
      <c r="O687" s="29">
        <f t="shared" si="50"/>
        <v>138</v>
      </c>
    </row>
    <row r="688" spans="1:15" x14ac:dyDescent="0.45">
      <c r="A688" s="11" t="s">
        <v>812</v>
      </c>
      <c r="B688" s="12">
        <v>45726.637499999997</v>
      </c>
      <c r="C688" s="13">
        <v>295</v>
      </c>
      <c r="D688" s="14">
        <v>4.3899999999999997</v>
      </c>
      <c r="E688" s="14">
        <v>4.3499999999999996</v>
      </c>
      <c r="F688" s="14">
        <v>4.45</v>
      </c>
      <c r="G688" s="15">
        <v>-0.11</v>
      </c>
      <c r="H688" s="16">
        <v>-2.4400000000000002E-2</v>
      </c>
      <c r="I688" s="14">
        <v>349</v>
      </c>
      <c r="J688" s="17">
        <v>1271</v>
      </c>
      <c r="K688" s="18">
        <v>0.24840000000000001</v>
      </c>
      <c r="L688" s="26" t="b">
        <f t="shared" si="51"/>
        <v>0</v>
      </c>
      <c r="M688" s="26" t="str">
        <f t="shared" si="48"/>
        <v>call</v>
      </c>
      <c r="N688" s="28">
        <f t="shared" si="49"/>
        <v>46073</v>
      </c>
      <c r="O688" s="29">
        <f t="shared" si="50"/>
        <v>138</v>
      </c>
    </row>
    <row r="689" spans="1:15" x14ac:dyDescent="0.45">
      <c r="A689" s="11" t="s">
        <v>813</v>
      </c>
      <c r="B689" s="12">
        <v>45726.665972222225</v>
      </c>
      <c r="C689" s="13">
        <v>300</v>
      </c>
      <c r="D689" s="14">
        <v>3.56</v>
      </c>
      <c r="E689" s="14">
        <v>3.5</v>
      </c>
      <c r="F689" s="14">
        <v>3.6</v>
      </c>
      <c r="G689" s="15">
        <v>-0.09</v>
      </c>
      <c r="H689" s="16">
        <v>-2.47E-2</v>
      </c>
      <c r="I689" s="14">
        <v>271</v>
      </c>
      <c r="J689" s="17">
        <v>4426</v>
      </c>
      <c r="K689" s="18">
        <v>0.24690000000000001</v>
      </c>
      <c r="L689" s="26" t="b">
        <f t="shared" si="51"/>
        <v>0</v>
      </c>
      <c r="M689" s="26" t="str">
        <f t="shared" si="48"/>
        <v>call</v>
      </c>
      <c r="N689" s="28">
        <f t="shared" si="49"/>
        <v>46073</v>
      </c>
      <c r="O689" s="29">
        <f t="shared" si="50"/>
        <v>138</v>
      </c>
    </row>
    <row r="690" spans="1:15" x14ac:dyDescent="0.45">
      <c r="A690" s="11" t="s">
        <v>814</v>
      </c>
      <c r="B690" s="12">
        <v>45726.624305555553</v>
      </c>
      <c r="C690" s="13">
        <v>310</v>
      </c>
      <c r="D690" s="14">
        <v>2.29</v>
      </c>
      <c r="E690" s="14">
        <v>2.27</v>
      </c>
      <c r="F690" s="14">
        <v>2.31</v>
      </c>
      <c r="G690" s="15">
        <v>-0.1</v>
      </c>
      <c r="H690" s="16">
        <v>-4.1799999999999997E-2</v>
      </c>
      <c r="I690" s="14">
        <v>30</v>
      </c>
      <c r="J690" s="17">
        <v>1161</v>
      </c>
      <c r="K690" s="18">
        <v>0.2445</v>
      </c>
      <c r="L690" s="26" t="b">
        <f t="shared" si="51"/>
        <v>0</v>
      </c>
      <c r="M690" s="26" t="str">
        <f t="shared" si="48"/>
        <v>call</v>
      </c>
      <c r="N690" s="28">
        <f t="shared" si="49"/>
        <v>46073</v>
      </c>
      <c r="O690" s="29">
        <f t="shared" si="50"/>
        <v>138</v>
      </c>
    </row>
    <row r="691" spans="1:15" x14ac:dyDescent="0.45">
      <c r="A691" s="11" t="s">
        <v>815</v>
      </c>
      <c r="B691" s="12">
        <v>45726.662499999999</v>
      </c>
      <c r="C691" s="13">
        <v>320</v>
      </c>
      <c r="D691" s="14">
        <v>1.45</v>
      </c>
      <c r="E691" s="14">
        <v>1.45</v>
      </c>
      <c r="F691" s="14">
        <v>1.49</v>
      </c>
      <c r="G691" s="15">
        <v>-0.12</v>
      </c>
      <c r="H691" s="16">
        <v>-7.6399999999999996E-2</v>
      </c>
      <c r="I691" s="14">
        <v>54</v>
      </c>
      <c r="J691" s="17">
        <v>6292</v>
      </c>
      <c r="K691" s="18">
        <v>0.24429999999999999</v>
      </c>
      <c r="L691" s="26" t="b">
        <f t="shared" si="51"/>
        <v>0</v>
      </c>
      <c r="M691" s="26" t="str">
        <f t="shared" si="48"/>
        <v>call</v>
      </c>
      <c r="N691" s="28">
        <f t="shared" si="49"/>
        <v>46073</v>
      </c>
      <c r="O691" s="29">
        <f t="shared" si="50"/>
        <v>138</v>
      </c>
    </row>
    <row r="692" spans="1:15" x14ac:dyDescent="0.45">
      <c r="A692" s="11" t="s">
        <v>816</v>
      </c>
      <c r="B692" s="12">
        <v>45726.654166666667</v>
      </c>
      <c r="C692" s="13">
        <v>330</v>
      </c>
      <c r="D692" s="14">
        <v>0.95</v>
      </c>
      <c r="E692" s="14">
        <v>0.92</v>
      </c>
      <c r="F692" s="14">
        <v>0.96</v>
      </c>
      <c r="G692" s="15">
        <v>-0.09</v>
      </c>
      <c r="H692" s="16">
        <v>-8.6499999999999994E-2</v>
      </c>
      <c r="I692" s="14">
        <v>22</v>
      </c>
      <c r="J692" s="14">
        <v>984</v>
      </c>
      <c r="K692" s="18">
        <v>0.245</v>
      </c>
      <c r="L692" s="26" t="b">
        <f t="shared" si="51"/>
        <v>0</v>
      </c>
      <c r="M692" s="26" t="str">
        <f t="shared" si="48"/>
        <v>call</v>
      </c>
      <c r="N692" s="28">
        <f t="shared" si="49"/>
        <v>46073</v>
      </c>
      <c r="O692" s="29">
        <f t="shared" si="50"/>
        <v>138</v>
      </c>
    </row>
    <row r="693" spans="1:15" x14ac:dyDescent="0.45">
      <c r="A693" s="11" t="s">
        <v>817</v>
      </c>
      <c r="B693" s="12">
        <v>45726.458333333336</v>
      </c>
      <c r="C693" s="13">
        <v>340</v>
      </c>
      <c r="D693" s="14">
        <v>0.66</v>
      </c>
      <c r="E693" s="14">
        <v>0.59</v>
      </c>
      <c r="F693" s="14">
        <v>0.63</v>
      </c>
      <c r="G693" s="15">
        <v>-0.02</v>
      </c>
      <c r="H693" s="16">
        <v>-2.9399999999999999E-2</v>
      </c>
      <c r="I693" s="14">
        <v>3</v>
      </c>
      <c r="J693" s="17">
        <v>2118</v>
      </c>
      <c r="K693" s="18">
        <v>0.2472</v>
      </c>
      <c r="L693" s="26" t="b">
        <f t="shared" si="51"/>
        <v>0</v>
      </c>
      <c r="M693" s="26" t="str">
        <f t="shared" si="48"/>
        <v>call</v>
      </c>
      <c r="N693" s="28">
        <f t="shared" si="49"/>
        <v>46073</v>
      </c>
      <c r="O693" s="29">
        <f t="shared" si="50"/>
        <v>138</v>
      </c>
    </row>
    <row r="694" spans="1:15" x14ac:dyDescent="0.45">
      <c r="A694" s="11" t="s">
        <v>818</v>
      </c>
      <c r="B694" s="12">
        <v>45726.482638888891</v>
      </c>
      <c r="C694" s="13">
        <v>350</v>
      </c>
      <c r="D694" s="14">
        <v>0.45</v>
      </c>
      <c r="E694" s="14">
        <v>0.38</v>
      </c>
      <c r="F694" s="14">
        <v>0.41</v>
      </c>
      <c r="G694" s="15">
        <v>0</v>
      </c>
      <c r="H694" s="16">
        <v>0</v>
      </c>
      <c r="I694" s="14">
        <v>35</v>
      </c>
      <c r="J694" s="14">
        <v>734</v>
      </c>
      <c r="K694" s="18">
        <v>0.2492</v>
      </c>
      <c r="L694" s="26" t="b">
        <f t="shared" si="51"/>
        <v>0</v>
      </c>
      <c r="M694" s="26" t="str">
        <f t="shared" si="48"/>
        <v>call</v>
      </c>
      <c r="N694" s="28">
        <f t="shared" si="49"/>
        <v>46073</v>
      </c>
      <c r="O694" s="29">
        <f t="shared" si="50"/>
        <v>138</v>
      </c>
    </row>
    <row r="695" spans="1:15" x14ac:dyDescent="0.45">
      <c r="A695" s="11" t="s">
        <v>819</v>
      </c>
      <c r="B695" s="12">
        <v>45726.556250000001</v>
      </c>
      <c r="C695" s="13">
        <v>360</v>
      </c>
      <c r="D695" s="14">
        <v>0.28000000000000003</v>
      </c>
      <c r="E695" s="14">
        <v>0.24</v>
      </c>
      <c r="F695" s="14">
        <v>0.28000000000000003</v>
      </c>
      <c r="G695" s="14">
        <v>0.01</v>
      </c>
      <c r="H695" s="18">
        <v>3.6999999999999998E-2</v>
      </c>
      <c r="I695" s="14">
        <v>5</v>
      </c>
      <c r="J695" s="14">
        <v>117</v>
      </c>
      <c r="K695" s="18">
        <v>0.25290000000000001</v>
      </c>
      <c r="L695" s="26" t="b">
        <f t="shared" si="51"/>
        <v>0</v>
      </c>
      <c r="M695" s="26" t="str">
        <f t="shared" si="48"/>
        <v>call</v>
      </c>
      <c r="N695" s="28">
        <f t="shared" si="49"/>
        <v>46073</v>
      </c>
      <c r="O695" s="29">
        <f t="shared" si="50"/>
        <v>138</v>
      </c>
    </row>
    <row r="696" spans="1:15" x14ac:dyDescent="0.45">
      <c r="A696" s="11" t="s">
        <v>820</v>
      </c>
      <c r="B696" s="12">
        <v>45667.652083333334</v>
      </c>
      <c r="C696" s="13">
        <v>370</v>
      </c>
      <c r="D696" s="14">
        <v>0.2</v>
      </c>
      <c r="E696" s="14">
        <v>0.16</v>
      </c>
      <c r="F696" s="14">
        <v>0.19</v>
      </c>
      <c r="G696" s="15">
        <v>0.01</v>
      </c>
      <c r="H696" s="16">
        <v>5.2600000000000001E-2</v>
      </c>
      <c r="I696" s="14">
        <v>5</v>
      </c>
      <c r="J696" s="17">
        <v>1288</v>
      </c>
      <c r="K696" s="18">
        <v>0.25640000000000002</v>
      </c>
      <c r="L696" s="26" t="b">
        <f t="shared" si="51"/>
        <v>0</v>
      </c>
      <c r="M696" s="26" t="str">
        <f t="shared" si="48"/>
        <v>call</v>
      </c>
      <c r="N696" s="28">
        <f t="shared" si="49"/>
        <v>46073</v>
      </c>
      <c r="O696" s="29">
        <f t="shared" si="50"/>
        <v>138</v>
      </c>
    </row>
    <row r="697" spans="1:15" x14ac:dyDescent="0.45">
      <c r="A697" s="11" t="s">
        <v>821</v>
      </c>
      <c r="B697" s="12">
        <v>45726.502083333333</v>
      </c>
      <c r="C697" s="13">
        <v>380</v>
      </c>
      <c r="D697" s="14">
        <v>0.12</v>
      </c>
      <c r="E697" s="14">
        <v>0.1</v>
      </c>
      <c r="F697" s="14">
        <v>0.13</v>
      </c>
      <c r="G697" s="14">
        <v>-0.03</v>
      </c>
      <c r="H697" s="18">
        <v>-0.2</v>
      </c>
      <c r="I697" s="14">
        <v>11</v>
      </c>
      <c r="J697" s="14">
        <v>812</v>
      </c>
      <c r="K697" s="18">
        <v>0.25979999999999998</v>
      </c>
      <c r="L697" s="26" t="b">
        <f t="shared" si="51"/>
        <v>0</v>
      </c>
      <c r="M697" s="26" t="str">
        <f t="shared" si="48"/>
        <v>call</v>
      </c>
      <c r="N697" s="28">
        <f t="shared" si="49"/>
        <v>46073</v>
      </c>
      <c r="O697" s="29">
        <f t="shared" si="50"/>
        <v>138</v>
      </c>
    </row>
    <row r="698" spans="1:15" x14ac:dyDescent="0.45">
      <c r="A698" s="11" t="s">
        <v>822</v>
      </c>
      <c r="B698" s="12">
        <v>45726.46597222222</v>
      </c>
      <c r="C698" s="13">
        <v>390</v>
      </c>
      <c r="D698" s="14">
        <v>0.09</v>
      </c>
      <c r="E698" s="14">
        <v>0.06</v>
      </c>
      <c r="F698" s="14">
        <v>0.1</v>
      </c>
      <c r="G698" s="14">
        <v>0</v>
      </c>
      <c r="H698" s="18">
        <v>0</v>
      </c>
      <c r="I698" s="14">
        <v>1</v>
      </c>
      <c r="J698" s="17">
        <v>1104</v>
      </c>
      <c r="K698" s="18">
        <v>0.2666</v>
      </c>
      <c r="L698" s="26" t="b">
        <f t="shared" si="51"/>
        <v>0</v>
      </c>
      <c r="M698" s="26" t="str">
        <f t="shared" si="48"/>
        <v>call</v>
      </c>
      <c r="N698" s="28">
        <f t="shared" si="49"/>
        <v>46073</v>
      </c>
      <c r="O698" s="29">
        <f t="shared" si="50"/>
        <v>138</v>
      </c>
    </row>
    <row r="699" spans="1:15" x14ac:dyDescent="0.45">
      <c r="A699" s="11" t="s">
        <v>823</v>
      </c>
      <c r="B699" s="12">
        <v>45726.636111111111</v>
      </c>
      <c r="C699" s="13">
        <v>400</v>
      </c>
      <c r="D699" s="14">
        <v>0.06</v>
      </c>
      <c r="E699" s="14">
        <v>0.04</v>
      </c>
      <c r="F699" s="14">
        <v>0.05</v>
      </c>
      <c r="G699" s="15">
        <v>-0.01</v>
      </c>
      <c r="H699" s="16">
        <v>-0.1429</v>
      </c>
      <c r="I699" s="14">
        <v>83</v>
      </c>
      <c r="J699" s="17">
        <v>3913</v>
      </c>
      <c r="K699" s="18">
        <v>0.26069999999999999</v>
      </c>
      <c r="L699" s="26" t="b">
        <f t="shared" si="51"/>
        <v>0</v>
      </c>
      <c r="M699" s="26" t="str">
        <f t="shared" si="48"/>
        <v>call</v>
      </c>
      <c r="N699" s="28">
        <f t="shared" si="49"/>
        <v>46073</v>
      </c>
      <c r="O699" s="29">
        <f t="shared" si="50"/>
        <v>138</v>
      </c>
    </row>
    <row r="700" spans="1:15" x14ac:dyDescent="0.45">
      <c r="A700" s="11" t="s">
        <v>824</v>
      </c>
      <c r="B700" s="12">
        <v>45726.395833333336</v>
      </c>
      <c r="C700" s="13">
        <v>100</v>
      </c>
      <c r="D700" s="14">
        <v>7.0000000000000007E-2</v>
      </c>
      <c r="E700" s="14">
        <v>0.06</v>
      </c>
      <c r="F700" s="14">
        <v>0.1</v>
      </c>
      <c r="G700" s="14">
        <v>0</v>
      </c>
      <c r="H700" s="18">
        <v>0</v>
      </c>
      <c r="I700" s="14">
        <v>1</v>
      </c>
      <c r="J700" s="14">
        <v>385</v>
      </c>
      <c r="K700" s="18">
        <v>0.58789999999999998</v>
      </c>
      <c r="L700" s="26" t="b">
        <f t="shared" si="51"/>
        <v>0</v>
      </c>
      <c r="M700" s="26" t="str">
        <f t="shared" si="48"/>
        <v>put</v>
      </c>
      <c r="N700" s="28">
        <f t="shared" si="49"/>
        <v>46073</v>
      </c>
      <c r="O700" s="29">
        <f t="shared" si="50"/>
        <v>138</v>
      </c>
    </row>
    <row r="701" spans="1:15" x14ac:dyDescent="0.45">
      <c r="A701" s="11" t="s">
        <v>825</v>
      </c>
      <c r="B701" s="14" t="s">
        <v>826</v>
      </c>
      <c r="C701" s="13">
        <v>105</v>
      </c>
      <c r="D701" s="14">
        <v>0.06</v>
      </c>
      <c r="E701" s="14">
        <v>0.06</v>
      </c>
      <c r="F701" s="14">
        <v>0.09</v>
      </c>
      <c r="G701" s="14">
        <v>0</v>
      </c>
      <c r="H701" s="18">
        <v>0</v>
      </c>
      <c r="I701" s="14">
        <v>2</v>
      </c>
      <c r="J701" s="14">
        <v>23</v>
      </c>
      <c r="K701" s="18">
        <v>0.55469999999999997</v>
      </c>
      <c r="L701" s="26" t="b">
        <f t="shared" si="51"/>
        <v>0</v>
      </c>
      <c r="M701" s="26" t="str">
        <f t="shared" ref="M701:M764" si="52">IF(MID(A701,11,1)="C","call","put")</f>
        <v>put</v>
      </c>
      <c r="N701" s="28">
        <f t="shared" ref="N701:N764" si="53">DATE(MID(A701,5,2)+2000,MID(A701,7,2),MID(A701,9,2))</f>
        <v>46073</v>
      </c>
      <c r="O701" s="29">
        <f t="shared" si="50"/>
        <v>138</v>
      </c>
    </row>
    <row r="702" spans="1:15" x14ac:dyDescent="0.45">
      <c r="A702" s="11" t="s">
        <v>827</v>
      </c>
      <c r="B702" s="12">
        <v>45726.56527777778</v>
      </c>
      <c r="C702" s="13">
        <v>110</v>
      </c>
      <c r="D702" s="14">
        <v>0.09</v>
      </c>
      <c r="E702" s="14">
        <v>0.08</v>
      </c>
      <c r="F702" s="14">
        <v>0.11</v>
      </c>
      <c r="G702" s="14">
        <v>-0.02</v>
      </c>
      <c r="H702" s="18">
        <v>-0.18179999999999999</v>
      </c>
      <c r="I702" s="14">
        <v>1</v>
      </c>
      <c r="J702" s="14">
        <v>63</v>
      </c>
      <c r="K702" s="18">
        <v>0.54100000000000004</v>
      </c>
      <c r="L702" s="26" t="b">
        <f t="shared" si="51"/>
        <v>0</v>
      </c>
      <c r="M702" s="26" t="str">
        <f t="shared" si="52"/>
        <v>put</v>
      </c>
      <c r="N702" s="28">
        <f t="shared" si="53"/>
        <v>46073</v>
      </c>
      <c r="O702" s="29">
        <f t="shared" ref="O702:O765" si="54">N702-DATE(2025,10,5)</f>
        <v>138</v>
      </c>
    </row>
    <row r="703" spans="1:15" x14ac:dyDescent="0.45">
      <c r="A703" s="11" t="s">
        <v>828</v>
      </c>
      <c r="B703" s="12">
        <v>45726.65347222222</v>
      </c>
      <c r="C703" s="13">
        <v>115</v>
      </c>
      <c r="D703" s="14">
        <v>0.11</v>
      </c>
      <c r="E703" s="14">
        <v>0</v>
      </c>
      <c r="F703" s="14">
        <v>0.13</v>
      </c>
      <c r="G703" s="14">
        <v>-0.11</v>
      </c>
      <c r="H703" s="18">
        <v>-0.5</v>
      </c>
      <c r="I703" s="14">
        <v>3</v>
      </c>
      <c r="J703" s="14">
        <v>39</v>
      </c>
      <c r="K703" s="18">
        <v>0.53420000000000001</v>
      </c>
      <c r="L703" s="26" t="b">
        <f t="shared" si="51"/>
        <v>0</v>
      </c>
      <c r="M703" s="26" t="str">
        <f t="shared" si="52"/>
        <v>put</v>
      </c>
      <c r="N703" s="28">
        <f t="shared" si="53"/>
        <v>46073</v>
      </c>
      <c r="O703" s="29">
        <f t="shared" si="54"/>
        <v>138</v>
      </c>
    </row>
    <row r="704" spans="1:15" x14ac:dyDescent="0.45">
      <c r="A704" s="11" t="s">
        <v>829</v>
      </c>
      <c r="B704" s="14" t="s">
        <v>830</v>
      </c>
      <c r="C704" s="13">
        <v>120</v>
      </c>
      <c r="D704" s="14">
        <v>0.13</v>
      </c>
      <c r="E704" s="14">
        <v>0.12</v>
      </c>
      <c r="F704" s="14">
        <v>0.14000000000000001</v>
      </c>
      <c r="G704" s="14">
        <v>0</v>
      </c>
      <c r="H704" s="18">
        <v>0</v>
      </c>
      <c r="I704" s="14">
        <v>1</v>
      </c>
      <c r="J704" s="14">
        <v>81</v>
      </c>
      <c r="K704" s="18">
        <v>0.50780000000000003</v>
      </c>
      <c r="L704" s="26" t="b">
        <f t="shared" ref="L704:L767" si="55">IF(M704="call",C704&lt;$P$1,C704&gt;$P$1)</f>
        <v>0</v>
      </c>
      <c r="M704" s="26" t="str">
        <f t="shared" si="52"/>
        <v>put</v>
      </c>
      <c r="N704" s="28">
        <f t="shared" si="53"/>
        <v>46073</v>
      </c>
      <c r="O704" s="29">
        <f t="shared" si="54"/>
        <v>138</v>
      </c>
    </row>
    <row r="705" spans="1:15" x14ac:dyDescent="0.45">
      <c r="A705" s="11" t="s">
        <v>831</v>
      </c>
      <c r="B705" s="12">
        <v>45698.458333333336</v>
      </c>
      <c r="C705" s="13">
        <v>125</v>
      </c>
      <c r="D705" s="14">
        <v>0.14000000000000001</v>
      </c>
      <c r="E705" s="14">
        <v>0.13</v>
      </c>
      <c r="F705" s="14">
        <v>0.18</v>
      </c>
      <c r="G705" s="15">
        <v>0</v>
      </c>
      <c r="H705" s="16">
        <v>0</v>
      </c>
      <c r="I705" s="14">
        <v>3</v>
      </c>
      <c r="J705" s="14">
        <v>378</v>
      </c>
      <c r="K705" s="18">
        <v>0.502</v>
      </c>
      <c r="L705" s="26" t="b">
        <f t="shared" si="55"/>
        <v>0</v>
      </c>
      <c r="M705" s="26" t="str">
        <f t="shared" si="52"/>
        <v>put</v>
      </c>
      <c r="N705" s="28">
        <f t="shared" si="53"/>
        <v>46073</v>
      </c>
      <c r="O705" s="29">
        <f t="shared" si="54"/>
        <v>138</v>
      </c>
    </row>
    <row r="706" spans="1:15" x14ac:dyDescent="0.45">
      <c r="A706" s="11" t="s">
        <v>832</v>
      </c>
      <c r="B706" s="12">
        <v>45726.65347222222</v>
      </c>
      <c r="C706" s="13">
        <v>130</v>
      </c>
      <c r="D706" s="14">
        <v>0.17</v>
      </c>
      <c r="E706" s="14">
        <v>0.16</v>
      </c>
      <c r="F706" s="14">
        <v>0.19</v>
      </c>
      <c r="G706" s="14">
        <v>-7.0000000000000007E-2</v>
      </c>
      <c r="H706" s="18">
        <v>-0.29170000000000001</v>
      </c>
      <c r="I706" s="14">
        <v>1</v>
      </c>
      <c r="J706" s="14">
        <v>429</v>
      </c>
      <c r="K706" s="18">
        <v>0.48049999999999998</v>
      </c>
      <c r="L706" s="26" t="b">
        <f t="shared" si="55"/>
        <v>0</v>
      </c>
      <c r="M706" s="26" t="str">
        <f t="shared" si="52"/>
        <v>put</v>
      </c>
      <c r="N706" s="28">
        <f t="shared" si="53"/>
        <v>46073</v>
      </c>
      <c r="O706" s="29">
        <f t="shared" si="54"/>
        <v>138</v>
      </c>
    </row>
    <row r="707" spans="1:15" x14ac:dyDescent="0.45">
      <c r="A707" s="11" t="s">
        <v>833</v>
      </c>
      <c r="B707" s="14" t="s">
        <v>834</v>
      </c>
      <c r="C707" s="13">
        <v>135</v>
      </c>
      <c r="D707" s="14">
        <v>0.23</v>
      </c>
      <c r="E707" s="14">
        <v>0.19</v>
      </c>
      <c r="F707" s="14">
        <v>0.22</v>
      </c>
      <c r="G707" s="14">
        <v>0</v>
      </c>
      <c r="H707" s="18">
        <v>0</v>
      </c>
      <c r="I707" s="14">
        <v>4</v>
      </c>
      <c r="J707" s="14">
        <v>545</v>
      </c>
      <c r="K707" s="18">
        <v>0.46479999999999999</v>
      </c>
      <c r="L707" s="26" t="b">
        <f t="shared" si="55"/>
        <v>0</v>
      </c>
      <c r="M707" s="26" t="str">
        <f t="shared" si="52"/>
        <v>put</v>
      </c>
      <c r="N707" s="28">
        <f t="shared" si="53"/>
        <v>46073</v>
      </c>
      <c r="O707" s="29">
        <f t="shared" si="54"/>
        <v>138</v>
      </c>
    </row>
    <row r="708" spans="1:15" x14ac:dyDescent="0.45">
      <c r="A708" s="11" t="s">
        <v>835</v>
      </c>
      <c r="B708" s="12">
        <v>45667.574999999997</v>
      </c>
      <c r="C708" s="13">
        <v>140</v>
      </c>
      <c r="D708" s="14">
        <v>0.25</v>
      </c>
      <c r="E708" s="14">
        <v>0.23</v>
      </c>
      <c r="F708" s="14">
        <v>0.27</v>
      </c>
      <c r="G708" s="14">
        <v>0</v>
      </c>
      <c r="H708" s="18">
        <v>0</v>
      </c>
      <c r="I708" s="14">
        <v>1</v>
      </c>
      <c r="J708" s="14">
        <v>415</v>
      </c>
      <c r="K708" s="18">
        <v>0.4536</v>
      </c>
      <c r="L708" s="26" t="b">
        <f t="shared" si="55"/>
        <v>0</v>
      </c>
      <c r="M708" s="26" t="str">
        <f t="shared" si="52"/>
        <v>put</v>
      </c>
      <c r="N708" s="28">
        <f t="shared" si="53"/>
        <v>46073</v>
      </c>
      <c r="O708" s="29">
        <f t="shared" si="54"/>
        <v>138</v>
      </c>
    </row>
    <row r="709" spans="1:15" x14ac:dyDescent="0.45">
      <c r="A709" s="11" t="s">
        <v>836</v>
      </c>
      <c r="B709" s="14" t="s">
        <v>837</v>
      </c>
      <c r="C709" s="13">
        <v>145</v>
      </c>
      <c r="D709" s="14">
        <v>0.3</v>
      </c>
      <c r="E709" s="14">
        <v>0.27</v>
      </c>
      <c r="F709" s="14">
        <v>0.31</v>
      </c>
      <c r="G709" s="19">
        <v>0</v>
      </c>
      <c r="H709" s="20">
        <v>0</v>
      </c>
      <c r="I709" s="14">
        <v>10</v>
      </c>
      <c r="J709" s="17">
        <v>1661</v>
      </c>
      <c r="K709" s="18">
        <v>0.4385</v>
      </c>
      <c r="L709" s="26" t="b">
        <f t="shared" si="55"/>
        <v>0</v>
      </c>
      <c r="M709" s="26" t="str">
        <f t="shared" si="52"/>
        <v>put</v>
      </c>
      <c r="N709" s="28">
        <f t="shared" si="53"/>
        <v>46073</v>
      </c>
      <c r="O709" s="29">
        <f t="shared" si="54"/>
        <v>138</v>
      </c>
    </row>
    <row r="710" spans="1:15" x14ac:dyDescent="0.45">
      <c r="A710" s="11" t="s">
        <v>838</v>
      </c>
      <c r="B710" s="12">
        <v>45726.56527777778</v>
      </c>
      <c r="C710" s="13">
        <v>150</v>
      </c>
      <c r="D710" s="14">
        <v>0.32</v>
      </c>
      <c r="E710" s="14">
        <v>0.32</v>
      </c>
      <c r="F710" s="14">
        <v>0.36</v>
      </c>
      <c r="G710" s="19">
        <v>-0.04</v>
      </c>
      <c r="H710" s="20">
        <v>-0.1111</v>
      </c>
      <c r="I710" s="14">
        <v>110</v>
      </c>
      <c r="J710" s="14">
        <v>461</v>
      </c>
      <c r="K710" s="18">
        <v>0.42480000000000001</v>
      </c>
      <c r="L710" s="26" t="b">
        <f t="shared" si="55"/>
        <v>0</v>
      </c>
      <c r="M710" s="26" t="str">
        <f t="shared" si="52"/>
        <v>put</v>
      </c>
      <c r="N710" s="28">
        <f t="shared" si="53"/>
        <v>46073</v>
      </c>
      <c r="O710" s="29">
        <f t="shared" si="54"/>
        <v>138</v>
      </c>
    </row>
    <row r="711" spans="1:15" x14ac:dyDescent="0.45">
      <c r="A711" s="11" t="s">
        <v>839</v>
      </c>
      <c r="B711" s="14" t="s">
        <v>840</v>
      </c>
      <c r="C711" s="13">
        <v>155</v>
      </c>
      <c r="D711" s="14">
        <v>0.46</v>
      </c>
      <c r="E711" s="14">
        <v>0.39</v>
      </c>
      <c r="F711" s="14">
        <v>0.43</v>
      </c>
      <c r="G711" s="14">
        <v>0</v>
      </c>
      <c r="H711" s="18">
        <v>0</v>
      </c>
      <c r="I711" s="14">
        <v>6</v>
      </c>
      <c r="J711" s="14">
        <v>405</v>
      </c>
      <c r="K711" s="18">
        <v>0.41310000000000002</v>
      </c>
      <c r="L711" s="26" t="b">
        <f t="shared" si="55"/>
        <v>0</v>
      </c>
      <c r="M711" s="26" t="str">
        <f t="shared" si="52"/>
        <v>put</v>
      </c>
      <c r="N711" s="28">
        <f t="shared" si="53"/>
        <v>46073</v>
      </c>
      <c r="O711" s="29">
        <f t="shared" si="54"/>
        <v>138</v>
      </c>
    </row>
    <row r="712" spans="1:15" x14ac:dyDescent="0.45">
      <c r="A712" s="11" t="s">
        <v>841</v>
      </c>
      <c r="B712" s="14" t="s">
        <v>842</v>
      </c>
      <c r="C712" s="13">
        <v>160</v>
      </c>
      <c r="D712" s="14">
        <v>0.54</v>
      </c>
      <c r="E712" s="14">
        <v>0.46</v>
      </c>
      <c r="F712" s="14">
        <v>0.5</v>
      </c>
      <c r="G712" s="15">
        <v>0</v>
      </c>
      <c r="H712" s="16">
        <v>0</v>
      </c>
      <c r="I712" s="14">
        <v>193</v>
      </c>
      <c r="J712" s="17">
        <v>3005</v>
      </c>
      <c r="K712" s="18">
        <v>0.39989999999999998</v>
      </c>
      <c r="L712" s="26" t="b">
        <f t="shared" si="55"/>
        <v>0</v>
      </c>
      <c r="M712" s="26" t="str">
        <f t="shared" si="52"/>
        <v>put</v>
      </c>
      <c r="N712" s="28">
        <f t="shared" si="53"/>
        <v>46073</v>
      </c>
      <c r="O712" s="29">
        <f t="shared" si="54"/>
        <v>138</v>
      </c>
    </row>
    <row r="713" spans="1:15" x14ac:dyDescent="0.45">
      <c r="A713" s="11" t="s">
        <v>843</v>
      </c>
      <c r="B713" s="12">
        <v>45726.549305555556</v>
      </c>
      <c r="C713" s="13">
        <v>165</v>
      </c>
      <c r="D713" s="14">
        <v>0.55000000000000004</v>
      </c>
      <c r="E713" s="14">
        <v>0.56000000000000005</v>
      </c>
      <c r="F713" s="14">
        <v>0.59</v>
      </c>
      <c r="G713" s="15">
        <v>-7.0000000000000007E-2</v>
      </c>
      <c r="H713" s="16">
        <v>-0.1129</v>
      </c>
      <c r="I713" s="14">
        <v>11</v>
      </c>
      <c r="J713" s="14">
        <v>897</v>
      </c>
      <c r="K713" s="18">
        <v>0.38790000000000002</v>
      </c>
      <c r="L713" s="26" t="b">
        <f t="shared" si="55"/>
        <v>0</v>
      </c>
      <c r="M713" s="26" t="str">
        <f t="shared" si="52"/>
        <v>put</v>
      </c>
      <c r="N713" s="28">
        <f t="shared" si="53"/>
        <v>46073</v>
      </c>
      <c r="O713" s="29">
        <f t="shared" si="54"/>
        <v>138</v>
      </c>
    </row>
    <row r="714" spans="1:15" x14ac:dyDescent="0.45">
      <c r="A714" s="11" t="s">
        <v>844</v>
      </c>
      <c r="B714" s="12">
        <v>45726.415972222225</v>
      </c>
      <c r="C714" s="13">
        <v>170</v>
      </c>
      <c r="D714" s="14">
        <v>0.68</v>
      </c>
      <c r="E714" s="14">
        <v>0.66</v>
      </c>
      <c r="F714" s="14">
        <v>0.7</v>
      </c>
      <c r="G714" s="15">
        <v>0</v>
      </c>
      <c r="H714" s="16">
        <v>0</v>
      </c>
      <c r="I714" s="14">
        <v>21</v>
      </c>
      <c r="J714" s="17">
        <v>1702</v>
      </c>
      <c r="K714" s="18">
        <v>0.37669999999999998</v>
      </c>
      <c r="L714" s="26" t="b">
        <f t="shared" si="55"/>
        <v>0</v>
      </c>
      <c r="M714" s="26" t="str">
        <f t="shared" si="52"/>
        <v>put</v>
      </c>
      <c r="N714" s="28">
        <f t="shared" si="53"/>
        <v>46073</v>
      </c>
      <c r="O714" s="29">
        <f t="shared" si="54"/>
        <v>138</v>
      </c>
    </row>
    <row r="715" spans="1:15" x14ac:dyDescent="0.45">
      <c r="A715" s="11" t="s">
        <v>845</v>
      </c>
      <c r="B715" s="12">
        <v>45726.436111111114</v>
      </c>
      <c r="C715" s="13">
        <v>175</v>
      </c>
      <c r="D715" s="14">
        <v>0.81</v>
      </c>
      <c r="E715" s="14">
        <v>0.79</v>
      </c>
      <c r="F715" s="14">
        <v>0.83</v>
      </c>
      <c r="G715" s="14">
        <v>-0.08</v>
      </c>
      <c r="H715" s="18">
        <v>-8.9899999999999994E-2</v>
      </c>
      <c r="I715" s="14">
        <v>2</v>
      </c>
      <c r="J715" s="17">
        <v>2037</v>
      </c>
      <c r="K715" s="18">
        <v>0.36570000000000003</v>
      </c>
      <c r="L715" s="26" t="b">
        <f t="shared" si="55"/>
        <v>0</v>
      </c>
      <c r="M715" s="26" t="str">
        <f t="shared" si="52"/>
        <v>put</v>
      </c>
      <c r="N715" s="28">
        <f t="shared" si="53"/>
        <v>46073</v>
      </c>
      <c r="O715" s="29">
        <f t="shared" si="54"/>
        <v>138</v>
      </c>
    </row>
    <row r="716" spans="1:15" x14ac:dyDescent="0.45">
      <c r="A716" s="11" t="s">
        <v>846</v>
      </c>
      <c r="B716" s="12">
        <v>45726.595833333333</v>
      </c>
      <c r="C716" s="13">
        <v>180</v>
      </c>
      <c r="D716" s="14">
        <v>0.97</v>
      </c>
      <c r="E716" s="14">
        <v>0.94</v>
      </c>
      <c r="F716" s="14">
        <v>0.98</v>
      </c>
      <c r="G716" s="15">
        <v>0.03</v>
      </c>
      <c r="H716" s="16">
        <v>3.1899999999999998E-2</v>
      </c>
      <c r="I716" s="14">
        <v>22</v>
      </c>
      <c r="J716" s="17">
        <v>5553</v>
      </c>
      <c r="K716" s="18">
        <v>0.35470000000000002</v>
      </c>
      <c r="L716" s="26" t="b">
        <f t="shared" si="55"/>
        <v>0</v>
      </c>
      <c r="M716" s="26" t="str">
        <f t="shared" si="52"/>
        <v>put</v>
      </c>
      <c r="N716" s="28">
        <f t="shared" si="53"/>
        <v>46073</v>
      </c>
      <c r="O716" s="29">
        <f t="shared" si="54"/>
        <v>138</v>
      </c>
    </row>
    <row r="717" spans="1:15" x14ac:dyDescent="0.45">
      <c r="A717" s="11" t="s">
        <v>847</v>
      </c>
      <c r="B717" s="12">
        <v>45726.627083333333</v>
      </c>
      <c r="C717" s="13">
        <v>185</v>
      </c>
      <c r="D717" s="14">
        <v>1.1499999999999999</v>
      </c>
      <c r="E717" s="14">
        <v>1.1200000000000001</v>
      </c>
      <c r="F717" s="14">
        <v>1.1599999999999999</v>
      </c>
      <c r="G717" s="19">
        <v>-0.01</v>
      </c>
      <c r="H717" s="20">
        <v>-8.6E-3</v>
      </c>
      <c r="I717" s="14">
        <v>6</v>
      </c>
      <c r="J717" s="17">
        <v>2951</v>
      </c>
      <c r="K717" s="18">
        <v>0.34399999999999997</v>
      </c>
      <c r="L717" s="26" t="b">
        <f t="shared" si="55"/>
        <v>0</v>
      </c>
      <c r="M717" s="26" t="str">
        <f t="shared" si="52"/>
        <v>put</v>
      </c>
      <c r="N717" s="28">
        <f t="shared" si="53"/>
        <v>46073</v>
      </c>
      <c r="O717" s="29">
        <f t="shared" si="54"/>
        <v>138</v>
      </c>
    </row>
    <row r="718" spans="1:15" x14ac:dyDescent="0.45">
      <c r="A718" s="11" t="s">
        <v>848</v>
      </c>
      <c r="B718" s="12">
        <v>45698.650694444441</v>
      </c>
      <c r="C718" s="13">
        <v>190</v>
      </c>
      <c r="D718" s="14">
        <v>1.38</v>
      </c>
      <c r="E718" s="14">
        <v>1.34</v>
      </c>
      <c r="F718" s="14">
        <v>1.38</v>
      </c>
      <c r="G718" s="15">
        <v>0</v>
      </c>
      <c r="H718" s="16">
        <v>0</v>
      </c>
      <c r="I718" s="14">
        <v>2</v>
      </c>
      <c r="J718" s="17">
        <v>1107</v>
      </c>
      <c r="K718" s="18">
        <v>0.33410000000000001</v>
      </c>
      <c r="L718" s="26" t="b">
        <f t="shared" si="55"/>
        <v>0</v>
      </c>
      <c r="M718" s="26" t="str">
        <f t="shared" si="52"/>
        <v>put</v>
      </c>
      <c r="N718" s="28">
        <f t="shared" si="53"/>
        <v>46073</v>
      </c>
      <c r="O718" s="29">
        <f t="shared" si="54"/>
        <v>138</v>
      </c>
    </row>
    <row r="719" spans="1:15" x14ac:dyDescent="0.45">
      <c r="A719" s="11" t="s">
        <v>849</v>
      </c>
      <c r="B719" s="12">
        <v>45698.626388888886</v>
      </c>
      <c r="C719" s="13">
        <v>195</v>
      </c>
      <c r="D719" s="14">
        <v>1.63</v>
      </c>
      <c r="E719" s="14">
        <v>1.59</v>
      </c>
      <c r="F719" s="14">
        <v>1.64</v>
      </c>
      <c r="G719" s="15">
        <v>-0.01</v>
      </c>
      <c r="H719" s="16">
        <v>-6.1000000000000004E-3</v>
      </c>
      <c r="I719" s="14">
        <v>1</v>
      </c>
      <c r="J719" s="17">
        <v>1829</v>
      </c>
      <c r="K719" s="18">
        <v>0.32419999999999999</v>
      </c>
      <c r="L719" s="26" t="b">
        <f t="shared" si="55"/>
        <v>0</v>
      </c>
      <c r="M719" s="26" t="str">
        <f t="shared" si="52"/>
        <v>put</v>
      </c>
      <c r="N719" s="28">
        <f t="shared" si="53"/>
        <v>46073</v>
      </c>
      <c r="O719" s="29">
        <f t="shared" si="54"/>
        <v>138</v>
      </c>
    </row>
    <row r="720" spans="1:15" x14ac:dyDescent="0.45">
      <c r="A720" s="11" t="s">
        <v>850</v>
      </c>
      <c r="B720" s="12">
        <v>45726.620138888888</v>
      </c>
      <c r="C720" s="13">
        <v>200</v>
      </c>
      <c r="D720" s="14">
        <v>1.88</v>
      </c>
      <c r="E720" s="14">
        <v>1.9</v>
      </c>
      <c r="F720" s="14">
        <v>1.94</v>
      </c>
      <c r="G720" s="15">
        <v>-0.1</v>
      </c>
      <c r="H720" s="16">
        <v>-5.0500000000000003E-2</v>
      </c>
      <c r="I720" s="14">
        <v>70</v>
      </c>
      <c r="J720" s="17">
        <v>3704</v>
      </c>
      <c r="K720" s="18">
        <v>0.31419999999999998</v>
      </c>
      <c r="L720" s="26" t="b">
        <f t="shared" si="55"/>
        <v>0</v>
      </c>
      <c r="M720" s="26" t="str">
        <f t="shared" si="52"/>
        <v>put</v>
      </c>
      <c r="N720" s="28">
        <f t="shared" si="53"/>
        <v>46073</v>
      </c>
      <c r="O720" s="29">
        <f t="shared" si="54"/>
        <v>138</v>
      </c>
    </row>
    <row r="721" spans="1:15" x14ac:dyDescent="0.45">
      <c r="A721" s="11" t="s">
        <v>851</v>
      </c>
      <c r="B721" s="12">
        <v>45726.474999999999</v>
      </c>
      <c r="C721" s="13">
        <v>205</v>
      </c>
      <c r="D721" s="14">
        <v>2.19</v>
      </c>
      <c r="E721" s="14">
        <v>2.27</v>
      </c>
      <c r="F721" s="14">
        <v>2.31</v>
      </c>
      <c r="G721" s="15">
        <v>-0.14000000000000001</v>
      </c>
      <c r="H721" s="16">
        <v>-6.0100000000000001E-2</v>
      </c>
      <c r="I721" s="14">
        <v>8</v>
      </c>
      <c r="J721" s="17">
        <v>4477</v>
      </c>
      <c r="K721" s="18">
        <v>0.3049</v>
      </c>
      <c r="L721" s="26" t="b">
        <f t="shared" si="55"/>
        <v>0</v>
      </c>
      <c r="M721" s="26" t="str">
        <f t="shared" si="52"/>
        <v>put</v>
      </c>
      <c r="N721" s="28">
        <f t="shared" si="53"/>
        <v>46073</v>
      </c>
      <c r="O721" s="29">
        <f t="shared" si="54"/>
        <v>138</v>
      </c>
    </row>
    <row r="722" spans="1:15" x14ac:dyDescent="0.45">
      <c r="A722" s="11" t="s">
        <v>852</v>
      </c>
      <c r="B722" s="12">
        <v>45726.488888888889</v>
      </c>
      <c r="C722" s="13">
        <v>210</v>
      </c>
      <c r="D722" s="14">
        <v>2.67</v>
      </c>
      <c r="E722" s="14">
        <v>2.71</v>
      </c>
      <c r="F722" s="14">
        <v>2.76</v>
      </c>
      <c r="G722" s="15">
        <v>-0.09</v>
      </c>
      <c r="H722" s="16">
        <v>-3.2599999999999997E-2</v>
      </c>
      <c r="I722" s="14">
        <v>11</v>
      </c>
      <c r="J722" s="17">
        <v>7015</v>
      </c>
      <c r="K722" s="18">
        <v>0.29620000000000002</v>
      </c>
      <c r="L722" s="26" t="b">
        <f t="shared" si="55"/>
        <v>0</v>
      </c>
      <c r="M722" s="26" t="str">
        <f t="shared" si="52"/>
        <v>put</v>
      </c>
      <c r="N722" s="28">
        <f t="shared" si="53"/>
        <v>46073</v>
      </c>
      <c r="O722" s="29">
        <f t="shared" si="54"/>
        <v>138</v>
      </c>
    </row>
    <row r="723" spans="1:15" x14ac:dyDescent="0.45">
      <c r="A723" s="11" t="s">
        <v>853</v>
      </c>
      <c r="B723" s="12">
        <v>45726.665972222225</v>
      </c>
      <c r="C723" s="13">
        <v>215</v>
      </c>
      <c r="D723" s="14">
        <v>3.28</v>
      </c>
      <c r="E723" s="14">
        <v>3.2</v>
      </c>
      <c r="F723" s="14">
        <v>3.3</v>
      </c>
      <c r="G723" s="15">
        <v>-0.09</v>
      </c>
      <c r="H723" s="16">
        <v>-2.6700000000000002E-2</v>
      </c>
      <c r="I723" s="14">
        <v>3</v>
      </c>
      <c r="J723" s="17">
        <v>1946</v>
      </c>
      <c r="K723" s="18">
        <v>0.2878</v>
      </c>
      <c r="L723" s="26" t="b">
        <f t="shared" si="55"/>
        <v>0</v>
      </c>
      <c r="M723" s="26" t="str">
        <f t="shared" si="52"/>
        <v>put</v>
      </c>
      <c r="N723" s="28">
        <f t="shared" si="53"/>
        <v>46073</v>
      </c>
      <c r="O723" s="29">
        <f t="shared" si="54"/>
        <v>138</v>
      </c>
    </row>
    <row r="724" spans="1:15" x14ac:dyDescent="0.45">
      <c r="A724" s="11" t="s">
        <v>854</v>
      </c>
      <c r="B724" s="12">
        <v>45726.51458333333</v>
      </c>
      <c r="C724" s="13">
        <v>220</v>
      </c>
      <c r="D724" s="14">
        <v>3.95</v>
      </c>
      <c r="E724" s="14">
        <v>3.85</v>
      </c>
      <c r="F724" s="14">
        <v>3.95</v>
      </c>
      <c r="G724" s="15">
        <v>-0.05</v>
      </c>
      <c r="H724" s="16">
        <v>-1.2500000000000001E-2</v>
      </c>
      <c r="I724" s="14">
        <v>113</v>
      </c>
      <c r="J724" s="17">
        <v>21762</v>
      </c>
      <c r="K724" s="18">
        <v>0.27989999999999998</v>
      </c>
      <c r="L724" s="26" t="b">
        <f t="shared" si="55"/>
        <v>0</v>
      </c>
      <c r="M724" s="26" t="str">
        <f t="shared" si="52"/>
        <v>put</v>
      </c>
      <c r="N724" s="28">
        <f t="shared" si="53"/>
        <v>46073</v>
      </c>
      <c r="O724" s="29">
        <f t="shared" si="54"/>
        <v>138</v>
      </c>
    </row>
    <row r="725" spans="1:15" x14ac:dyDescent="0.45">
      <c r="A725" s="11" t="s">
        <v>855</v>
      </c>
      <c r="B725" s="12">
        <v>45726.570833333331</v>
      </c>
      <c r="C725" s="13">
        <v>225</v>
      </c>
      <c r="D725" s="14">
        <v>4.5999999999999996</v>
      </c>
      <c r="E725" s="14">
        <v>4.5999999999999996</v>
      </c>
      <c r="F725" s="14">
        <v>4.7</v>
      </c>
      <c r="G725" s="15">
        <v>-0.1</v>
      </c>
      <c r="H725" s="16">
        <v>-2.1299999999999999E-2</v>
      </c>
      <c r="I725" s="14">
        <v>96</v>
      </c>
      <c r="J725" s="17">
        <v>1947</v>
      </c>
      <c r="K725" s="18">
        <v>0.27160000000000001</v>
      </c>
      <c r="L725" s="26" t="b">
        <f t="shared" si="55"/>
        <v>0</v>
      </c>
      <c r="M725" s="26" t="str">
        <f t="shared" si="52"/>
        <v>put</v>
      </c>
      <c r="N725" s="28">
        <f t="shared" si="53"/>
        <v>46073</v>
      </c>
      <c r="O725" s="29">
        <f t="shared" si="54"/>
        <v>138</v>
      </c>
    </row>
    <row r="726" spans="1:15" x14ac:dyDescent="0.45">
      <c r="A726" s="11" t="s">
        <v>856</v>
      </c>
      <c r="B726" s="12">
        <v>45726.643750000003</v>
      </c>
      <c r="C726" s="13">
        <v>230</v>
      </c>
      <c r="D726" s="14">
        <v>5.55</v>
      </c>
      <c r="E726" s="14">
        <v>5.45</v>
      </c>
      <c r="F726" s="14">
        <v>5.6</v>
      </c>
      <c r="G726" s="15">
        <v>-0.2</v>
      </c>
      <c r="H726" s="16">
        <v>-3.4799999999999998E-2</v>
      </c>
      <c r="I726" s="14">
        <v>42</v>
      </c>
      <c r="J726" s="17">
        <v>6444</v>
      </c>
      <c r="K726" s="18">
        <v>0.26390000000000002</v>
      </c>
      <c r="L726" s="26" t="b">
        <f t="shared" si="55"/>
        <v>0</v>
      </c>
      <c r="M726" s="26" t="str">
        <f t="shared" si="52"/>
        <v>put</v>
      </c>
      <c r="N726" s="28">
        <f t="shared" si="53"/>
        <v>46073</v>
      </c>
      <c r="O726" s="29">
        <f t="shared" si="54"/>
        <v>138</v>
      </c>
    </row>
    <row r="727" spans="1:15" x14ac:dyDescent="0.45">
      <c r="A727" s="11" t="s">
        <v>857</v>
      </c>
      <c r="B727" s="12">
        <v>45726.624305555553</v>
      </c>
      <c r="C727" s="13">
        <v>235</v>
      </c>
      <c r="D727" s="14">
        <v>6.47</v>
      </c>
      <c r="E727" s="14">
        <v>6.55</v>
      </c>
      <c r="F727" s="14">
        <v>6.65</v>
      </c>
      <c r="G727" s="15">
        <v>-0.28000000000000003</v>
      </c>
      <c r="H727" s="16">
        <v>-4.1500000000000002E-2</v>
      </c>
      <c r="I727" s="14">
        <v>176</v>
      </c>
      <c r="J727" s="17">
        <v>1065</v>
      </c>
      <c r="K727" s="18">
        <v>0.25619999999999998</v>
      </c>
      <c r="L727" s="26" t="b">
        <f t="shared" si="55"/>
        <v>0</v>
      </c>
      <c r="M727" s="26" t="str">
        <f t="shared" si="52"/>
        <v>put</v>
      </c>
      <c r="N727" s="28">
        <f t="shared" si="53"/>
        <v>46073</v>
      </c>
      <c r="O727" s="29">
        <f t="shared" si="54"/>
        <v>138</v>
      </c>
    </row>
    <row r="728" spans="1:15" x14ac:dyDescent="0.45">
      <c r="A728" s="11" t="s">
        <v>858</v>
      </c>
      <c r="B728" s="12">
        <v>45726.556944444441</v>
      </c>
      <c r="C728" s="13">
        <v>240</v>
      </c>
      <c r="D728" s="14">
        <v>7.65</v>
      </c>
      <c r="E728" s="14">
        <v>7.75</v>
      </c>
      <c r="F728" s="14">
        <v>7.9</v>
      </c>
      <c r="G728" s="15">
        <v>-0.4</v>
      </c>
      <c r="H728" s="16">
        <v>-4.9700000000000001E-2</v>
      </c>
      <c r="I728" s="14">
        <v>15</v>
      </c>
      <c r="J728" s="17">
        <v>1514</v>
      </c>
      <c r="K728" s="18">
        <v>0.24909999999999999</v>
      </c>
      <c r="L728" s="26" t="b">
        <f t="shared" si="55"/>
        <v>0</v>
      </c>
      <c r="M728" s="26" t="str">
        <f t="shared" si="52"/>
        <v>put</v>
      </c>
      <c r="N728" s="28">
        <f t="shared" si="53"/>
        <v>46073</v>
      </c>
      <c r="O728" s="29">
        <f t="shared" si="54"/>
        <v>138</v>
      </c>
    </row>
    <row r="729" spans="1:15" x14ac:dyDescent="0.45">
      <c r="A729" s="11" t="s">
        <v>859</v>
      </c>
      <c r="B729" s="12">
        <v>45726.48541666667</v>
      </c>
      <c r="C729" s="13">
        <v>245</v>
      </c>
      <c r="D729" s="14">
        <v>9.1999999999999993</v>
      </c>
      <c r="E729" s="14">
        <v>9.1999999999999993</v>
      </c>
      <c r="F729" s="14">
        <v>9.35</v>
      </c>
      <c r="G729" s="15">
        <v>-0.35</v>
      </c>
      <c r="H729" s="16">
        <v>-3.6600000000000001E-2</v>
      </c>
      <c r="I729" s="14">
        <v>32</v>
      </c>
      <c r="J729" s="17">
        <v>1946</v>
      </c>
      <c r="K729" s="18">
        <v>0.24210000000000001</v>
      </c>
      <c r="L729" s="26" t="b">
        <f t="shared" si="55"/>
        <v>0</v>
      </c>
      <c r="M729" s="26" t="str">
        <f t="shared" si="52"/>
        <v>put</v>
      </c>
      <c r="N729" s="28">
        <f t="shared" si="53"/>
        <v>46073</v>
      </c>
      <c r="O729" s="29">
        <f t="shared" si="54"/>
        <v>138</v>
      </c>
    </row>
    <row r="730" spans="1:15" x14ac:dyDescent="0.45">
      <c r="A730" s="11" t="s">
        <v>860</v>
      </c>
      <c r="B730" s="12">
        <v>45726.572916666664</v>
      </c>
      <c r="C730" s="13">
        <v>250</v>
      </c>
      <c r="D730" s="14">
        <v>11.07</v>
      </c>
      <c r="E730" s="14">
        <v>10.9</v>
      </c>
      <c r="F730" s="14">
        <v>11.05</v>
      </c>
      <c r="G730" s="15">
        <v>-0.35</v>
      </c>
      <c r="H730" s="16">
        <v>-3.0599999999999999E-2</v>
      </c>
      <c r="I730" s="14">
        <v>56</v>
      </c>
      <c r="J730" s="14">
        <v>278</v>
      </c>
      <c r="K730" s="18">
        <v>0.2356</v>
      </c>
      <c r="L730" s="26" t="b">
        <f t="shared" si="55"/>
        <v>0</v>
      </c>
      <c r="M730" s="26" t="str">
        <f t="shared" si="52"/>
        <v>put</v>
      </c>
      <c r="N730" s="28">
        <f t="shared" si="53"/>
        <v>46073</v>
      </c>
      <c r="O730" s="29">
        <f t="shared" si="54"/>
        <v>138</v>
      </c>
    </row>
    <row r="731" spans="1:15" x14ac:dyDescent="0.45">
      <c r="A731" s="11" t="s">
        <v>861</v>
      </c>
      <c r="B731" s="12">
        <v>45726.559027777781</v>
      </c>
      <c r="C731" s="13">
        <v>255</v>
      </c>
      <c r="D731" s="14">
        <v>13</v>
      </c>
      <c r="E731" s="14">
        <v>12.8</v>
      </c>
      <c r="F731" s="14">
        <v>12.95</v>
      </c>
      <c r="G731" s="15">
        <v>0</v>
      </c>
      <c r="H731" s="16">
        <v>0</v>
      </c>
      <c r="I731" s="14">
        <v>121</v>
      </c>
      <c r="J731" s="14">
        <v>970</v>
      </c>
      <c r="K731" s="18">
        <v>0.22850000000000001</v>
      </c>
      <c r="L731" s="26" t="b">
        <f t="shared" si="55"/>
        <v>0</v>
      </c>
      <c r="M731" s="26" t="str">
        <f t="shared" si="52"/>
        <v>put</v>
      </c>
      <c r="N731" s="28">
        <f t="shared" si="53"/>
        <v>46073</v>
      </c>
      <c r="O731" s="29">
        <f t="shared" si="54"/>
        <v>138</v>
      </c>
    </row>
    <row r="732" spans="1:15" x14ac:dyDescent="0.45">
      <c r="A732" s="1" t="s">
        <v>862</v>
      </c>
      <c r="B732" s="2">
        <v>45726.65347222222</v>
      </c>
      <c r="C732" s="3">
        <v>260</v>
      </c>
      <c r="D732" s="4">
        <v>15.2</v>
      </c>
      <c r="E732" s="4">
        <v>15</v>
      </c>
      <c r="F732" s="4">
        <v>15.15</v>
      </c>
      <c r="G732" s="8">
        <v>-0.38</v>
      </c>
      <c r="H732" s="9">
        <v>-2.4400000000000002E-2</v>
      </c>
      <c r="I732" s="4">
        <v>32</v>
      </c>
      <c r="J732" s="4">
        <v>345</v>
      </c>
      <c r="K732" s="5">
        <v>0.222</v>
      </c>
      <c r="L732" s="26" t="b">
        <f t="shared" si="55"/>
        <v>1</v>
      </c>
      <c r="M732" s="26" t="str">
        <f t="shared" si="52"/>
        <v>put</v>
      </c>
      <c r="N732" s="28">
        <f t="shared" si="53"/>
        <v>46073</v>
      </c>
      <c r="O732" s="29">
        <f t="shared" si="54"/>
        <v>138</v>
      </c>
    </row>
    <row r="733" spans="1:15" x14ac:dyDescent="0.45">
      <c r="A733" s="1" t="s">
        <v>863</v>
      </c>
      <c r="B733" s="2">
        <v>45726.638888888891</v>
      </c>
      <c r="C733" s="3">
        <v>265</v>
      </c>
      <c r="D733" s="4">
        <v>17.649999999999999</v>
      </c>
      <c r="E733" s="4">
        <v>17.5</v>
      </c>
      <c r="F733" s="4">
        <v>17.649999999999999</v>
      </c>
      <c r="G733" s="8">
        <v>-0.55000000000000004</v>
      </c>
      <c r="H733" s="9">
        <v>-3.0200000000000001E-2</v>
      </c>
      <c r="I733" s="4">
        <v>17</v>
      </c>
      <c r="J733" s="4">
        <v>93</v>
      </c>
      <c r="K733" s="5">
        <v>0.21590000000000001</v>
      </c>
      <c r="L733" s="26" t="b">
        <f t="shared" si="55"/>
        <v>1</v>
      </c>
      <c r="M733" s="26" t="str">
        <f t="shared" si="52"/>
        <v>put</v>
      </c>
      <c r="N733" s="28">
        <f t="shared" si="53"/>
        <v>46073</v>
      </c>
      <c r="O733" s="29">
        <f t="shared" si="54"/>
        <v>138</v>
      </c>
    </row>
    <row r="734" spans="1:15" x14ac:dyDescent="0.45">
      <c r="A734" s="1" t="s">
        <v>864</v>
      </c>
      <c r="B734" s="2">
        <v>45726.57708333333</v>
      </c>
      <c r="C734" s="3">
        <v>270</v>
      </c>
      <c r="D734" s="4">
        <v>20.8</v>
      </c>
      <c r="E734" s="4">
        <v>20.25</v>
      </c>
      <c r="F734" s="4">
        <v>20.45</v>
      </c>
      <c r="G734" s="8">
        <v>0.13</v>
      </c>
      <c r="H734" s="9">
        <v>6.3E-3</v>
      </c>
      <c r="I734" s="4">
        <v>25</v>
      </c>
      <c r="J734" s="4">
        <v>530</v>
      </c>
      <c r="K734" s="5">
        <v>0.21</v>
      </c>
      <c r="L734" s="26" t="b">
        <f t="shared" si="55"/>
        <v>1</v>
      </c>
      <c r="M734" s="26" t="str">
        <f t="shared" si="52"/>
        <v>put</v>
      </c>
      <c r="N734" s="28">
        <f t="shared" si="53"/>
        <v>46073</v>
      </c>
      <c r="O734" s="29">
        <f t="shared" si="54"/>
        <v>138</v>
      </c>
    </row>
    <row r="735" spans="1:15" x14ac:dyDescent="0.45">
      <c r="A735" s="1" t="s">
        <v>865</v>
      </c>
      <c r="B735" s="2">
        <v>45726.631249999999</v>
      </c>
      <c r="C735" s="3">
        <v>275</v>
      </c>
      <c r="D735" s="4">
        <v>23.44</v>
      </c>
      <c r="E735" s="4">
        <v>23.3</v>
      </c>
      <c r="F735" s="4">
        <v>23.95</v>
      </c>
      <c r="G735" s="8">
        <v>-0.32</v>
      </c>
      <c r="H735" s="9">
        <v>-1.35E-2</v>
      </c>
      <c r="I735" s="4">
        <v>7</v>
      </c>
      <c r="J735" s="4">
        <v>254</v>
      </c>
      <c r="K735" s="5">
        <v>0.2112</v>
      </c>
      <c r="L735" s="26" t="b">
        <f t="shared" si="55"/>
        <v>1</v>
      </c>
      <c r="M735" s="26" t="str">
        <f t="shared" si="52"/>
        <v>put</v>
      </c>
      <c r="N735" s="28">
        <f t="shared" si="53"/>
        <v>46073</v>
      </c>
      <c r="O735" s="29">
        <f t="shared" si="54"/>
        <v>138</v>
      </c>
    </row>
    <row r="736" spans="1:15" x14ac:dyDescent="0.45">
      <c r="A736" s="1" t="s">
        <v>866</v>
      </c>
      <c r="B736" s="2">
        <v>45698.620138888888</v>
      </c>
      <c r="C736" s="3">
        <v>280</v>
      </c>
      <c r="D736" s="4">
        <v>27.12</v>
      </c>
      <c r="E736" s="4">
        <v>26.55</v>
      </c>
      <c r="F736" s="4">
        <v>27.05</v>
      </c>
      <c r="G736" s="8">
        <v>0</v>
      </c>
      <c r="H736" s="9">
        <v>0</v>
      </c>
      <c r="I736" s="4">
        <v>8</v>
      </c>
      <c r="J736" s="4">
        <v>34</v>
      </c>
      <c r="K736" s="5">
        <v>0.2006</v>
      </c>
      <c r="L736" s="26" t="b">
        <f t="shared" si="55"/>
        <v>1</v>
      </c>
      <c r="M736" s="26" t="str">
        <f t="shared" si="52"/>
        <v>put</v>
      </c>
      <c r="N736" s="28">
        <f t="shared" si="53"/>
        <v>46073</v>
      </c>
      <c r="O736" s="29">
        <f t="shared" si="54"/>
        <v>138</v>
      </c>
    </row>
    <row r="737" spans="1:15" x14ac:dyDescent="0.45">
      <c r="A737" s="1" t="s">
        <v>867</v>
      </c>
      <c r="B737" s="2">
        <v>45698.619444444441</v>
      </c>
      <c r="C737" s="3">
        <v>285</v>
      </c>
      <c r="D737" s="4">
        <v>30.73</v>
      </c>
      <c r="E737" s="4">
        <v>30.15</v>
      </c>
      <c r="F737" s="4">
        <v>30.9</v>
      </c>
      <c r="G737" s="8">
        <v>0</v>
      </c>
      <c r="H737" s="9">
        <v>0</v>
      </c>
      <c r="I737" s="4">
        <v>18</v>
      </c>
      <c r="J737" s="4">
        <v>25</v>
      </c>
      <c r="K737" s="5">
        <v>0.19900000000000001</v>
      </c>
      <c r="L737" s="26" t="b">
        <f t="shared" si="55"/>
        <v>1</v>
      </c>
      <c r="M737" s="26" t="str">
        <f t="shared" si="52"/>
        <v>put</v>
      </c>
      <c r="N737" s="28">
        <f t="shared" si="53"/>
        <v>46073</v>
      </c>
      <c r="O737" s="29">
        <f t="shared" si="54"/>
        <v>138</v>
      </c>
    </row>
    <row r="738" spans="1:15" x14ac:dyDescent="0.45">
      <c r="A738" s="1" t="s">
        <v>868</v>
      </c>
      <c r="B738" s="2">
        <v>45726.464583333334</v>
      </c>
      <c r="C738" s="3">
        <v>290</v>
      </c>
      <c r="D738" s="4">
        <v>34.340000000000003</v>
      </c>
      <c r="E738" s="4">
        <v>34.1</v>
      </c>
      <c r="F738" s="4">
        <v>34.799999999999997</v>
      </c>
      <c r="G738" s="4">
        <v>-0.37</v>
      </c>
      <c r="H738" s="5">
        <v>-1.0699999999999999E-2</v>
      </c>
      <c r="I738" s="4">
        <v>2</v>
      </c>
      <c r="J738" s="4">
        <v>37</v>
      </c>
      <c r="K738" s="5">
        <v>0.19339999999999999</v>
      </c>
      <c r="L738" s="26" t="b">
        <f t="shared" si="55"/>
        <v>1</v>
      </c>
      <c r="M738" s="26" t="str">
        <f t="shared" si="52"/>
        <v>put</v>
      </c>
      <c r="N738" s="28">
        <f t="shared" si="53"/>
        <v>46073</v>
      </c>
      <c r="O738" s="29">
        <f t="shared" si="54"/>
        <v>138</v>
      </c>
    </row>
    <row r="739" spans="1:15" x14ac:dyDescent="0.45">
      <c r="A739" s="1" t="s">
        <v>869</v>
      </c>
      <c r="B739" s="2">
        <v>45698.651388888888</v>
      </c>
      <c r="C739" s="3">
        <v>295</v>
      </c>
      <c r="D739" s="4">
        <v>38.94</v>
      </c>
      <c r="E739" s="4">
        <v>38.35</v>
      </c>
      <c r="F739" s="4">
        <v>38.950000000000003</v>
      </c>
      <c r="G739" s="8">
        <v>0</v>
      </c>
      <c r="H739" s="9">
        <v>0</v>
      </c>
      <c r="I739" s="4">
        <v>2</v>
      </c>
      <c r="J739" s="4">
        <v>13</v>
      </c>
      <c r="K739" s="5">
        <v>0.18840000000000001</v>
      </c>
      <c r="L739" s="26" t="b">
        <f t="shared" si="55"/>
        <v>1</v>
      </c>
      <c r="M739" s="26" t="str">
        <f t="shared" si="52"/>
        <v>put</v>
      </c>
      <c r="N739" s="28">
        <f t="shared" si="53"/>
        <v>46073</v>
      </c>
      <c r="O739" s="29">
        <f t="shared" si="54"/>
        <v>138</v>
      </c>
    </row>
    <row r="740" spans="1:15" x14ac:dyDescent="0.45">
      <c r="A740" s="21" t="s">
        <v>870</v>
      </c>
      <c r="B740" s="30">
        <v>45726.590277777781</v>
      </c>
      <c r="C740" s="23">
        <v>300</v>
      </c>
      <c r="D740" s="22">
        <v>43.65</v>
      </c>
      <c r="E740" s="22">
        <v>42.7</v>
      </c>
      <c r="F740" s="22">
        <v>43.2</v>
      </c>
      <c r="G740" s="22">
        <v>0.39</v>
      </c>
      <c r="H740" s="24">
        <v>8.9999999999999993E-3</v>
      </c>
      <c r="I740" s="22">
        <v>10</v>
      </c>
      <c r="J740" s="22">
        <v>66</v>
      </c>
      <c r="K740" s="24">
        <v>0.17949999999999999</v>
      </c>
      <c r="L740" s="26" t="b">
        <f t="shared" si="55"/>
        <v>1</v>
      </c>
      <c r="M740" s="26" t="str">
        <f t="shared" si="52"/>
        <v>put</v>
      </c>
      <c r="N740" s="28">
        <f t="shared" si="53"/>
        <v>46073</v>
      </c>
      <c r="O740" s="29">
        <f t="shared" si="54"/>
        <v>138</v>
      </c>
    </row>
    <row r="741" spans="1:15" x14ac:dyDescent="0.45">
      <c r="A741" s="1" t="s">
        <v>871</v>
      </c>
      <c r="B741" s="4" t="s">
        <v>872</v>
      </c>
      <c r="C741" s="3">
        <v>310</v>
      </c>
      <c r="D741" s="4">
        <v>53.7</v>
      </c>
      <c r="E741" s="4">
        <v>51.35</v>
      </c>
      <c r="F741" s="4">
        <v>52.55</v>
      </c>
      <c r="G741" s="4">
        <v>0</v>
      </c>
      <c r="H741" s="5">
        <v>0</v>
      </c>
      <c r="I741" s="4">
        <v>2</v>
      </c>
      <c r="J741" s="4">
        <v>1</v>
      </c>
      <c r="K741" s="5">
        <v>0.1764</v>
      </c>
      <c r="L741" s="26" t="b">
        <f t="shared" si="55"/>
        <v>1</v>
      </c>
      <c r="M741" s="26" t="str">
        <f t="shared" si="52"/>
        <v>put</v>
      </c>
      <c r="N741" s="28">
        <f t="shared" si="53"/>
        <v>46073</v>
      </c>
      <c r="O741" s="29">
        <f t="shared" si="54"/>
        <v>138</v>
      </c>
    </row>
    <row r="742" spans="1:15" x14ac:dyDescent="0.45">
      <c r="A742" s="1" t="s">
        <v>873</v>
      </c>
      <c r="B742" s="2">
        <v>45878.395833333336</v>
      </c>
      <c r="C742" s="3">
        <v>90</v>
      </c>
      <c r="D742" s="4">
        <v>151.4</v>
      </c>
      <c r="E742" s="4">
        <v>168.2</v>
      </c>
      <c r="F742" s="4">
        <v>170.75</v>
      </c>
      <c r="G742" s="4">
        <v>0</v>
      </c>
      <c r="H742" s="5">
        <v>0</v>
      </c>
      <c r="I742" s="4">
        <v>3</v>
      </c>
      <c r="J742" s="4">
        <v>134</v>
      </c>
      <c r="K742" s="5">
        <v>0.89180000000000004</v>
      </c>
      <c r="L742" s="26" t="b">
        <f t="shared" si="55"/>
        <v>1</v>
      </c>
      <c r="M742" s="26" t="str">
        <f t="shared" si="52"/>
        <v>call</v>
      </c>
      <c r="N742" s="28">
        <f t="shared" si="53"/>
        <v>46101</v>
      </c>
      <c r="O742" s="29">
        <f t="shared" si="54"/>
        <v>166</v>
      </c>
    </row>
    <row r="743" spans="1:15" x14ac:dyDescent="0.45">
      <c r="A743" s="1" t="s">
        <v>874</v>
      </c>
      <c r="B743" s="2">
        <v>45968.479166666664</v>
      </c>
      <c r="C743" s="3">
        <v>95</v>
      </c>
      <c r="D743" s="4">
        <v>118.29</v>
      </c>
      <c r="E743" s="4">
        <v>160.80000000000001</v>
      </c>
      <c r="F743" s="4">
        <v>163.9</v>
      </c>
      <c r="G743" s="4">
        <v>0</v>
      </c>
      <c r="H743" s="5">
        <v>0</v>
      </c>
      <c r="I743" s="4">
        <v>7</v>
      </c>
      <c r="J743" s="4">
        <v>8</v>
      </c>
      <c r="K743" s="5">
        <v>0.77590000000000003</v>
      </c>
      <c r="L743" s="26" t="b">
        <f t="shared" si="55"/>
        <v>1</v>
      </c>
      <c r="M743" s="26" t="str">
        <f t="shared" si="52"/>
        <v>call</v>
      </c>
      <c r="N743" s="28">
        <f t="shared" si="53"/>
        <v>46101</v>
      </c>
      <c r="O743" s="29">
        <f t="shared" si="54"/>
        <v>166</v>
      </c>
    </row>
    <row r="744" spans="1:15" x14ac:dyDescent="0.45">
      <c r="A744" s="1" t="s">
        <v>875</v>
      </c>
      <c r="B744" s="4" t="s">
        <v>876</v>
      </c>
      <c r="C744" s="3">
        <v>100</v>
      </c>
      <c r="D744" s="4">
        <v>157.86000000000001</v>
      </c>
      <c r="E744" s="4">
        <v>158.85</v>
      </c>
      <c r="F744" s="4">
        <v>161</v>
      </c>
      <c r="G744" s="4">
        <v>0</v>
      </c>
      <c r="H744" s="5">
        <v>0</v>
      </c>
      <c r="I744" s="4">
        <v>5</v>
      </c>
      <c r="J744" s="4">
        <v>48</v>
      </c>
      <c r="K744" s="5">
        <v>0.85419999999999996</v>
      </c>
      <c r="L744" s="26" t="b">
        <f t="shared" si="55"/>
        <v>1</v>
      </c>
      <c r="M744" s="26" t="str">
        <f t="shared" si="52"/>
        <v>call</v>
      </c>
      <c r="N744" s="28">
        <f t="shared" si="53"/>
        <v>46101</v>
      </c>
      <c r="O744" s="29">
        <f t="shared" si="54"/>
        <v>166</v>
      </c>
    </row>
    <row r="745" spans="1:15" x14ac:dyDescent="0.45">
      <c r="A745" s="1" t="s">
        <v>877</v>
      </c>
      <c r="B745" s="2">
        <v>45969.502083333333</v>
      </c>
      <c r="C745" s="3">
        <v>105</v>
      </c>
      <c r="D745" s="4">
        <v>126</v>
      </c>
      <c r="E745" s="4">
        <v>151.05000000000001</v>
      </c>
      <c r="F745" s="4">
        <v>153.80000000000001</v>
      </c>
      <c r="G745" s="6">
        <v>0</v>
      </c>
      <c r="H745" s="7">
        <v>0</v>
      </c>
      <c r="I745" s="4">
        <v>2</v>
      </c>
      <c r="J745" s="4">
        <v>32</v>
      </c>
      <c r="K745" s="5">
        <v>0.68989999999999996</v>
      </c>
      <c r="L745" s="26" t="b">
        <f t="shared" si="55"/>
        <v>1</v>
      </c>
      <c r="M745" s="26" t="str">
        <f t="shared" si="52"/>
        <v>call</v>
      </c>
      <c r="N745" s="28">
        <f t="shared" si="53"/>
        <v>46101</v>
      </c>
      <c r="O745" s="29">
        <f t="shared" si="54"/>
        <v>166</v>
      </c>
    </row>
    <row r="746" spans="1:15" x14ac:dyDescent="0.45">
      <c r="A746" s="1" t="s">
        <v>878</v>
      </c>
      <c r="B746" s="4" t="s">
        <v>876</v>
      </c>
      <c r="C746" s="3">
        <v>110</v>
      </c>
      <c r="D746" s="4">
        <v>148.13999999999999</v>
      </c>
      <c r="E746" s="4">
        <v>149</v>
      </c>
      <c r="F746" s="4">
        <v>150.75</v>
      </c>
      <c r="G746" s="4">
        <v>0</v>
      </c>
      <c r="H746" s="5">
        <v>0</v>
      </c>
      <c r="I746" s="4">
        <v>5</v>
      </c>
      <c r="J746" s="4">
        <v>20</v>
      </c>
      <c r="K746" s="5">
        <v>0.77249999999999996</v>
      </c>
      <c r="L746" s="26" t="b">
        <f t="shared" si="55"/>
        <v>1</v>
      </c>
      <c r="M746" s="26" t="str">
        <f t="shared" si="52"/>
        <v>call</v>
      </c>
      <c r="N746" s="28">
        <f t="shared" si="53"/>
        <v>46101</v>
      </c>
      <c r="O746" s="29">
        <f t="shared" si="54"/>
        <v>166</v>
      </c>
    </row>
    <row r="747" spans="1:15" x14ac:dyDescent="0.45">
      <c r="A747" s="1" t="s">
        <v>879</v>
      </c>
      <c r="B747" s="2">
        <v>45969.561805555553</v>
      </c>
      <c r="C747" s="3">
        <v>115</v>
      </c>
      <c r="D747" s="4">
        <v>116.06</v>
      </c>
      <c r="E747" s="4">
        <v>141.30000000000001</v>
      </c>
      <c r="F747" s="4">
        <v>144.05000000000001</v>
      </c>
      <c r="G747" s="4">
        <v>0</v>
      </c>
      <c r="H747" s="5">
        <v>0</v>
      </c>
      <c r="I747" s="4">
        <v>1</v>
      </c>
      <c r="J747" s="4">
        <v>189</v>
      </c>
      <c r="K747" s="5">
        <v>0.65720000000000001</v>
      </c>
      <c r="L747" s="26" t="b">
        <f t="shared" si="55"/>
        <v>1</v>
      </c>
      <c r="M747" s="26" t="str">
        <f t="shared" si="52"/>
        <v>call</v>
      </c>
      <c r="N747" s="28">
        <f t="shared" si="53"/>
        <v>46101</v>
      </c>
      <c r="O747" s="29">
        <f t="shared" si="54"/>
        <v>166</v>
      </c>
    </row>
    <row r="748" spans="1:15" x14ac:dyDescent="0.45">
      <c r="A748" s="1" t="s">
        <v>880</v>
      </c>
      <c r="B748" s="4" t="s">
        <v>881</v>
      </c>
      <c r="C748" s="3">
        <v>120</v>
      </c>
      <c r="D748" s="4">
        <v>135.06</v>
      </c>
      <c r="E748" s="4">
        <v>138.94999999999999</v>
      </c>
      <c r="F748" s="4">
        <v>141.44999999999999</v>
      </c>
      <c r="G748" s="6">
        <v>0</v>
      </c>
      <c r="H748" s="7">
        <v>0</v>
      </c>
      <c r="I748" s="4">
        <v>2</v>
      </c>
      <c r="J748" s="4">
        <v>101</v>
      </c>
      <c r="K748" s="5">
        <v>0.7268</v>
      </c>
      <c r="L748" s="26" t="b">
        <f t="shared" si="55"/>
        <v>1</v>
      </c>
      <c r="M748" s="26" t="str">
        <f t="shared" si="52"/>
        <v>call</v>
      </c>
      <c r="N748" s="28">
        <f t="shared" si="53"/>
        <v>46101</v>
      </c>
      <c r="O748" s="29">
        <f t="shared" si="54"/>
        <v>166</v>
      </c>
    </row>
    <row r="749" spans="1:15" x14ac:dyDescent="0.45">
      <c r="A749" s="1" t="s">
        <v>882</v>
      </c>
      <c r="B749" s="4" t="s">
        <v>883</v>
      </c>
      <c r="C749" s="3">
        <v>125</v>
      </c>
      <c r="D749" s="4">
        <v>131.30000000000001</v>
      </c>
      <c r="E749" s="4">
        <v>134.85</v>
      </c>
      <c r="F749" s="4">
        <v>136.30000000000001</v>
      </c>
      <c r="G749" s="4">
        <v>0</v>
      </c>
      <c r="H749" s="5">
        <v>0</v>
      </c>
      <c r="I749" s="4">
        <v>2</v>
      </c>
      <c r="J749" s="4">
        <v>130</v>
      </c>
      <c r="K749" s="5">
        <v>0.71809999999999996</v>
      </c>
      <c r="L749" s="26" t="b">
        <f t="shared" si="55"/>
        <v>1</v>
      </c>
      <c r="M749" s="26" t="str">
        <f t="shared" si="52"/>
        <v>call</v>
      </c>
      <c r="N749" s="28">
        <f t="shared" si="53"/>
        <v>46101</v>
      </c>
      <c r="O749" s="29">
        <f t="shared" si="54"/>
        <v>166</v>
      </c>
    </row>
    <row r="750" spans="1:15" x14ac:dyDescent="0.45">
      <c r="A750" s="1" t="s">
        <v>884</v>
      </c>
      <c r="B750" s="4" t="s">
        <v>885</v>
      </c>
      <c r="C750" s="3">
        <v>130</v>
      </c>
      <c r="D750" s="4">
        <v>130.9</v>
      </c>
      <c r="E750" s="4">
        <v>129.19999999999999</v>
      </c>
      <c r="F750" s="4">
        <v>131.69999999999999</v>
      </c>
      <c r="G750" s="6">
        <v>12.97</v>
      </c>
      <c r="H750" s="7">
        <v>0.11</v>
      </c>
      <c r="I750" s="4">
        <v>5</v>
      </c>
      <c r="J750" s="4">
        <v>225</v>
      </c>
      <c r="K750" s="5">
        <v>0.67679999999999996</v>
      </c>
      <c r="L750" s="26" t="b">
        <f t="shared" si="55"/>
        <v>1</v>
      </c>
      <c r="M750" s="26" t="str">
        <f t="shared" si="52"/>
        <v>call</v>
      </c>
      <c r="N750" s="28">
        <f t="shared" si="53"/>
        <v>46101</v>
      </c>
      <c r="O750" s="29">
        <f t="shared" si="54"/>
        <v>166</v>
      </c>
    </row>
    <row r="751" spans="1:15" x14ac:dyDescent="0.45">
      <c r="A751" s="1" t="s">
        <v>886</v>
      </c>
      <c r="B751" s="2">
        <v>45667.414583333331</v>
      </c>
      <c r="C751" s="3">
        <v>135</v>
      </c>
      <c r="D751" s="4">
        <v>124.13</v>
      </c>
      <c r="E751" s="4">
        <v>124.25</v>
      </c>
      <c r="F751" s="4">
        <v>126.5</v>
      </c>
      <c r="G751" s="6">
        <v>0</v>
      </c>
      <c r="H751" s="7">
        <v>0</v>
      </c>
      <c r="I751" s="4">
        <v>32</v>
      </c>
      <c r="J751" s="4">
        <v>360</v>
      </c>
      <c r="K751" s="5">
        <v>0.6401</v>
      </c>
      <c r="L751" s="26" t="b">
        <f t="shared" si="55"/>
        <v>1</v>
      </c>
      <c r="M751" s="26" t="str">
        <f t="shared" si="52"/>
        <v>call</v>
      </c>
      <c r="N751" s="28">
        <f t="shared" si="53"/>
        <v>46101</v>
      </c>
      <c r="O751" s="29">
        <f t="shared" si="54"/>
        <v>166</v>
      </c>
    </row>
    <row r="752" spans="1:15" x14ac:dyDescent="0.45">
      <c r="A752" s="1" t="s">
        <v>887</v>
      </c>
      <c r="B752" s="2">
        <v>45667.415972222225</v>
      </c>
      <c r="C752" s="3">
        <v>140</v>
      </c>
      <c r="D752" s="4">
        <v>119.44</v>
      </c>
      <c r="E752" s="4">
        <v>120.45</v>
      </c>
      <c r="F752" s="4">
        <v>122.15</v>
      </c>
      <c r="G752" s="6">
        <v>0</v>
      </c>
      <c r="H752" s="7">
        <v>0</v>
      </c>
      <c r="I752" s="4">
        <v>86</v>
      </c>
      <c r="J752" s="4">
        <v>337</v>
      </c>
      <c r="K752" s="5">
        <v>0.6603</v>
      </c>
      <c r="L752" s="26" t="b">
        <f t="shared" si="55"/>
        <v>1</v>
      </c>
      <c r="M752" s="26" t="str">
        <f t="shared" si="52"/>
        <v>call</v>
      </c>
      <c r="N752" s="28">
        <f t="shared" si="53"/>
        <v>46101</v>
      </c>
      <c r="O752" s="29">
        <f t="shared" si="54"/>
        <v>166</v>
      </c>
    </row>
    <row r="753" spans="1:15" x14ac:dyDescent="0.45">
      <c r="A753" s="1" t="s">
        <v>888</v>
      </c>
      <c r="B753" s="2">
        <v>45667.420138888891</v>
      </c>
      <c r="C753" s="3">
        <v>145</v>
      </c>
      <c r="D753" s="4">
        <v>114.55</v>
      </c>
      <c r="E753" s="4">
        <v>115.6</v>
      </c>
      <c r="F753" s="4">
        <v>117.25</v>
      </c>
      <c r="G753" s="6">
        <v>0</v>
      </c>
      <c r="H753" s="7">
        <v>0</v>
      </c>
      <c r="I753" s="4">
        <v>18</v>
      </c>
      <c r="J753" s="4">
        <v>216</v>
      </c>
      <c r="K753" s="5">
        <v>0.63480000000000003</v>
      </c>
      <c r="L753" s="26" t="b">
        <f t="shared" si="55"/>
        <v>1</v>
      </c>
      <c r="M753" s="26" t="str">
        <f t="shared" si="52"/>
        <v>call</v>
      </c>
      <c r="N753" s="28">
        <f t="shared" si="53"/>
        <v>46101</v>
      </c>
      <c r="O753" s="29">
        <f t="shared" si="54"/>
        <v>166</v>
      </c>
    </row>
    <row r="754" spans="1:15" x14ac:dyDescent="0.45">
      <c r="A754" s="1" t="s">
        <v>889</v>
      </c>
      <c r="B754" s="2">
        <v>45667.508333333331</v>
      </c>
      <c r="C754" s="3">
        <v>150</v>
      </c>
      <c r="D754" s="4">
        <v>110</v>
      </c>
      <c r="E754" s="4">
        <v>109.7</v>
      </c>
      <c r="F754" s="4">
        <v>111.8</v>
      </c>
      <c r="G754" s="6">
        <v>0</v>
      </c>
      <c r="H754" s="7">
        <v>0</v>
      </c>
      <c r="I754" s="4">
        <v>28</v>
      </c>
      <c r="J754" s="4">
        <v>668</v>
      </c>
      <c r="K754" s="5">
        <v>0.57099999999999995</v>
      </c>
      <c r="L754" s="26" t="b">
        <f t="shared" si="55"/>
        <v>1</v>
      </c>
      <c r="M754" s="26" t="str">
        <f t="shared" si="52"/>
        <v>call</v>
      </c>
      <c r="N754" s="28">
        <f t="shared" si="53"/>
        <v>46101</v>
      </c>
      <c r="O754" s="29">
        <f t="shared" si="54"/>
        <v>166</v>
      </c>
    </row>
    <row r="755" spans="1:15" x14ac:dyDescent="0.45">
      <c r="A755" s="1" t="s">
        <v>890</v>
      </c>
      <c r="B755" s="4" t="s">
        <v>891</v>
      </c>
      <c r="C755" s="3">
        <v>155</v>
      </c>
      <c r="D755" s="4">
        <v>103.75</v>
      </c>
      <c r="E755" s="4">
        <v>105.95</v>
      </c>
      <c r="F755" s="4">
        <v>107.3</v>
      </c>
      <c r="G755" s="6">
        <v>0</v>
      </c>
      <c r="H755" s="7">
        <v>0</v>
      </c>
      <c r="I755" s="4">
        <v>1</v>
      </c>
      <c r="J755" s="4">
        <v>218</v>
      </c>
      <c r="K755" s="5">
        <v>0.58289999999999997</v>
      </c>
      <c r="L755" s="26" t="b">
        <f t="shared" si="55"/>
        <v>1</v>
      </c>
      <c r="M755" s="26" t="str">
        <f t="shared" si="52"/>
        <v>call</v>
      </c>
      <c r="N755" s="28">
        <f t="shared" si="53"/>
        <v>46101</v>
      </c>
      <c r="O755" s="29">
        <f t="shared" si="54"/>
        <v>166</v>
      </c>
    </row>
    <row r="756" spans="1:15" x14ac:dyDescent="0.45">
      <c r="A756" s="1" t="s">
        <v>892</v>
      </c>
      <c r="B756" s="4" t="s">
        <v>272</v>
      </c>
      <c r="C756" s="3">
        <v>160</v>
      </c>
      <c r="D756" s="4">
        <v>101.85</v>
      </c>
      <c r="E756" s="4">
        <v>100.95</v>
      </c>
      <c r="F756" s="4">
        <v>101.85</v>
      </c>
      <c r="G756" s="6">
        <v>3.5</v>
      </c>
      <c r="H756" s="7">
        <v>3.56E-2</v>
      </c>
      <c r="I756" s="4">
        <v>1</v>
      </c>
      <c r="J756" s="4">
        <v>381</v>
      </c>
      <c r="K756" s="5">
        <v>0.54390000000000005</v>
      </c>
      <c r="L756" s="26" t="b">
        <f t="shared" si="55"/>
        <v>1</v>
      </c>
      <c r="M756" s="26" t="str">
        <f t="shared" si="52"/>
        <v>call</v>
      </c>
      <c r="N756" s="28">
        <f t="shared" si="53"/>
        <v>46101</v>
      </c>
      <c r="O756" s="29">
        <f t="shared" si="54"/>
        <v>166</v>
      </c>
    </row>
    <row r="757" spans="1:15" x14ac:dyDescent="0.45">
      <c r="A757" s="1" t="s">
        <v>893</v>
      </c>
      <c r="B757" s="2">
        <v>45698.515972222223</v>
      </c>
      <c r="C757" s="3">
        <v>165</v>
      </c>
      <c r="D757" s="4">
        <v>96.45</v>
      </c>
      <c r="E757" s="4">
        <v>95.55</v>
      </c>
      <c r="F757" s="4">
        <v>97.85</v>
      </c>
      <c r="G757" s="6">
        <v>0</v>
      </c>
      <c r="H757" s="7">
        <v>0</v>
      </c>
      <c r="I757" s="4">
        <v>4</v>
      </c>
      <c r="J757" s="4">
        <v>248</v>
      </c>
      <c r="K757" s="5">
        <v>0.52800000000000002</v>
      </c>
      <c r="L757" s="26" t="b">
        <f t="shared" si="55"/>
        <v>1</v>
      </c>
      <c r="M757" s="26" t="str">
        <f t="shared" si="52"/>
        <v>call</v>
      </c>
      <c r="N757" s="28">
        <f t="shared" si="53"/>
        <v>46101</v>
      </c>
      <c r="O757" s="29">
        <f t="shared" si="54"/>
        <v>166</v>
      </c>
    </row>
    <row r="758" spans="1:15" x14ac:dyDescent="0.45">
      <c r="A758" s="1" t="s">
        <v>894</v>
      </c>
      <c r="B758" s="2">
        <v>45667.652083333334</v>
      </c>
      <c r="C758" s="3">
        <v>170</v>
      </c>
      <c r="D758" s="4">
        <v>89.6</v>
      </c>
      <c r="E758" s="4">
        <v>91.5</v>
      </c>
      <c r="F758" s="4">
        <v>93.05</v>
      </c>
      <c r="G758" s="6">
        <v>0</v>
      </c>
      <c r="H758" s="7">
        <v>0</v>
      </c>
      <c r="I758" s="4">
        <v>2</v>
      </c>
      <c r="J758" s="4">
        <v>806</v>
      </c>
      <c r="K758" s="5">
        <v>0.52149999999999996</v>
      </c>
      <c r="L758" s="26" t="b">
        <f t="shared" si="55"/>
        <v>1</v>
      </c>
      <c r="M758" s="26" t="str">
        <f t="shared" si="52"/>
        <v>call</v>
      </c>
      <c r="N758" s="28">
        <f t="shared" si="53"/>
        <v>46101</v>
      </c>
      <c r="O758" s="29">
        <f t="shared" si="54"/>
        <v>166</v>
      </c>
    </row>
    <row r="759" spans="1:15" x14ac:dyDescent="0.45">
      <c r="A759" s="1" t="s">
        <v>895</v>
      </c>
      <c r="B759" s="2">
        <v>45726.525000000001</v>
      </c>
      <c r="C759" s="3">
        <v>175</v>
      </c>
      <c r="D759" s="4">
        <v>87.52</v>
      </c>
      <c r="E759" s="4">
        <v>86.25</v>
      </c>
      <c r="F759" s="4">
        <v>88.45</v>
      </c>
      <c r="G759" s="8">
        <v>2.12</v>
      </c>
      <c r="H759" s="9">
        <v>2.4799999999999999E-2</v>
      </c>
      <c r="I759" s="4">
        <v>2</v>
      </c>
      <c r="J759" s="4">
        <v>451</v>
      </c>
      <c r="K759" s="5">
        <v>0.53239999999999998</v>
      </c>
      <c r="L759" s="26" t="b">
        <f t="shared" si="55"/>
        <v>1</v>
      </c>
      <c r="M759" s="26" t="str">
        <f t="shared" si="52"/>
        <v>call</v>
      </c>
      <c r="N759" s="28">
        <f t="shared" si="53"/>
        <v>46101</v>
      </c>
      <c r="O759" s="29">
        <f t="shared" si="54"/>
        <v>166</v>
      </c>
    </row>
    <row r="760" spans="1:15" x14ac:dyDescent="0.45">
      <c r="A760" s="1" t="s">
        <v>896</v>
      </c>
      <c r="B760" s="2">
        <v>45726.533333333333</v>
      </c>
      <c r="C760" s="3">
        <v>180</v>
      </c>
      <c r="D760" s="4">
        <v>83.1</v>
      </c>
      <c r="E760" s="4">
        <v>81.75</v>
      </c>
      <c r="F760" s="4">
        <v>83.55</v>
      </c>
      <c r="G760" s="6">
        <v>3.6</v>
      </c>
      <c r="H760" s="7">
        <v>4.53E-2</v>
      </c>
      <c r="I760" s="4">
        <v>36</v>
      </c>
      <c r="J760" s="4">
        <v>728</v>
      </c>
      <c r="K760" s="5">
        <v>0.50649999999999995</v>
      </c>
      <c r="L760" s="26" t="b">
        <f t="shared" si="55"/>
        <v>1</v>
      </c>
      <c r="M760" s="26" t="str">
        <f t="shared" si="52"/>
        <v>call</v>
      </c>
      <c r="N760" s="28">
        <f t="shared" si="53"/>
        <v>46101</v>
      </c>
      <c r="O760" s="29">
        <f t="shared" si="54"/>
        <v>166</v>
      </c>
    </row>
    <row r="761" spans="1:15" x14ac:dyDescent="0.45">
      <c r="A761" s="1" t="s">
        <v>897</v>
      </c>
      <c r="B761" s="2">
        <v>45726.521527777775</v>
      </c>
      <c r="C761" s="3">
        <v>185</v>
      </c>
      <c r="D761" s="4">
        <v>78.66</v>
      </c>
      <c r="E761" s="4">
        <v>77.45</v>
      </c>
      <c r="F761" s="4">
        <v>78</v>
      </c>
      <c r="G761" s="6">
        <v>1.04</v>
      </c>
      <c r="H761" s="7">
        <v>1.34E-2</v>
      </c>
      <c r="I761" s="4">
        <v>1</v>
      </c>
      <c r="J761" s="4">
        <v>597</v>
      </c>
      <c r="K761" s="5">
        <v>0.4617</v>
      </c>
      <c r="L761" s="26" t="b">
        <f t="shared" si="55"/>
        <v>1</v>
      </c>
      <c r="M761" s="26" t="str">
        <f t="shared" si="52"/>
        <v>call</v>
      </c>
      <c r="N761" s="28">
        <f t="shared" si="53"/>
        <v>46101</v>
      </c>
      <c r="O761" s="29">
        <f t="shared" si="54"/>
        <v>166</v>
      </c>
    </row>
    <row r="762" spans="1:15" x14ac:dyDescent="0.45">
      <c r="A762" s="1" t="s">
        <v>898</v>
      </c>
      <c r="B762" s="2">
        <v>45726.418749999997</v>
      </c>
      <c r="C762" s="3">
        <v>190</v>
      </c>
      <c r="D762" s="4">
        <v>73.14</v>
      </c>
      <c r="E762" s="4">
        <v>72.75</v>
      </c>
      <c r="F762" s="4">
        <v>73.599999999999994</v>
      </c>
      <c r="G762" s="8">
        <v>0.21</v>
      </c>
      <c r="H762" s="9">
        <v>2.8999999999999998E-3</v>
      </c>
      <c r="I762" s="4">
        <v>2</v>
      </c>
      <c r="J762" s="4">
        <v>608</v>
      </c>
      <c r="K762" s="5">
        <v>0.45150000000000001</v>
      </c>
      <c r="L762" s="26" t="b">
        <f t="shared" si="55"/>
        <v>1</v>
      </c>
      <c r="M762" s="26" t="str">
        <f t="shared" si="52"/>
        <v>call</v>
      </c>
      <c r="N762" s="28">
        <f t="shared" si="53"/>
        <v>46101</v>
      </c>
      <c r="O762" s="29">
        <f t="shared" si="54"/>
        <v>166</v>
      </c>
    </row>
    <row r="763" spans="1:15" x14ac:dyDescent="0.45">
      <c r="A763" s="1" t="s">
        <v>899</v>
      </c>
      <c r="B763" s="2">
        <v>45726.578472222223</v>
      </c>
      <c r="C763" s="3">
        <v>195</v>
      </c>
      <c r="D763" s="4">
        <v>67.97</v>
      </c>
      <c r="E763" s="4">
        <v>68.099999999999994</v>
      </c>
      <c r="F763" s="4">
        <v>68.95</v>
      </c>
      <c r="G763" s="8">
        <v>-0.38</v>
      </c>
      <c r="H763" s="9">
        <v>-5.5999999999999999E-3</v>
      </c>
      <c r="I763" s="4">
        <v>5</v>
      </c>
      <c r="J763" s="10">
        <v>1788</v>
      </c>
      <c r="K763" s="5">
        <v>0.43340000000000001</v>
      </c>
      <c r="L763" s="26" t="b">
        <f t="shared" si="55"/>
        <v>1</v>
      </c>
      <c r="M763" s="26" t="str">
        <f t="shared" si="52"/>
        <v>call</v>
      </c>
      <c r="N763" s="28">
        <f t="shared" si="53"/>
        <v>46101</v>
      </c>
      <c r="O763" s="29">
        <f t="shared" si="54"/>
        <v>166</v>
      </c>
    </row>
    <row r="764" spans="1:15" x14ac:dyDescent="0.45">
      <c r="A764" s="1" t="s">
        <v>900</v>
      </c>
      <c r="B764" s="2">
        <v>45726.595138888886</v>
      </c>
      <c r="C764" s="3">
        <v>200</v>
      </c>
      <c r="D764" s="4">
        <v>63.81</v>
      </c>
      <c r="E764" s="4">
        <v>63.8</v>
      </c>
      <c r="F764" s="4">
        <v>64.349999999999994</v>
      </c>
      <c r="G764" s="8">
        <v>0.11</v>
      </c>
      <c r="H764" s="9">
        <v>1.6999999999999999E-3</v>
      </c>
      <c r="I764" s="4">
        <v>24</v>
      </c>
      <c r="J764" s="10">
        <v>6008</v>
      </c>
      <c r="K764" s="5">
        <v>0.41610000000000003</v>
      </c>
      <c r="L764" s="26" t="b">
        <f t="shared" si="55"/>
        <v>1</v>
      </c>
      <c r="M764" s="26" t="str">
        <f t="shared" si="52"/>
        <v>call</v>
      </c>
      <c r="N764" s="28">
        <f t="shared" si="53"/>
        <v>46101</v>
      </c>
      <c r="O764" s="29">
        <f t="shared" si="54"/>
        <v>166</v>
      </c>
    </row>
    <row r="765" spans="1:15" x14ac:dyDescent="0.45">
      <c r="A765" s="1" t="s">
        <v>901</v>
      </c>
      <c r="B765" s="2">
        <v>45726.631249999999</v>
      </c>
      <c r="C765" s="3">
        <v>210</v>
      </c>
      <c r="D765" s="4">
        <v>55.2</v>
      </c>
      <c r="E765" s="4">
        <v>55.05</v>
      </c>
      <c r="F765" s="4">
        <v>55.5</v>
      </c>
      <c r="G765" s="6">
        <v>0.45</v>
      </c>
      <c r="H765" s="7">
        <v>8.2000000000000007E-3</v>
      </c>
      <c r="I765" s="4">
        <v>53</v>
      </c>
      <c r="J765" s="10">
        <v>4782</v>
      </c>
      <c r="K765" s="5">
        <v>0.38729999999999998</v>
      </c>
      <c r="L765" s="26" t="b">
        <f t="shared" si="55"/>
        <v>1</v>
      </c>
      <c r="M765" s="26" t="str">
        <f t="shared" ref="M765:M828" si="56">IF(MID(A765,11,1)="C","call","put")</f>
        <v>call</v>
      </c>
      <c r="N765" s="28">
        <f t="shared" ref="N765:N828" si="57">DATE(MID(A765,5,2)+2000,MID(A765,7,2),MID(A765,9,2))</f>
        <v>46101</v>
      </c>
      <c r="O765" s="29">
        <f t="shared" si="54"/>
        <v>166</v>
      </c>
    </row>
    <row r="766" spans="1:15" x14ac:dyDescent="0.45">
      <c r="A766" s="1" t="s">
        <v>902</v>
      </c>
      <c r="B766" s="2">
        <v>45726.646527777775</v>
      </c>
      <c r="C766" s="3">
        <v>220</v>
      </c>
      <c r="D766" s="4">
        <v>46.65</v>
      </c>
      <c r="E766" s="4">
        <v>46.55</v>
      </c>
      <c r="F766" s="4">
        <v>46.9</v>
      </c>
      <c r="G766" s="6">
        <v>0.17</v>
      </c>
      <c r="H766" s="7">
        <v>3.7000000000000002E-3</v>
      </c>
      <c r="I766" s="4">
        <v>148</v>
      </c>
      <c r="J766" s="10">
        <v>5705</v>
      </c>
      <c r="K766" s="5">
        <v>0.35930000000000001</v>
      </c>
      <c r="L766" s="26" t="b">
        <f t="shared" si="55"/>
        <v>1</v>
      </c>
      <c r="M766" s="26" t="str">
        <f t="shared" si="56"/>
        <v>call</v>
      </c>
      <c r="N766" s="28">
        <f t="shared" si="57"/>
        <v>46101</v>
      </c>
      <c r="O766" s="29">
        <f t="shared" ref="O766:O829" si="58">N766-DATE(2025,10,5)</f>
        <v>166</v>
      </c>
    </row>
    <row r="767" spans="1:15" x14ac:dyDescent="0.45">
      <c r="A767" s="1" t="s">
        <v>903</v>
      </c>
      <c r="B767" s="2">
        <v>45726.656944444447</v>
      </c>
      <c r="C767" s="3">
        <v>230</v>
      </c>
      <c r="D767" s="4">
        <v>38.78</v>
      </c>
      <c r="E767" s="4">
        <v>38.549999999999997</v>
      </c>
      <c r="F767" s="4">
        <v>38.85</v>
      </c>
      <c r="G767" s="6">
        <v>0.38</v>
      </c>
      <c r="H767" s="7">
        <v>9.9000000000000008E-3</v>
      </c>
      <c r="I767" s="4">
        <v>516</v>
      </c>
      <c r="J767" s="10">
        <v>7670</v>
      </c>
      <c r="K767" s="5">
        <v>0.33610000000000001</v>
      </c>
      <c r="L767" s="26" t="b">
        <f t="shared" si="55"/>
        <v>1</v>
      </c>
      <c r="M767" s="26" t="str">
        <f t="shared" si="56"/>
        <v>call</v>
      </c>
      <c r="N767" s="28">
        <f t="shared" si="57"/>
        <v>46101</v>
      </c>
      <c r="O767" s="29">
        <f t="shared" si="58"/>
        <v>166</v>
      </c>
    </row>
    <row r="768" spans="1:15" x14ac:dyDescent="0.45">
      <c r="A768" s="1" t="s">
        <v>904</v>
      </c>
      <c r="B768" s="2">
        <v>45726.65</v>
      </c>
      <c r="C768" s="3">
        <v>240</v>
      </c>
      <c r="D768" s="4">
        <v>31.2</v>
      </c>
      <c r="E768" s="4">
        <v>31.1</v>
      </c>
      <c r="F768" s="4">
        <v>31.45</v>
      </c>
      <c r="G768" s="6">
        <v>-0.1</v>
      </c>
      <c r="H768" s="7">
        <v>-3.2000000000000002E-3</v>
      </c>
      <c r="I768" s="4">
        <v>53</v>
      </c>
      <c r="J768" s="10">
        <v>11808</v>
      </c>
      <c r="K768" s="5">
        <v>0.31669999999999998</v>
      </c>
      <c r="L768" s="26" t="b">
        <f t="shared" ref="L768:L831" si="59">IF(M768="call",C768&lt;$P$1,C768&gt;$P$1)</f>
        <v>1</v>
      </c>
      <c r="M768" s="26" t="str">
        <f t="shared" si="56"/>
        <v>call</v>
      </c>
      <c r="N768" s="28">
        <f t="shared" si="57"/>
        <v>46101</v>
      </c>
      <c r="O768" s="29">
        <f t="shared" si="58"/>
        <v>166</v>
      </c>
    </row>
    <row r="769" spans="1:15" x14ac:dyDescent="0.45">
      <c r="A769" s="1" t="s">
        <v>905</v>
      </c>
      <c r="B769" s="2">
        <v>45726.661111111112</v>
      </c>
      <c r="C769" s="3">
        <v>250</v>
      </c>
      <c r="D769" s="4">
        <v>24.5</v>
      </c>
      <c r="E769" s="4">
        <v>24.45</v>
      </c>
      <c r="F769" s="4">
        <v>24.7</v>
      </c>
      <c r="G769" s="6">
        <v>0</v>
      </c>
      <c r="H769" s="7">
        <v>0</v>
      </c>
      <c r="I769" s="4">
        <v>500</v>
      </c>
      <c r="J769" s="10">
        <v>12167</v>
      </c>
      <c r="K769" s="5">
        <v>0.29870000000000002</v>
      </c>
      <c r="L769" s="26" t="b">
        <f t="shared" si="59"/>
        <v>1</v>
      </c>
      <c r="M769" s="26" t="str">
        <f t="shared" si="56"/>
        <v>call</v>
      </c>
      <c r="N769" s="28">
        <f t="shared" si="57"/>
        <v>46101</v>
      </c>
      <c r="O769" s="29">
        <f t="shared" si="58"/>
        <v>166</v>
      </c>
    </row>
    <row r="770" spans="1:15" x14ac:dyDescent="0.45">
      <c r="A770" s="11" t="s">
        <v>906</v>
      </c>
      <c r="B770" s="12">
        <v>45726.665972222225</v>
      </c>
      <c r="C770" s="13">
        <v>260</v>
      </c>
      <c r="D770" s="14">
        <v>18.649999999999999</v>
      </c>
      <c r="E770" s="14">
        <v>18.600000000000001</v>
      </c>
      <c r="F770" s="14">
        <v>18.8</v>
      </c>
      <c r="G770" s="15">
        <v>-0.11</v>
      </c>
      <c r="H770" s="16">
        <v>-5.8999999999999999E-3</v>
      </c>
      <c r="I770" s="14">
        <v>254</v>
      </c>
      <c r="J770" s="17">
        <v>8788</v>
      </c>
      <c r="K770" s="18">
        <v>0.2833</v>
      </c>
      <c r="L770" s="26" t="b">
        <f t="shared" si="59"/>
        <v>0</v>
      </c>
      <c r="M770" s="26" t="str">
        <f t="shared" si="56"/>
        <v>call</v>
      </c>
      <c r="N770" s="28">
        <f t="shared" si="57"/>
        <v>46101</v>
      </c>
      <c r="O770" s="29">
        <f t="shared" si="58"/>
        <v>166</v>
      </c>
    </row>
    <row r="771" spans="1:15" x14ac:dyDescent="0.45">
      <c r="A771" s="11" t="s">
        <v>907</v>
      </c>
      <c r="B771" s="12">
        <v>45726.61041666667</v>
      </c>
      <c r="C771" s="13">
        <v>270</v>
      </c>
      <c r="D771" s="14">
        <v>13.82</v>
      </c>
      <c r="E771" s="14">
        <v>13.75</v>
      </c>
      <c r="F771" s="14">
        <v>13.9</v>
      </c>
      <c r="G771" s="19">
        <v>-0.25</v>
      </c>
      <c r="H771" s="20">
        <v>-1.78E-2</v>
      </c>
      <c r="I771" s="14">
        <v>219</v>
      </c>
      <c r="J771" s="17">
        <v>8955</v>
      </c>
      <c r="K771" s="18">
        <v>0.27129999999999999</v>
      </c>
      <c r="L771" s="26" t="b">
        <f t="shared" si="59"/>
        <v>0</v>
      </c>
      <c r="M771" s="26" t="str">
        <f t="shared" si="56"/>
        <v>call</v>
      </c>
      <c r="N771" s="28">
        <f t="shared" si="57"/>
        <v>46101</v>
      </c>
      <c r="O771" s="29">
        <f t="shared" si="58"/>
        <v>166</v>
      </c>
    </row>
    <row r="772" spans="1:15" x14ac:dyDescent="0.45">
      <c r="A772" s="11" t="s">
        <v>908</v>
      </c>
      <c r="B772" s="12">
        <v>45726.640277777777</v>
      </c>
      <c r="C772" s="13">
        <v>280</v>
      </c>
      <c r="D772" s="14">
        <v>9.85</v>
      </c>
      <c r="E772" s="14">
        <v>9.85</v>
      </c>
      <c r="F772" s="14">
        <v>10</v>
      </c>
      <c r="G772" s="14">
        <v>-0.17</v>
      </c>
      <c r="H772" s="18">
        <v>-1.7000000000000001E-2</v>
      </c>
      <c r="I772" s="17">
        <v>1311</v>
      </c>
      <c r="J772" s="17">
        <v>23443</v>
      </c>
      <c r="K772" s="18">
        <v>0.26219999999999999</v>
      </c>
      <c r="L772" s="26" t="b">
        <f t="shared" si="59"/>
        <v>0</v>
      </c>
      <c r="M772" s="26" t="str">
        <f t="shared" si="56"/>
        <v>call</v>
      </c>
      <c r="N772" s="28">
        <f t="shared" si="57"/>
        <v>46101</v>
      </c>
      <c r="O772" s="29">
        <f t="shared" si="58"/>
        <v>166</v>
      </c>
    </row>
    <row r="773" spans="1:15" x14ac:dyDescent="0.45">
      <c r="A773" s="11" t="s">
        <v>909</v>
      </c>
      <c r="B773" s="12">
        <v>45726.662499999999</v>
      </c>
      <c r="C773" s="13">
        <v>290</v>
      </c>
      <c r="D773" s="14">
        <v>6.78</v>
      </c>
      <c r="E773" s="14">
        <v>6.9</v>
      </c>
      <c r="F773" s="14">
        <v>7</v>
      </c>
      <c r="G773" s="15">
        <v>-0.23</v>
      </c>
      <c r="H773" s="16">
        <v>-3.2800000000000003E-2</v>
      </c>
      <c r="I773" s="14">
        <v>108</v>
      </c>
      <c r="J773" s="17">
        <v>5250</v>
      </c>
      <c r="K773" s="18">
        <v>0.25509999999999999</v>
      </c>
      <c r="L773" s="26" t="b">
        <f t="shared" si="59"/>
        <v>0</v>
      </c>
      <c r="M773" s="26" t="str">
        <f t="shared" si="56"/>
        <v>call</v>
      </c>
      <c r="N773" s="28">
        <f t="shared" si="57"/>
        <v>46101</v>
      </c>
      <c r="O773" s="29">
        <f t="shared" si="58"/>
        <v>166</v>
      </c>
    </row>
    <row r="774" spans="1:15" x14ac:dyDescent="0.45">
      <c r="A774" s="11" t="s">
        <v>910</v>
      </c>
      <c r="B774" s="12">
        <v>45726.665972222225</v>
      </c>
      <c r="C774" s="13">
        <v>300</v>
      </c>
      <c r="D774" s="14">
        <v>4.75</v>
      </c>
      <c r="E774" s="14">
        <v>4.7</v>
      </c>
      <c r="F774" s="14">
        <v>4.8499999999999996</v>
      </c>
      <c r="G774" s="14">
        <v>-0.1</v>
      </c>
      <c r="H774" s="18">
        <v>-2.06E-2</v>
      </c>
      <c r="I774" s="14">
        <v>801</v>
      </c>
      <c r="J774" s="17">
        <v>9304</v>
      </c>
      <c r="K774" s="18">
        <v>0.25119999999999998</v>
      </c>
      <c r="L774" s="26" t="b">
        <f t="shared" si="59"/>
        <v>0</v>
      </c>
      <c r="M774" s="26" t="str">
        <f t="shared" si="56"/>
        <v>call</v>
      </c>
      <c r="N774" s="28">
        <f t="shared" si="57"/>
        <v>46101</v>
      </c>
      <c r="O774" s="29">
        <f t="shared" si="58"/>
        <v>166</v>
      </c>
    </row>
    <row r="775" spans="1:15" x14ac:dyDescent="0.45">
      <c r="A775" s="11" t="s">
        <v>911</v>
      </c>
      <c r="B775" s="12">
        <v>45726.5625</v>
      </c>
      <c r="C775" s="13">
        <v>310</v>
      </c>
      <c r="D775" s="14">
        <v>3.3</v>
      </c>
      <c r="E775" s="14">
        <v>3.2</v>
      </c>
      <c r="F775" s="14">
        <v>3.3</v>
      </c>
      <c r="G775" s="15">
        <v>-0.05</v>
      </c>
      <c r="H775" s="16">
        <v>-1.49E-2</v>
      </c>
      <c r="I775" s="14">
        <v>29</v>
      </c>
      <c r="J775" s="17">
        <v>2168</v>
      </c>
      <c r="K775" s="18">
        <v>0.24829999999999999</v>
      </c>
      <c r="L775" s="26" t="b">
        <f t="shared" si="59"/>
        <v>0</v>
      </c>
      <c r="M775" s="26" t="str">
        <f t="shared" si="56"/>
        <v>call</v>
      </c>
      <c r="N775" s="28">
        <f t="shared" si="57"/>
        <v>46101</v>
      </c>
      <c r="O775" s="29">
        <f t="shared" si="58"/>
        <v>166</v>
      </c>
    </row>
    <row r="776" spans="1:15" x14ac:dyDescent="0.45">
      <c r="A776" s="11" t="s">
        <v>912</v>
      </c>
      <c r="B776" s="12">
        <v>45726.665972222225</v>
      </c>
      <c r="C776" s="13">
        <v>320</v>
      </c>
      <c r="D776" s="14">
        <v>2.2000000000000002</v>
      </c>
      <c r="E776" s="14">
        <v>2.17</v>
      </c>
      <c r="F776" s="14">
        <v>2.23</v>
      </c>
      <c r="G776" s="15">
        <v>-7.0000000000000007E-2</v>
      </c>
      <c r="H776" s="16">
        <v>-3.0800000000000001E-2</v>
      </c>
      <c r="I776" s="17">
        <v>1040</v>
      </c>
      <c r="J776" s="17">
        <v>6554</v>
      </c>
      <c r="K776" s="18">
        <v>0.24679999999999999</v>
      </c>
      <c r="L776" s="26" t="b">
        <f t="shared" si="59"/>
        <v>0</v>
      </c>
      <c r="M776" s="26" t="str">
        <f t="shared" si="56"/>
        <v>call</v>
      </c>
      <c r="N776" s="28">
        <f t="shared" si="57"/>
        <v>46101</v>
      </c>
      <c r="O776" s="29">
        <f t="shared" si="58"/>
        <v>166</v>
      </c>
    </row>
    <row r="777" spans="1:15" x14ac:dyDescent="0.45">
      <c r="A777" s="11" t="s">
        <v>913</v>
      </c>
      <c r="B777" s="12">
        <v>45726.57708333333</v>
      </c>
      <c r="C777" s="13">
        <v>330</v>
      </c>
      <c r="D777" s="14">
        <v>1.47</v>
      </c>
      <c r="E777" s="14">
        <v>1.47</v>
      </c>
      <c r="F777" s="14">
        <v>1.52</v>
      </c>
      <c r="G777" s="15">
        <v>-0.11</v>
      </c>
      <c r="H777" s="16">
        <v>-6.9599999999999995E-2</v>
      </c>
      <c r="I777" s="14">
        <v>136</v>
      </c>
      <c r="J777" s="17">
        <v>1200</v>
      </c>
      <c r="K777" s="18">
        <v>0.24709999999999999</v>
      </c>
      <c r="L777" s="26" t="b">
        <f t="shared" si="59"/>
        <v>0</v>
      </c>
      <c r="M777" s="26" t="str">
        <f t="shared" si="56"/>
        <v>call</v>
      </c>
      <c r="N777" s="28">
        <f t="shared" si="57"/>
        <v>46101</v>
      </c>
      <c r="O777" s="29">
        <f t="shared" si="58"/>
        <v>166</v>
      </c>
    </row>
    <row r="778" spans="1:15" x14ac:dyDescent="0.45">
      <c r="A778" s="11" t="s">
        <v>914</v>
      </c>
      <c r="B778" s="12">
        <v>45726.40347222222</v>
      </c>
      <c r="C778" s="13">
        <v>340</v>
      </c>
      <c r="D778" s="14">
        <v>1.01</v>
      </c>
      <c r="E778" s="14">
        <v>0.99</v>
      </c>
      <c r="F778" s="14">
        <v>1.04</v>
      </c>
      <c r="G778" s="15">
        <v>-7.0000000000000007E-2</v>
      </c>
      <c r="H778" s="16">
        <v>-6.4799999999999996E-2</v>
      </c>
      <c r="I778" s="14">
        <v>4</v>
      </c>
      <c r="J778" s="17">
        <v>1186</v>
      </c>
      <c r="K778" s="18">
        <v>0.2482</v>
      </c>
      <c r="L778" s="26" t="b">
        <f t="shared" si="59"/>
        <v>0</v>
      </c>
      <c r="M778" s="26" t="str">
        <f t="shared" si="56"/>
        <v>call</v>
      </c>
      <c r="N778" s="28">
        <f t="shared" si="57"/>
        <v>46101</v>
      </c>
      <c r="O778" s="29">
        <f t="shared" si="58"/>
        <v>166</v>
      </c>
    </row>
    <row r="779" spans="1:15" x14ac:dyDescent="0.45">
      <c r="A779" s="11" t="s">
        <v>915</v>
      </c>
      <c r="B779" s="12">
        <v>45726.611111111109</v>
      </c>
      <c r="C779" s="13">
        <v>350</v>
      </c>
      <c r="D779" s="14">
        <v>0.69</v>
      </c>
      <c r="E779" s="14">
        <v>0.67</v>
      </c>
      <c r="F779" s="14">
        <v>0.71</v>
      </c>
      <c r="G779" s="15">
        <v>-7.0000000000000007E-2</v>
      </c>
      <c r="H779" s="16">
        <v>-9.2100000000000001E-2</v>
      </c>
      <c r="I779" s="14">
        <v>9</v>
      </c>
      <c r="J779" s="17">
        <v>1930</v>
      </c>
      <c r="K779" s="18">
        <v>0.2495</v>
      </c>
      <c r="L779" s="26" t="b">
        <f t="shared" si="59"/>
        <v>0</v>
      </c>
      <c r="M779" s="26" t="str">
        <f t="shared" si="56"/>
        <v>call</v>
      </c>
      <c r="N779" s="28">
        <f t="shared" si="57"/>
        <v>46101</v>
      </c>
      <c r="O779" s="29">
        <f t="shared" si="58"/>
        <v>166</v>
      </c>
    </row>
    <row r="780" spans="1:15" x14ac:dyDescent="0.45">
      <c r="A780" s="11" t="s">
        <v>916</v>
      </c>
      <c r="B780" s="12">
        <v>45726.448611111111</v>
      </c>
      <c r="C780" s="13">
        <v>360</v>
      </c>
      <c r="D780" s="14">
        <v>0.51</v>
      </c>
      <c r="E780" s="14">
        <v>0.45</v>
      </c>
      <c r="F780" s="14">
        <v>0.5</v>
      </c>
      <c r="G780" s="15">
        <v>-0.02</v>
      </c>
      <c r="H780" s="16">
        <v>-3.7699999999999997E-2</v>
      </c>
      <c r="I780" s="14">
        <v>4</v>
      </c>
      <c r="J780" s="17">
        <v>1528</v>
      </c>
      <c r="K780" s="18">
        <v>0.25219999999999998</v>
      </c>
      <c r="L780" s="26" t="b">
        <f t="shared" si="59"/>
        <v>0</v>
      </c>
      <c r="M780" s="26" t="str">
        <f t="shared" si="56"/>
        <v>call</v>
      </c>
      <c r="N780" s="28">
        <f t="shared" si="57"/>
        <v>46101</v>
      </c>
      <c r="O780" s="29">
        <f t="shared" si="58"/>
        <v>166</v>
      </c>
    </row>
    <row r="781" spans="1:15" x14ac:dyDescent="0.45">
      <c r="A781" s="11" t="s">
        <v>917</v>
      </c>
      <c r="B781" s="12">
        <v>45726.598611111112</v>
      </c>
      <c r="C781" s="13">
        <v>370</v>
      </c>
      <c r="D781" s="14">
        <v>0.32</v>
      </c>
      <c r="E781" s="14">
        <v>0.31</v>
      </c>
      <c r="F781" s="14">
        <v>0.35</v>
      </c>
      <c r="G781" s="15">
        <v>-0.05</v>
      </c>
      <c r="H781" s="16">
        <v>-0.1351</v>
      </c>
      <c r="I781" s="14">
        <v>13</v>
      </c>
      <c r="J781" s="17">
        <v>2758</v>
      </c>
      <c r="K781" s="18">
        <v>0.25459999999999999</v>
      </c>
      <c r="L781" s="26" t="b">
        <f t="shared" si="59"/>
        <v>0</v>
      </c>
      <c r="M781" s="26" t="str">
        <f t="shared" si="56"/>
        <v>call</v>
      </c>
      <c r="N781" s="28">
        <f t="shared" si="57"/>
        <v>46101</v>
      </c>
      <c r="O781" s="29">
        <f t="shared" si="58"/>
        <v>166</v>
      </c>
    </row>
    <row r="782" spans="1:15" x14ac:dyDescent="0.45">
      <c r="A782" s="11" t="s">
        <v>918</v>
      </c>
      <c r="B782" s="12">
        <v>45667.593055555553</v>
      </c>
      <c r="C782" s="13">
        <v>90</v>
      </c>
      <c r="D782" s="14">
        <v>7.0000000000000007E-2</v>
      </c>
      <c r="E782" s="14">
        <v>0.06</v>
      </c>
      <c r="F782" s="14">
        <v>0.08</v>
      </c>
      <c r="G782" s="14">
        <v>0</v>
      </c>
      <c r="H782" s="18">
        <v>0</v>
      </c>
      <c r="I782" s="14">
        <v>3</v>
      </c>
      <c r="J782" s="14">
        <v>647</v>
      </c>
      <c r="K782" s="18">
        <v>0.58399999999999996</v>
      </c>
      <c r="L782" s="26" t="b">
        <f t="shared" si="59"/>
        <v>0</v>
      </c>
      <c r="M782" s="26" t="str">
        <f t="shared" si="56"/>
        <v>put</v>
      </c>
      <c r="N782" s="28">
        <f t="shared" si="57"/>
        <v>46101</v>
      </c>
      <c r="O782" s="29">
        <f t="shared" si="58"/>
        <v>166</v>
      </c>
    </row>
    <row r="783" spans="1:15" x14ac:dyDescent="0.45">
      <c r="A783" s="11" t="s">
        <v>919</v>
      </c>
      <c r="B783" s="12">
        <v>45667.411111111112</v>
      </c>
      <c r="C783" s="13">
        <v>95</v>
      </c>
      <c r="D783" s="14">
        <v>0.11</v>
      </c>
      <c r="E783" s="14">
        <v>0.05</v>
      </c>
      <c r="F783" s="14">
        <v>0.1</v>
      </c>
      <c r="G783" s="14">
        <v>0</v>
      </c>
      <c r="H783" s="18">
        <v>0</v>
      </c>
      <c r="I783" s="14">
        <v>10</v>
      </c>
      <c r="J783" s="14">
        <v>263</v>
      </c>
      <c r="K783" s="18">
        <v>0.55959999999999999</v>
      </c>
      <c r="L783" s="26" t="b">
        <f t="shared" si="59"/>
        <v>0</v>
      </c>
      <c r="M783" s="26" t="str">
        <f t="shared" si="56"/>
        <v>put</v>
      </c>
      <c r="N783" s="28">
        <f t="shared" si="57"/>
        <v>46101</v>
      </c>
      <c r="O783" s="29">
        <f t="shared" si="58"/>
        <v>166</v>
      </c>
    </row>
    <row r="784" spans="1:15" x14ac:dyDescent="0.45">
      <c r="A784" s="11" t="s">
        <v>920</v>
      </c>
      <c r="B784" s="12">
        <v>45726.565972222219</v>
      </c>
      <c r="C784" s="13">
        <v>100</v>
      </c>
      <c r="D784" s="14">
        <v>0.09</v>
      </c>
      <c r="E784" s="14">
        <v>7.0000000000000007E-2</v>
      </c>
      <c r="F784" s="14">
        <v>0.14000000000000001</v>
      </c>
      <c r="G784" s="14">
        <v>-0.03</v>
      </c>
      <c r="H784" s="18">
        <v>-0.25</v>
      </c>
      <c r="I784" s="14">
        <v>1</v>
      </c>
      <c r="J784" s="14">
        <v>578</v>
      </c>
      <c r="K784" s="18">
        <v>0.55179999999999996</v>
      </c>
      <c r="L784" s="26" t="b">
        <f t="shared" si="59"/>
        <v>0</v>
      </c>
      <c r="M784" s="26" t="str">
        <f t="shared" si="56"/>
        <v>put</v>
      </c>
      <c r="N784" s="28">
        <f t="shared" si="57"/>
        <v>46101</v>
      </c>
      <c r="O784" s="29">
        <f t="shared" si="58"/>
        <v>166</v>
      </c>
    </row>
    <row r="785" spans="1:15" x14ac:dyDescent="0.45">
      <c r="A785" s="11" t="s">
        <v>921</v>
      </c>
      <c r="B785" s="14" t="s">
        <v>922</v>
      </c>
      <c r="C785" s="13">
        <v>105</v>
      </c>
      <c r="D785" s="14">
        <v>0.11</v>
      </c>
      <c r="E785" s="14">
        <v>0.1</v>
      </c>
      <c r="F785" s="14">
        <v>0.13</v>
      </c>
      <c r="G785" s="14">
        <v>0</v>
      </c>
      <c r="H785" s="18">
        <v>0</v>
      </c>
      <c r="I785" s="14">
        <v>1</v>
      </c>
      <c r="J785" s="14">
        <v>593</v>
      </c>
      <c r="K785" s="18">
        <v>0.53029999999999999</v>
      </c>
      <c r="L785" s="26" t="b">
        <f t="shared" si="59"/>
        <v>0</v>
      </c>
      <c r="M785" s="26" t="str">
        <f t="shared" si="56"/>
        <v>put</v>
      </c>
      <c r="N785" s="28">
        <f t="shared" si="57"/>
        <v>46101</v>
      </c>
      <c r="O785" s="29">
        <f t="shared" si="58"/>
        <v>166</v>
      </c>
    </row>
    <row r="786" spans="1:15" x14ac:dyDescent="0.45">
      <c r="A786" s="11" t="s">
        <v>923</v>
      </c>
      <c r="B786" s="14" t="s">
        <v>924</v>
      </c>
      <c r="C786" s="13">
        <v>110</v>
      </c>
      <c r="D786" s="14">
        <v>0.13</v>
      </c>
      <c r="E786" s="14">
        <v>0.11</v>
      </c>
      <c r="F786" s="14">
        <v>0.15</v>
      </c>
      <c r="G786" s="14">
        <v>0</v>
      </c>
      <c r="H786" s="18">
        <v>0</v>
      </c>
      <c r="I786" s="14">
        <v>1</v>
      </c>
      <c r="J786" s="14">
        <v>519</v>
      </c>
      <c r="K786" s="18">
        <v>0.51170000000000004</v>
      </c>
      <c r="L786" s="26" t="b">
        <f t="shared" si="59"/>
        <v>0</v>
      </c>
      <c r="M786" s="26" t="str">
        <f t="shared" si="56"/>
        <v>put</v>
      </c>
      <c r="N786" s="28">
        <f t="shared" si="57"/>
        <v>46101</v>
      </c>
      <c r="O786" s="29">
        <f t="shared" si="58"/>
        <v>166</v>
      </c>
    </row>
    <row r="787" spans="1:15" x14ac:dyDescent="0.45">
      <c r="A787" s="11" t="s">
        <v>925</v>
      </c>
      <c r="B787" s="12">
        <v>45726.515277777777</v>
      </c>
      <c r="C787" s="13">
        <v>115</v>
      </c>
      <c r="D787" s="14">
        <v>0.14000000000000001</v>
      </c>
      <c r="E787" s="14">
        <v>0.13</v>
      </c>
      <c r="F787" s="14">
        <v>0.17</v>
      </c>
      <c r="G787" s="15">
        <v>-0.04</v>
      </c>
      <c r="H787" s="16">
        <v>-0.22220000000000001</v>
      </c>
      <c r="I787" s="14">
        <v>23</v>
      </c>
      <c r="J787" s="14">
        <v>506</v>
      </c>
      <c r="K787" s="18">
        <v>0.50290000000000001</v>
      </c>
      <c r="L787" s="26" t="b">
        <f t="shared" si="59"/>
        <v>0</v>
      </c>
      <c r="M787" s="26" t="str">
        <f t="shared" si="56"/>
        <v>put</v>
      </c>
      <c r="N787" s="28">
        <f t="shared" si="57"/>
        <v>46101</v>
      </c>
      <c r="O787" s="29">
        <f t="shared" si="58"/>
        <v>166</v>
      </c>
    </row>
    <row r="788" spans="1:15" x14ac:dyDescent="0.45">
      <c r="A788" s="11" t="s">
        <v>926</v>
      </c>
      <c r="B788" s="12">
        <v>45726.652777777781</v>
      </c>
      <c r="C788" s="13">
        <v>120</v>
      </c>
      <c r="D788" s="14">
        <v>0.17</v>
      </c>
      <c r="E788" s="14">
        <v>0.16</v>
      </c>
      <c r="F788" s="14">
        <v>0.2</v>
      </c>
      <c r="G788" s="14">
        <v>-0.04</v>
      </c>
      <c r="H788" s="18">
        <v>-0.1905</v>
      </c>
      <c r="I788" s="14">
        <v>2</v>
      </c>
      <c r="J788" s="14">
        <v>567</v>
      </c>
      <c r="K788" s="18">
        <v>0.48830000000000001</v>
      </c>
      <c r="L788" s="26" t="b">
        <f t="shared" si="59"/>
        <v>0</v>
      </c>
      <c r="M788" s="26" t="str">
        <f t="shared" si="56"/>
        <v>put</v>
      </c>
      <c r="N788" s="28">
        <f t="shared" si="57"/>
        <v>46101</v>
      </c>
      <c r="O788" s="29">
        <f t="shared" si="58"/>
        <v>166</v>
      </c>
    </row>
    <row r="789" spans="1:15" x14ac:dyDescent="0.45">
      <c r="A789" s="11" t="s">
        <v>927</v>
      </c>
      <c r="B789" s="12">
        <v>45698.65347222222</v>
      </c>
      <c r="C789" s="13">
        <v>125</v>
      </c>
      <c r="D789" s="14">
        <v>0.23</v>
      </c>
      <c r="E789" s="14">
        <v>0.2</v>
      </c>
      <c r="F789" s="14">
        <v>0.23</v>
      </c>
      <c r="G789" s="14">
        <v>0</v>
      </c>
      <c r="H789" s="18">
        <v>0</v>
      </c>
      <c r="I789" s="14">
        <v>6</v>
      </c>
      <c r="J789" s="17">
        <v>1067</v>
      </c>
      <c r="K789" s="18">
        <v>0.47270000000000001</v>
      </c>
      <c r="L789" s="26" t="b">
        <f t="shared" si="59"/>
        <v>0</v>
      </c>
      <c r="M789" s="26" t="str">
        <f t="shared" si="56"/>
        <v>put</v>
      </c>
      <c r="N789" s="28">
        <f t="shared" si="57"/>
        <v>46101</v>
      </c>
      <c r="O789" s="29">
        <f t="shared" si="58"/>
        <v>166</v>
      </c>
    </row>
    <row r="790" spans="1:15" x14ac:dyDescent="0.45">
      <c r="A790" s="11" t="s">
        <v>928</v>
      </c>
      <c r="B790" s="12">
        <v>45726.619444444441</v>
      </c>
      <c r="C790" s="13">
        <v>130</v>
      </c>
      <c r="D790" s="14">
        <v>0.26</v>
      </c>
      <c r="E790" s="14">
        <v>0.24</v>
      </c>
      <c r="F790" s="14">
        <v>0.27</v>
      </c>
      <c r="G790" s="14">
        <v>0</v>
      </c>
      <c r="H790" s="18">
        <v>0</v>
      </c>
      <c r="I790" s="14">
        <v>5</v>
      </c>
      <c r="J790" s="14">
        <v>263</v>
      </c>
      <c r="K790" s="18">
        <v>0.45950000000000002</v>
      </c>
      <c r="L790" s="26" t="b">
        <f t="shared" si="59"/>
        <v>0</v>
      </c>
      <c r="M790" s="26" t="str">
        <f t="shared" si="56"/>
        <v>put</v>
      </c>
      <c r="N790" s="28">
        <f t="shared" si="57"/>
        <v>46101</v>
      </c>
      <c r="O790" s="29">
        <f t="shared" si="58"/>
        <v>166</v>
      </c>
    </row>
    <row r="791" spans="1:15" x14ac:dyDescent="0.45">
      <c r="A791" s="11" t="s">
        <v>929</v>
      </c>
      <c r="B791" s="12">
        <v>45726.652777777781</v>
      </c>
      <c r="C791" s="13">
        <v>135</v>
      </c>
      <c r="D791" s="14">
        <v>0.3</v>
      </c>
      <c r="E791" s="14">
        <v>0.25</v>
      </c>
      <c r="F791" s="14">
        <v>0.32</v>
      </c>
      <c r="G791" s="19">
        <v>0.01</v>
      </c>
      <c r="H791" s="20">
        <v>3.4500000000000003E-2</v>
      </c>
      <c r="I791" s="14">
        <v>6</v>
      </c>
      <c r="J791" s="14">
        <v>751</v>
      </c>
      <c r="K791" s="18">
        <v>0.44679999999999997</v>
      </c>
      <c r="L791" s="26" t="b">
        <f t="shared" si="59"/>
        <v>0</v>
      </c>
      <c r="M791" s="26" t="str">
        <f t="shared" si="56"/>
        <v>put</v>
      </c>
      <c r="N791" s="28">
        <f t="shared" si="57"/>
        <v>46101</v>
      </c>
      <c r="O791" s="29">
        <f t="shared" si="58"/>
        <v>166</v>
      </c>
    </row>
    <row r="792" spans="1:15" x14ac:dyDescent="0.45">
      <c r="A792" s="11" t="s">
        <v>930</v>
      </c>
      <c r="B792" s="12">
        <v>45726.652083333334</v>
      </c>
      <c r="C792" s="13">
        <v>140</v>
      </c>
      <c r="D792" s="14">
        <v>0.34</v>
      </c>
      <c r="E792" s="14">
        <v>0.33</v>
      </c>
      <c r="F792" s="14">
        <v>0.37</v>
      </c>
      <c r="G792" s="19">
        <v>0.01</v>
      </c>
      <c r="H792" s="20">
        <v>3.0300000000000001E-2</v>
      </c>
      <c r="I792" s="14">
        <v>14</v>
      </c>
      <c r="J792" s="17">
        <v>1642</v>
      </c>
      <c r="K792" s="18">
        <v>0.43309999999999998</v>
      </c>
      <c r="L792" s="26" t="b">
        <f t="shared" si="59"/>
        <v>0</v>
      </c>
      <c r="M792" s="26" t="str">
        <f t="shared" si="56"/>
        <v>put</v>
      </c>
      <c r="N792" s="28">
        <f t="shared" si="57"/>
        <v>46101</v>
      </c>
      <c r="O792" s="29">
        <f t="shared" si="58"/>
        <v>166</v>
      </c>
    </row>
    <row r="793" spans="1:15" x14ac:dyDescent="0.45">
      <c r="A793" s="11" t="s">
        <v>931</v>
      </c>
      <c r="B793" s="12">
        <v>45667.395833333336</v>
      </c>
      <c r="C793" s="13">
        <v>145</v>
      </c>
      <c r="D793" s="14">
        <v>0.42</v>
      </c>
      <c r="E793" s="14">
        <v>0.4</v>
      </c>
      <c r="F793" s="14">
        <v>0.43</v>
      </c>
      <c r="G793" s="14">
        <v>-0.04</v>
      </c>
      <c r="H793" s="18">
        <v>-8.6999999999999994E-2</v>
      </c>
      <c r="I793" s="14">
        <v>1</v>
      </c>
      <c r="J793" s="14">
        <v>918</v>
      </c>
      <c r="K793" s="18">
        <v>0.42020000000000002</v>
      </c>
      <c r="L793" s="26" t="b">
        <f t="shared" si="59"/>
        <v>0</v>
      </c>
      <c r="M793" s="26" t="str">
        <f t="shared" si="56"/>
        <v>put</v>
      </c>
      <c r="N793" s="28">
        <f t="shared" si="57"/>
        <v>46101</v>
      </c>
      <c r="O793" s="29">
        <f t="shared" si="58"/>
        <v>166</v>
      </c>
    </row>
    <row r="794" spans="1:15" x14ac:dyDescent="0.45">
      <c r="A794" s="11" t="s">
        <v>932</v>
      </c>
      <c r="B794" s="12">
        <v>45698.643055555556</v>
      </c>
      <c r="C794" s="13">
        <v>150</v>
      </c>
      <c r="D794" s="14">
        <v>0.52</v>
      </c>
      <c r="E794" s="14">
        <v>0.47</v>
      </c>
      <c r="F794" s="14">
        <v>0.51</v>
      </c>
      <c r="G794" s="15">
        <v>0</v>
      </c>
      <c r="H794" s="16">
        <v>0</v>
      </c>
      <c r="I794" s="17">
        <v>1090</v>
      </c>
      <c r="J794" s="17">
        <v>2930</v>
      </c>
      <c r="K794" s="18">
        <v>0.40920000000000001</v>
      </c>
      <c r="L794" s="26" t="b">
        <f t="shared" si="59"/>
        <v>0</v>
      </c>
      <c r="M794" s="26" t="str">
        <f t="shared" si="56"/>
        <v>put</v>
      </c>
      <c r="N794" s="28">
        <f t="shared" si="57"/>
        <v>46101</v>
      </c>
      <c r="O794" s="29">
        <f t="shared" si="58"/>
        <v>166</v>
      </c>
    </row>
    <row r="795" spans="1:15" x14ac:dyDescent="0.45">
      <c r="A795" s="11" t="s">
        <v>933</v>
      </c>
      <c r="B795" s="12">
        <v>45698.645833333336</v>
      </c>
      <c r="C795" s="13">
        <v>155</v>
      </c>
      <c r="D795" s="14">
        <v>0.6</v>
      </c>
      <c r="E795" s="14">
        <v>0.56000000000000005</v>
      </c>
      <c r="F795" s="14">
        <v>0.59</v>
      </c>
      <c r="G795" s="15">
        <v>0</v>
      </c>
      <c r="H795" s="16">
        <v>0</v>
      </c>
      <c r="I795" s="14">
        <v>2</v>
      </c>
      <c r="J795" s="17">
        <v>3196</v>
      </c>
      <c r="K795" s="18">
        <v>0.3967</v>
      </c>
      <c r="L795" s="26" t="b">
        <f t="shared" si="59"/>
        <v>0</v>
      </c>
      <c r="M795" s="26" t="str">
        <f t="shared" si="56"/>
        <v>put</v>
      </c>
      <c r="N795" s="28">
        <f t="shared" si="57"/>
        <v>46101</v>
      </c>
      <c r="O795" s="29">
        <f t="shared" si="58"/>
        <v>166</v>
      </c>
    </row>
    <row r="796" spans="1:15" x14ac:dyDescent="0.45">
      <c r="A796" s="11" t="s">
        <v>934</v>
      </c>
      <c r="B796" s="12">
        <v>45698.600694444445</v>
      </c>
      <c r="C796" s="13">
        <v>160</v>
      </c>
      <c r="D796" s="14">
        <v>0.69</v>
      </c>
      <c r="E796" s="14">
        <v>0.66</v>
      </c>
      <c r="F796" s="14">
        <v>0.7</v>
      </c>
      <c r="G796" s="15">
        <v>0</v>
      </c>
      <c r="H796" s="16">
        <v>0</v>
      </c>
      <c r="I796" s="14">
        <v>120</v>
      </c>
      <c r="J796" s="17">
        <v>5746</v>
      </c>
      <c r="K796" s="18">
        <v>0.38619999999999999</v>
      </c>
      <c r="L796" s="26" t="b">
        <f t="shared" si="59"/>
        <v>0</v>
      </c>
      <c r="M796" s="26" t="str">
        <f t="shared" si="56"/>
        <v>put</v>
      </c>
      <c r="N796" s="28">
        <f t="shared" si="57"/>
        <v>46101</v>
      </c>
      <c r="O796" s="29">
        <f t="shared" si="58"/>
        <v>166</v>
      </c>
    </row>
    <row r="797" spans="1:15" x14ac:dyDescent="0.45">
      <c r="A797" s="11" t="s">
        <v>935</v>
      </c>
      <c r="B797" s="12">
        <v>45726.428472222222</v>
      </c>
      <c r="C797" s="13">
        <v>165</v>
      </c>
      <c r="D797" s="14">
        <v>0.79</v>
      </c>
      <c r="E797" s="14">
        <v>0.78</v>
      </c>
      <c r="F797" s="14">
        <v>0.81</v>
      </c>
      <c r="G797" s="14">
        <v>0.02</v>
      </c>
      <c r="H797" s="18">
        <v>2.5999999999999999E-2</v>
      </c>
      <c r="I797" s="14">
        <v>153</v>
      </c>
      <c r="J797" s="17">
        <v>4173</v>
      </c>
      <c r="K797" s="18">
        <v>0.3745</v>
      </c>
      <c r="L797" s="26" t="b">
        <f t="shared" si="59"/>
        <v>0</v>
      </c>
      <c r="M797" s="26" t="str">
        <f t="shared" si="56"/>
        <v>put</v>
      </c>
      <c r="N797" s="28">
        <f t="shared" si="57"/>
        <v>46101</v>
      </c>
      <c r="O797" s="29">
        <f t="shared" si="58"/>
        <v>166</v>
      </c>
    </row>
    <row r="798" spans="1:15" x14ac:dyDescent="0.45">
      <c r="A798" s="11" t="s">
        <v>936</v>
      </c>
      <c r="B798" s="12">
        <v>45726.661111111112</v>
      </c>
      <c r="C798" s="13">
        <v>170</v>
      </c>
      <c r="D798" s="14">
        <v>0.94</v>
      </c>
      <c r="E798" s="14">
        <v>0.92</v>
      </c>
      <c r="F798" s="14">
        <v>0.96</v>
      </c>
      <c r="G798" s="15">
        <v>-0.03</v>
      </c>
      <c r="H798" s="16">
        <v>-3.09E-2</v>
      </c>
      <c r="I798" s="14">
        <v>111</v>
      </c>
      <c r="J798" s="17">
        <v>11043</v>
      </c>
      <c r="K798" s="18">
        <v>0.36480000000000001</v>
      </c>
      <c r="L798" s="26" t="b">
        <f t="shared" si="59"/>
        <v>0</v>
      </c>
      <c r="M798" s="26" t="str">
        <f t="shared" si="56"/>
        <v>put</v>
      </c>
      <c r="N798" s="28">
        <f t="shared" si="57"/>
        <v>46101</v>
      </c>
      <c r="O798" s="29">
        <f t="shared" si="58"/>
        <v>166</v>
      </c>
    </row>
    <row r="799" spans="1:15" x14ac:dyDescent="0.45">
      <c r="A799" s="11" t="s">
        <v>937</v>
      </c>
      <c r="B799" s="12">
        <v>45726.584722222222</v>
      </c>
      <c r="C799" s="13">
        <v>175</v>
      </c>
      <c r="D799" s="14">
        <v>1.1299999999999999</v>
      </c>
      <c r="E799" s="14">
        <v>1.08</v>
      </c>
      <c r="F799" s="14">
        <v>1.1200000000000001</v>
      </c>
      <c r="G799" s="19">
        <v>-0.01</v>
      </c>
      <c r="H799" s="20">
        <v>-8.8000000000000005E-3</v>
      </c>
      <c r="I799" s="14">
        <v>3</v>
      </c>
      <c r="J799" s="17">
        <v>6878</v>
      </c>
      <c r="K799" s="18">
        <v>0.35410000000000003</v>
      </c>
      <c r="L799" s="26" t="b">
        <f t="shared" si="59"/>
        <v>0</v>
      </c>
      <c r="M799" s="26" t="str">
        <f t="shared" si="56"/>
        <v>put</v>
      </c>
      <c r="N799" s="28">
        <f t="shared" si="57"/>
        <v>46101</v>
      </c>
      <c r="O799" s="29">
        <f t="shared" si="58"/>
        <v>166</v>
      </c>
    </row>
    <row r="800" spans="1:15" x14ac:dyDescent="0.45">
      <c r="A800" s="11" t="s">
        <v>938</v>
      </c>
      <c r="B800" s="12">
        <v>45726.584722222222</v>
      </c>
      <c r="C800" s="13">
        <v>180</v>
      </c>
      <c r="D800" s="14">
        <v>1.33</v>
      </c>
      <c r="E800" s="14">
        <v>1.27</v>
      </c>
      <c r="F800" s="14">
        <v>1.32</v>
      </c>
      <c r="G800" s="15">
        <v>0.03</v>
      </c>
      <c r="H800" s="16">
        <v>2.3099999999999999E-2</v>
      </c>
      <c r="I800" s="14">
        <v>109</v>
      </c>
      <c r="J800" s="17">
        <v>6620</v>
      </c>
      <c r="K800" s="18">
        <v>0.34449999999999997</v>
      </c>
      <c r="L800" s="26" t="b">
        <f t="shared" si="59"/>
        <v>0</v>
      </c>
      <c r="M800" s="26" t="str">
        <f t="shared" si="56"/>
        <v>put</v>
      </c>
      <c r="N800" s="28">
        <f t="shared" si="57"/>
        <v>46101</v>
      </c>
      <c r="O800" s="29">
        <f t="shared" si="58"/>
        <v>166</v>
      </c>
    </row>
    <row r="801" spans="1:15" x14ac:dyDescent="0.45">
      <c r="A801" s="11" t="s">
        <v>939</v>
      </c>
      <c r="B801" s="12">
        <v>45726.62777777778</v>
      </c>
      <c r="C801" s="13">
        <v>185</v>
      </c>
      <c r="D801" s="14">
        <v>1.49</v>
      </c>
      <c r="E801" s="14">
        <v>1.5</v>
      </c>
      <c r="F801" s="14">
        <v>1.54</v>
      </c>
      <c r="G801" s="15">
        <v>-0.09</v>
      </c>
      <c r="H801" s="16">
        <v>-5.7000000000000002E-2</v>
      </c>
      <c r="I801" s="14">
        <v>72</v>
      </c>
      <c r="J801" s="17">
        <v>3468</v>
      </c>
      <c r="K801" s="18">
        <v>0.33439999999999998</v>
      </c>
      <c r="L801" s="26" t="b">
        <f t="shared" si="59"/>
        <v>0</v>
      </c>
      <c r="M801" s="26" t="str">
        <f t="shared" si="56"/>
        <v>put</v>
      </c>
      <c r="N801" s="28">
        <f t="shared" si="57"/>
        <v>46101</v>
      </c>
      <c r="O801" s="29">
        <f t="shared" si="58"/>
        <v>166</v>
      </c>
    </row>
    <row r="802" spans="1:15" x14ac:dyDescent="0.45">
      <c r="A802" s="11" t="s">
        <v>940</v>
      </c>
      <c r="B802" s="12">
        <v>45726.581250000003</v>
      </c>
      <c r="C802" s="13">
        <v>190</v>
      </c>
      <c r="D802" s="14">
        <v>1.81</v>
      </c>
      <c r="E802" s="14">
        <v>1.77</v>
      </c>
      <c r="F802" s="14">
        <v>1.82</v>
      </c>
      <c r="G802" s="15">
        <v>-0.05</v>
      </c>
      <c r="H802" s="16">
        <v>-2.69E-2</v>
      </c>
      <c r="I802" s="14">
        <v>7</v>
      </c>
      <c r="J802" s="17">
        <v>7920</v>
      </c>
      <c r="K802" s="18">
        <v>0.3256</v>
      </c>
      <c r="L802" s="26" t="b">
        <f t="shared" si="59"/>
        <v>0</v>
      </c>
      <c r="M802" s="26" t="str">
        <f t="shared" si="56"/>
        <v>put</v>
      </c>
      <c r="N802" s="28">
        <f t="shared" si="57"/>
        <v>46101</v>
      </c>
      <c r="O802" s="29">
        <f t="shared" si="58"/>
        <v>166</v>
      </c>
    </row>
    <row r="803" spans="1:15" x14ac:dyDescent="0.45">
      <c r="A803" s="11" t="s">
        <v>941</v>
      </c>
      <c r="B803" s="12">
        <v>45698.588888888888</v>
      </c>
      <c r="C803" s="13">
        <v>195</v>
      </c>
      <c r="D803" s="14">
        <v>2.06</v>
      </c>
      <c r="E803" s="14">
        <v>2.09</v>
      </c>
      <c r="F803" s="14">
        <v>2.14</v>
      </c>
      <c r="G803" s="15">
        <v>-0.12</v>
      </c>
      <c r="H803" s="16">
        <v>-5.5E-2</v>
      </c>
      <c r="I803" s="14">
        <v>1</v>
      </c>
      <c r="J803" s="17">
        <v>7371</v>
      </c>
      <c r="K803" s="18">
        <v>0.3165</v>
      </c>
      <c r="L803" s="26" t="b">
        <f t="shared" si="59"/>
        <v>0</v>
      </c>
      <c r="M803" s="26" t="str">
        <f t="shared" si="56"/>
        <v>put</v>
      </c>
      <c r="N803" s="28">
        <f t="shared" si="57"/>
        <v>46101</v>
      </c>
      <c r="O803" s="29">
        <f t="shared" si="58"/>
        <v>166</v>
      </c>
    </row>
    <row r="804" spans="1:15" x14ac:dyDescent="0.45">
      <c r="A804" s="11" t="s">
        <v>942</v>
      </c>
      <c r="B804" s="12">
        <v>45726.611111111109</v>
      </c>
      <c r="C804" s="13">
        <v>200</v>
      </c>
      <c r="D804" s="14">
        <v>2.48</v>
      </c>
      <c r="E804" s="14">
        <v>2.4700000000000002</v>
      </c>
      <c r="F804" s="14">
        <v>2.52</v>
      </c>
      <c r="G804" s="15">
        <v>-0.06</v>
      </c>
      <c r="H804" s="16">
        <v>-2.3599999999999999E-2</v>
      </c>
      <c r="I804" s="14">
        <v>283</v>
      </c>
      <c r="J804" s="17">
        <v>7531</v>
      </c>
      <c r="K804" s="18">
        <v>0.30790000000000001</v>
      </c>
      <c r="L804" s="26" t="b">
        <f t="shared" si="59"/>
        <v>0</v>
      </c>
      <c r="M804" s="26" t="str">
        <f t="shared" si="56"/>
        <v>put</v>
      </c>
      <c r="N804" s="28">
        <f t="shared" si="57"/>
        <v>46101</v>
      </c>
      <c r="O804" s="29">
        <f t="shared" si="58"/>
        <v>166</v>
      </c>
    </row>
    <row r="805" spans="1:15" x14ac:dyDescent="0.45">
      <c r="A805" s="11" t="s">
        <v>943</v>
      </c>
      <c r="B805" s="12">
        <v>45726.650694444441</v>
      </c>
      <c r="C805" s="13">
        <v>210</v>
      </c>
      <c r="D805" s="14">
        <v>3.48</v>
      </c>
      <c r="E805" s="14">
        <v>3.4</v>
      </c>
      <c r="F805" s="14">
        <v>3.5</v>
      </c>
      <c r="G805" s="15">
        <v>-0.12</v>
      </c>
      <c r="H805" s="16">
        <v>-3.3300000000000003E-2</v>
      </c>
      <c r="I805" s="14">
        <v>242</v>
      </c>
      <c r="J805" s="17">
        <v>12695</v>
      </c>
      <c r="K805" s="18">
        <v>0.29149999999999998</v>
      </c>
      <c r="L805" s="26" t="b">
        <f t="shared" si="59"/>
        <v>0</v>
      </c>
      <c r="M805" s="26" t="str">
        <f t="shared" si="56"/>
        <v>put</v>
      </c>
      <c r="N805" s="28">
        <f t="shared" si="57"/>
        <v>46101</v>
      </c>
      <c r="O805" s="29">
        <f t="shared" si="58"/>
        <v>166</v>
      </c>
    </row>
    <row r="806" spans="1:15" x14ac:dyDescent="0.45">
      <c r="A806" s="11" t="s">
        <v>944</v>
      </c>
      <c r="B806" s="12">
        <v>45726.61041666667</v>
      </c>
      <c r="C806" s="13">
        <v>220</v>
      </c>
      <c r="D806" s="14">
        <v>4.75</v>
      </c>
      <c r="E806" s="14">
        <v>4.75</v>
      </c>
      <c r="F806" s="14">
        <v>4.8499999999999996</v>
      </c>
      <c r="G806" s="15">
        <v>-0.25</v>
      </c>
      <c r="H806" s="16">
        <v>-0.05</v>
      </c>
      <c r="I806" s="14">
        <v>262</v>
      </c>
      <c r="J806" s="17">
        <v>14491</v>
      </c>
      <c r="K806" s="18">
        <v>0.2762</v>
      </c>
      <c r="L806" s="26" t="b">
        <f t="shared" si="59"/>
        <v>0</v>
      </c>
      <c r="M806" s="26" t="str">
        <f t="shared" si="56"/>
        <v>put</v>
      </c>
      <c r="N806" s="28">
        <f t="shared" si="57"/>
        <v>46101</v>
      </c>
      <c r="O806" s="29">
        <f t="shared" si="58"/>
        <v>166</v>
      </c>
    </row>
    <row r="807" spans="1:15" x14ac:dyDescent="0.45">
      <c r="A807" s="11" t="s">
        <v>945</v>
      </c>
      <c r="B807" s="12">
        <v>45726.6</v>
      </c>
      <c r="C807" s="13">
        <v>230</v>
      </c>
      <c r="D807" s="14">
        <v>6.65</v>
      </c>
      <c r="E807" s="14">
        <v>6.55</v>
      </c>
      <c r="F807" s="14">
        <v>6.7</v>
      </c>
      <c r="G807" s="15">
        <v>-0.26</v>
      </c>
      <c r="H807" s="16">
        <v>-3.7600000000000001E-2</v>
      </c>
      <c r="I807" s="14">
        <v>899</v>
      </c>
      <c r="J807" s="17">
        <v>7429</v>
      </c>
      <c r="K807" s="18">
        <v>0.26190000000000002</v>
      </c>
      <c r="L807" s="26" t="b">
        <f t="shared" si="59"/>
        <v>0</v>
      </c>
      <c r="M807" s="26" t="str">
        <f t="shared" si="56"/>
        <v>put</v>
      </c>
      <c r="N807" s="28">
        <f t="shared" si="57"/>
        <v>46101</v>
      </c>
      <c r="O807" s="29">
        <f t="shared" si="58"/>
        <v>166</v>
      </c>
    </row>
    <row r="808" spans="1:15" x14ac:dyDescent="0.45">
      <c r="A808" s="11" t="s">
        <v>946</v>
      </c>
      <c r="B808" s="12">
        <v>45726.609722222223</v>
      </c>
      <c r="C808" s="13">
        <v>240</v>
      </c>
      <c r="D808" s="14">
        <v>9.0500000000000007</v>
      </c>
      <c r="E808" s="14">
        <v>9</v>
      </c>
      <c r="F808" s="14">
        <v>9.15</v>
      </c>
      <c r="G808" s="15">
        <v>-0.4</v>
      </c>
      <c r="H808" s="16">
        <v>-4.2299999999999997E-2</v>
      </c>
      <c r="I808" s="14">
        <v>117</v>
      </c>
      <c r="J808" s="17">
        <v>6101</v>
      </c>
      <c r="K808" s="18">
        <v>0.248</v>
      </c>
      <c r="L808" s="26" t="b">
        <f t="shared" si="59"/>
        <v>0</v>
      </c>
      <c r="M808" s="26" t="str">
        <f t="shared" si="56"/>
        <v>put</v>
      </c>
      <c r="N808" s="28">
        <f t="shared" si="57"/>
        <v>46101</v>
      </c>
      <c r="O808" s="29">
        <f t="shared" si="58"/>
        <v>166</v>
      </c>
    </row>
    <row r="809" spans="1:15" x14ac:dyDescent="0.45">
      <c r="A809" s="11" t="s">
        <v>947</v>
      </c>
      <c r="B809" s="12">
        <v>45726.642361111109</v>
      </c>
      <c r="C809" s="13">
        <v>250</v>
      </c>
      <c r="D809" s="14">
        <v>12.35</v>
      </c>
      <c r="E809" s="14">
        <v>12.2</v>
      </c>
      <c r="F809" s="14">
        <v>12.35</v>
      </c>
      <c r="G809" s="15">
        <v>-0.4</v>
      </c>
      <c r="H809" s="16">
        <v>-3.1399999999999997E-2</v>
      </c>
      <c r="I809" s="14">
        <v>233</v>
      </c>
      <c r="J809" s="17">
        <v>10759</v>
      </c>
      <c r="K809" s="18">
        <v>0.2344</v>
      </c>
      <c r="L809" s="26" t="b">
        <f t="shared" si="59"/>
        <v>0</v>
      </c>
      <c r="M809" s="26" t="str">
        <f t="shared" si="56"/>
        <v>put</v>
      </c>
      <c r="N809" s="28">
        <f t="shared" si="57"/>
        <v>46101</v>
      </c>
      <c r="O809" s="29">
        <f t="shared" si="58"/>
        <v>166</v>
      </c>
    </row>
    <row r="810" spans="1:15" x14ac:dyDescent="0.45">
      <c r="A810" s="1" t="s">
        <v>948</v>
      </c>
      <c r="B810" s="2">
        <v>45726.602777777778</v>
      </c>
      <c r="C810" s="3">
        <v>260</v>
      </c>
      <c r="D810" s="4">
        <v>16.149999999999999</v>
      </c>
      <c r="E810" s="4">
        <v>16.3</v>
      </c>
      <c r="F810" s="4">
        <v>16.5</v>
      </c>
      <c r="G810" s="8">
        <v>-0.65</v>
      </c>
      <c r="H810" s="9">
        <v>-3.8699999999999998E-2</v>
      </c>
      <c r="I810" s="4">
        <v>143</v>
      </c>
      <c r="J810" s="10">
        <v>2549</v>
      </c>
      <c r="K810" s="5">
        <v>0.22189999999999999</v>
      </c>
      <c r="L810" s="26" t="b">
        <f t="shared" si="59"/>
        <v>1</v>
      </c>
      <c r="M810" s="26" t="str">
        <f t="shared" si="56"/>
        <v>put</v>
      </c>
      <c r="N810" s="28">
        <f t="shared" si="57"/>
        <v>46101</v>
      </c>
      <c r="O810" s="29">
        <f t="shared" si="58"/>
        <v>166</v>
      </c>
    </row>
    <row r="811" spans="1:15" x14ac:dyDescent="0.45">
      <c r="A811" s="1" t="s">
        <v>949</v>
      </c>
      <c r="B811" s="2">
        <v>45726.585416666669</v>
      </c>
      <c r="C811" s="3">
        <v>270</v>
      </c>
      <c r="D811" s="4">
        <v>22.05</v>
      </c>
      <c r="E811" s="4">
        <v>21.5</v>
      </c>
      <c r="F811" s="4">
        <v>21.65</v>
      </c>
      <c r="G811" s="8">
        <v>0</v>
      </c>
      <c r="H811" s="9">
        <v>0</v>
      </c>
      <c r="I811" s="4">
        <v>20</v>
      </c>
      <c r="J811" s="4">
        <v>199</v>
      </c>
      <c r="K811" s="5">
        <v>0.20949999999999999</v>
      </c>
      <c r="L811" s="26" t="b">
        <f t="shared" si="59"/>
        <v>1</v>
      </c>
      <c r="M811" s="26" t="str">
        <f t="shared" si="56"/>
        <v>put</v>
      </c>
      <c r="N811" s="28">
        <f t="shared" si="57"/>
        <v>46101</v>
      </c>
      <c r="O811" s="29">
        <f t="shared" si="58"/>
        <v>166</v>
      </c>
    </row>
    <row r="812" spans="1:15" x14ac:dyDescent="0.45">
      <c r="A812" s="1" t="s">
        <v>950</v>
      </c>
      <c r="B812" s="2">
        <v>45726.62777777778</v>
      </c>
      <c r="C812" s="3">
        <v>280</v>
      </c>
      <c r="D812" s="4">
        <v>27.62</v>
      </c>
      <c r="E812" s="4">
        <v>27.4</v>
      </c>
      <c r="F812" s="4">
        <v>28.05</v>
      </c>
      <c r="G812" s="8">
        <v>-0.71</v>
      </c>
      <c r="H812" s="9">
        <v>-2.5100000000000001E-2</v>
      </c>
      <c r="I812" s="4">
        <v>6</v>
      </c>
      <c r="J812" s="4">
        <v>157</v>
      </c>
      <c r="K812" s="5">
        <v>0.2</v>
      </c>
      <c r="L812" s="26" t="b">
        <f t="shared" si="59"/>
        <v>1</v>
      </c>
      <c r="M812" s="26" t="str">
        <f t="shared" si="56"/>
        <v>put</v>
      </c>
      <c r="N812" s="28">
        <f t="shared" si="57"/>
        <v>46101</v>
      </c>
      <c r="O812" s="29">
        <f t="shared" si="58"/>
        <v>166</v>
      </c>
    </row>
    <row r="813" spans="1:15" x14ac:dyDescent="0.45">
      <c r="A813" s="1" t="s">
        <v>951</v>
      </c>
      <c r="B813" s="2">
        <v>45726.631249999999</v>
      </c>
      <c r="C813" s="3">
        <v>290</v>
      </c>
      <c r="D813" s="4">
        <v>35.14</v>
      </c>
      <c r="E813" s="4">
        <v>34.6</v>
      </c>
      <c r="F813" s="4">
        <v>35.299999999999997</v>
      </c>
      <c r="G813" s="8">
        <v>-0.45</v>
      </c>
      <c r="H813" s="9">
        <v>-1.26E-2</v>
      </c>
      <c r="I813" s="4">
        <v>6</v>
      </c>
      <c r="J813" s="4">
        <v>15</v>
      </c>
      <c r="K813" s="5">
        <v>0.18720000000000001</v>
      </c>
      <c r="L813" s="26" t="b">
        <f t="shared" si="59"/>
        <v>1</v>
      </c>
      <c r="M813" s="26" t="str">
        <f t="shared" si="56"/>
        <v>put</v>
      </c>
      <c r="N813" s="28">
        <f t="shared" si="57"/>
        <v>46101</v>
      </c>
      <c r="O813" s="29">
        <f t="shared" si="58"/>
        <v>166</v>
      </c>
    </row>
    <row r="814" spans="1:15" x14ac:dyDescent="0.45">
      <c r="A814" s="1" t="s">
        <v>952</v>
      </c>
      <c r="B814" s="2">
        <v>45726.595138888886</v>
      </c>
      <c r="C814" s="3">
        <v>300</v>
      </c>
      <c r="D814" s="4">
        <v>43.74</v>
      </c>
      <c r="E814" s="4">
        <v>42.95</v>
      </c>
      <c r="F814" s="4">
        <v>43.55</v>
      </c>
      <c r="G814" s="8">
        <v>-0.01</v>
      </c>
      <c r="H814" s="9">
        <v>-2.0000000000000001E-4</v>
      </c>
      <c r="I814" s="4">
        <v>8</v>
      </c>
      <c r="J814" s="4">
        <v>26</v>
      </c>
      <c r="K814" s="5">
        <v>0.1749</v>
      </c>
      <c r="L814" s="26" t="b">
        <f t="shared" si="59"/>
        <v>1</v>
      </c>
      <c r="M814" s="26" t="str">
        <f t="shared" si="56"/>
        <v>put</v>
      </c>
      <c r="N814" s="28">
        <f t="shared" si="57"/>
        <v>46101</v>
      </c>
      <c r="O814" s="29">
        <f t="shared" si="58"/>
        <v>166</v>
      </c>
    </row>
    <row r="815" spans="1:15" x14ac:dyDescent="0.45">
      <c r="A815" s="1" t="s">
        <v>953</v>
      </c>
      <c r="B815" s="4" t="s">
        <v>954</v>
      </c>
      <c r="C815" s="3">
        <v>310</v>
      </c>
      <c r="D815" s="4">
        <v>55.19</v>
      </c>
      <c r="E815" s="4">
        <v>51.9</v>
      </c>
      <c r="F815" s="4">
        <v>52.85</v>
      </c>
      <c r="G815" s="8">
        <v>0</v>
      </c>
      <c r="H815" s="9">
        <v>0</v>
      </c>
      <c r="I815" s="4">
        <v>2</v>
      </c>
      <c r="J815" s="4">
        <v>3</v>
      </c>
      <c r="K815" s="5">
        <v>0.17549999999999999</v>
      </c>
      <c r="L815" s="26" t="b">
        <f t="shared" si="59"/>
        <v>1</v>
      </c>
      <c r="M815" s="26" t="str">
        <f t="shared" si="56"/>
        <v>put</v>
      </c>
      <c r="N815" s="28">
        <f t="shared" si="57"/>
        <v>46101</v>
      </c>
      <c r="O815" s="29">
        <f t="shared" si="58"/>
        <v>166</v>
      </c>
    </row>
    <row r="816" spans="1:15" x14ac:dyDescent="0.45">
      <c r="A816" s="1" t="s">
        <v>955</v>
      </c>
      <c r="B816" s="4" t="s">
        <v>956</v>
      </c>
      <c r="C816" s="3">
        <v>320</v>
      </c>
      <c r="D816" s="4">
        <v>75.45</v>
      </c>
      <c r="E816" s="4">
        <v>105.2</v>
      </c>
      <c r="F816" s="4">
        <v>107.2</v>
      </c>
      <c r="G816" s="8">
        <v>0</v>
      </c>
      <c r="H816" s="9">
        <v>0</v>
      </c>
      <c r="I816" s="4">
        <v>0</v>
      </c>
      <c r="J816" s="4">
        <v>0</v>
      </c>
      <c r="K816" s="5">
        <v>0.92830000000000001</v>
      </c>
      <c r="L816" s="26" t="b">
        <f t="shared" si="59"/>
        <v>1</v>
      </c>
      <c r="M816" s="26" t="str">
        <f t="shared" si="56"/>
        <v>put</v>
      </c>
      <c r="N816" s="28">
        <f t="shared" si="57"/>
        <v>46101</v>
      </c>
      <c r="O816" s="29">
        <f t="shared" si="58"/>
        <v>166</v>
      </c>
    </row>
    <row r="817" spans="1:15" x14ac:dyDescent="0.45">
      <c r="A817" s="1" t="s">
        <v>957</v>
      </c>
      <c r="B817" s="4" t="s">
        <v>958</v>
      </c>
      <c r="C817" s="3">
        <v>350</v>
      </c>
      <c r="D817" s="4">
        <v>138.33000000000001</v>
      </c>
      <c r="E817" s="4">
        <v>152.44999999999999</v>
      </c>
      <c r="F817" s="4">
        <v>154.85</v>
      </c>
      <c r="G817" s="8">
        <v>0</v>
      </c>
      <c r="H817" s="9">
        <v>0</v>
      </c>
      <c r="I817" s="4">
        <v>1</v>
      </c>
      <c r="J817" s="4">
        <v>0</v>
      </c>
      <c r="K817" s="5">
        <v>1.2806</v>
      </c>
      <c r="L817" s="26" t="b">
        <f t="shared" si="59"/>
        <v>1</v>
      </c>
      <c r="M817" s="26" t="str">
        <f t="shared" si="56"/>
        <v>put</v>
      </c>
      <c r="N817" s="28">
        <f t="shared" si="57"/>
        <v>46101</v>
      </c>
      <c r="O817" s="29">
        <f t="shared" si="58"/>
        <v>166</v>
      </c>
    </row>
    <row r="818" spans="1:15" x14ac:dyDescent="0.45">
      <c r="A818" s="21" t="s">
        <v>959</v>
      </c>
      <c r="B818" s="22" t="s">
        <v>960</v>
      </c>
      <c r="C818" s="23">
        <v>360</v>
      </c>
      <c r="D818" s="22">
        <v>141.66999999999999</v>
      </c>
      <c r="E818" s="22">
        <v>161.44999999999999</v>
      </c>
      <c r="F818" s="22">
        <v>164.6</v>
      </c>
      <c r="G818" s="31">
        <v>0</v>
      </c>
      <c r="H818" s="32">
        <v>0</v>
      </c>
      <c r="I818" s="22">
        <v>0</v>
      </c>
      <c r="J818" s="22">
        <v>0</v>
      </c>
      <c r="K818" s="24">
        <v>1.3021</v>
      </c>
      <c r="L818" s="26" t="b">
        <f t="shared" si="59"/>
        <v>1</v>
      </c>
      <c r="M818" s="26" t="str">
        <f t="shared" si="56"/>
        <v>put</v>
      </c>
      <c r="N818" s="28">
        <f t="shared" si="57"/>
        <v>46101</v>
      </c>
      <c r="O818" s="29">
        <f t="shared" si="58"/>
        <v>166</v>
      </c>
    </row>
    <row r="819" spans="1:15" x14ac:dyDescent="0.45">
      <c r="A819" s="1" t="s">
        <v>961</v>
      </c>
      <c r="B819" s="2">
        <v>45843.395833333336</v>
      </c>
      <c r="C819" s="3">
        <v>370</v>
      </c>
      <c r="D819" s="4">
        <v>171.09</v>
      </c>
      <c r="E819" s="4">
        <v>0</v>
      </c>
      <c r="F819" s="4">
        <v>0</v>
      </c>
      <c r="G819" s="8">
        <v>0</v>
      </c>
      <c r="H819" s="9">
        <v>0</v>
      </c>
      <c r="I819" s="4">
        <v>1</v>
      </c>
      <c r="J819" s="4">
        <v>0</v>
      </c>
      <c r="K819" s="5">
        <v>0</v>
      </c>
      <c r="L819" s="26" t="b">
        <f t="shared" si="59"/>
        <v>1</v>
      </c>
      <c r="M819" s="26" t="str">
        <f t="shared" si="56"/>
        <v>put</v>
      </c>
      <c r="N819" s="28">
        <f t="shared" si="57"/>
        <v>46101</v>
      </c>
      <c r="O819" s="29">
        <f t="shared" si="58"/>
        <v>166</v>
      </c>
    </row>
    <row r="820" spans="1:15" x14ac:dyDescent="0.45">
      <c r="A820" s="1" t="s">
        <v>962</v>
      </c>
      <c r="B820" s="4" t="s">
        <v>963</v>
      </c>
      <c r="C820" s="3">
        <v>120</v>
      </c>
      <c r="D820" s="4">
        <v>120.62</v>
      </c>
      <c r="E820" s="4">
        <v>139.65</v>
      </c>
      <c r="F820" s="4">
        <v>141.6</v>
      </c>
      <c r="G820" s="4">
        <v>0</v>
      </c>
      <c r="H820" s="5">
        <v>0</v>
      </c>
      <c r="I820" s="4">
        <v>0</v>
      </c>
      <c r="J820" s="4">
        <v>1</v>
      </c>
      <c r="K820" s="5">
        <v>0.7</v>
      </c>
      <c r="L820" s="26" t="b">
        <f t="shared" si="59"/>
        <v>1</v>
      </c>
      <c r="M820" s="26" t="str">
        <f t="shared" si="56"/>
        <v>call</v>
      </c>
      <c r="N820" s="28">
        <f t="shared" si="57"/>
        <v>46129</v>
      </c>
      <c r="O820" s="29">
        <f t="shared" si="58"/>
        <v>194</v>
      </c>
    </row>
    <row r="821" spans="1:15" x14ac:dyDescent="0.45">
      <c r="A821" s="1" t="s">
        <v>964</v>
      </c>
      <c r="B821" s="4" t="s">
        <v>965</v>
      </c>
      <c r="C821" s="3">
        <v>125</v>
      </c>
      <c r="D821" s="4">
        <v>130.76</v>
      </c>
      <c r="E821" s="4">
        <v>134.75</v>
      </c>
      <c r="F821" s="4">
        <v>136.80000000000001</v>
      </c>
      <c r="G821" s="4">
        <v>0</v>
      </c>
      <c r="H821" s="5">
        <v>0</v>
      </c>
      <c r="I821" s="4">
        <v>1</v>
      </c>
      <c r="J821" s="4">
        <v>6</v>
      </c>
      <c r="K821" s="5">
        <v>0.67630000000000001</v>
      </c>
      <c r="L821" s="26" t="b">
        <f t="shared" si="59"/>
        <v>1</v>
      </c>
      <c r="M821" s="26" t="str">
        <f t="shared" si="56"/>
        <v>call</v>
      </c>
      <c r="N821" s="28">
        <f t="shared" si="57"/>
        <v>46129</v>
      </c>
      <c r="O821" s="29">
        <f t="shared" si="58"/>
        <v>194</v>
      </c>
    </row>
    <row r="822" spans="1:15" x14ac:dyDescent="0.45">
      <c r="A822" s="1" t="s">
        <v>966</v>
      </c>
      <c r="B822" s="2">
        <v>45667.414583333331</v>
      </c>
      <c r="C822" s="3">
        <v>140</v>
      </c>
      <c r="D822" s="4">
        <v>119.75</v>
      </c>
      <c r="E822" s="4">
        <v>120.3</v>
      </c>
      <c r="F822" s="4">
        <v>122.25</v>
      </c>
      <c r="G822" s="4">
        <v>0</v>
      </c>
      <c r="H822" s="5">
        <v>0</v>
      </c>
      <c r="I822" s="4">
        <v>3</v>
      </c>
      <c r="J822" s="4">
        <v>22</v>
      </c>
      <c r="K822" s="5">
        <v>0.6099</v>
      </c>
      <c r="L822" s="26" t="b">
        <f t="shared" si="59"/>
        <v>1</v>
      </c>
      <c r="M822" s="26" t="str">
        <f t="shared" si="56"/>
        <v>call</v>
      </c>
      <c r="N822" s="28">
        <f t="shared" si="57"/>
        <v>46129</v>
      </c>
      <c r="O822" s="29">
        <f t="shared" si="58"/>
        <v>194</v>
      </c>
    </row>
    <row r="823" spans="1:15" x14ac:dyDescent="0.45">
      <c r="A823" s="1" t="s">
        <v>967</v>
      </c>
      <c r="B823" s="4" t="s">
        <v>968</v>
      </c>
      <c r="C823" s="3">
        <v>150</v>
      </c>
      <c r="D823" s="4">
        <v>107.5</v>
      </c>
      <c r="E823" s="4">
        <v>110.7</v>
      </c>
      <c r="F823" s="4">
        <v>112.55</v>
      </c>
      <c r="G823" s="6">
        <v>0</v>
      </c>
      <c r="H823" s="7">
        <v>0</v>
      </c>
      <c r="I823" s="4">
        <v>1</v>
      </c>
      <c r="J823" s="4">
        <v>2</v>
      </c>
      <c r="K823" s="5">
        <v>0.56740000000000002</v>
      </c>
      <c r="L823" s="26" t="b">
        <f t="shared" si="59"/>
        <v>1</v>
      </c>
      <c r="M823" s="26" t="str">
        <f t="shared" si="56"/>
        <v>call</v>
      </c>
      <c r="N823" s="28">
        <f t="shared" si="57"/>
        <v>46129</v>
      </c>
      <c r="O823" s="29">
        <f t="shared" si="58"/>
        <v>194</v>
      </c>
    </row>
    <row r="824" spans="1:15" x14ac:dyDescent="0.45">
      <c r="A824" s="1" t="s">
        <v>969</v>
      </c>
      <c r="B824" s="4" t="s">
        <v>970</v>
      </c>
      <c r="C824" s="3">
        <v>155</v>
      </c>
      <c r="D824" s="4">
        <v>87</v>
      </c>
      <c r="E824" s="4">
        <v>105.95</v>
      </c>
      <c r="F824" s="4">
        <v>107.85</v>
      </c>
      <c r="G824" s="4">
        <v>0</v>
      </c>
      <c r="H824" s="5">
        <v>0</v>
      </c>
      <c r="I824" s="4">
        <v>10</v>
      </c>
      <c r="J824" s="4">
        <v>14</v>
      </c>
      <c r="K824" s="5">
        <v>0.55030000000000001</v>
      </c>
      <c r="L824" s="26" t="b">
        <f t="shared" si="59"/>
        <v>1</v>
      </c>
      <c r="M824" s="26" t="str">
        <f t="shared" si="56"/>
        <v>call</v>
      </c>
      <c r="N824" s="28">
        <f t="shared" si="57"/>
        <v>46129</v>
      </c>
      <c r="O824" s="29">
        <f t="shared" si="58"/>
        <v>194</v>
      </c>
    </row>
    <row r="825" spans="1:15" x14ac:dyDescent="0.45">
      <c r="A825" s="1" t="s">
        <v>971</v>
      </c>
      <c r="B825" s="4" t="s">
        <v>972</v>
      </c>
      <c r="C825" s="3">
        <v>160</v>
      </c>
      <c r="D825" s="4">
        <v>100.28</v>
      </c>
      <c r="E825" s="4">
        <v>101.55</v>
      </c>
      <c r="F825" s="4">
        <v>102.9</v>
      </c>
      <c r="G825" s="4">
        <v>0</v>
      </c>
      <c r="H825" s="5">
        <v>0</v>
      </c>
      <c r="I825" s="4">
        <v>10</v>
      </c>
      <c r="J825" s="4">
        <v>0</v>
      </c>
      <c r="K825" s="5">
        <v>0.53469999999999995</v>
      </c>
      <c r="L825" s="26" t="b">
        <f t="shared" si="59"/>
        <v>1</v>
      </c>
      <c r="M825" s="26" t="str">
        <f t="shared" si="56"/>
        <v>call</v>
      </c>
      <c r="N825" s="28">
        <f t="shared" si="57"/>
        <v>46129</v>
      </c>
      <c r="O825" s="29">
        <f t="shared" si="58"/>
        <v>194</v>
      </c>
    </row>
    <row r="826" spans="1:15" x14ac:dyDescent="0.45">
      <c r="A826" s="1" t="s">
        <v>973</v>
      </c>
      <c r="B826" s="4" t="s">
        <v>974</v>
      </c>
      <c r="C826" s="3">
        <v>165</v>
      </c>
      <c r="D826" s="4">
        <v>78.099999999999994</v>
      </c>
      <c r="E826" s="4">
        <v>96.6</v>
      </c>
      <c r="F826" s="4">
        <v>98.3</v>
      </c>
      <c r="G826" s="6">
        <v>0</v>
      </c>
      <c r="H826" s="7">
        <v>0</v>
      </c>
      <c r="I826" s="4">
        <v>3</v>
      </c>
      <c r="J826" s="4">
        <v>5</v>
      </c>
      <c r="K826" s="5">
        <v>0.51529999999999998</v>
      </c>
      <c r="L826" s="26" t="b">
        <f t="shared" si="59"/>
        <v>1</v>
      </c>
      <c r="M826" s="26" t="str">
        <f t="shared" si="56"/>
        <v>call</v>
      </c>
      <c r="N826" s="28">
        <f t="shared" si="57"/>
        <v>46129</v>
      </c>
      <c r="O826" s="29">
        <f t="shared" si="58"/>
        <v>194</v>
      </c>
    </row>
    <row r="827" spans="1:15" x14ac:dyDescent="0.45">
      <c r="A827" s="1" t="s">
        <v>975</v>
      </c>
      <c r="B827" s="4" t="s">
        <v>976</v>
      </c>
      <c r="C827" s="3">
        <v>170</v>
      </c>
      <c r="D827" s="4">
        <v>73.53</v>
      </c>
      <c r="E827" s="4">
        <v>92.05</v>
      </c>
      <c r="F827" s="4">
        <v>93.5</v>
      </c>
      <c r="G827" s="4">
        <v>0</v>
      </c>
      <c r="H827" s="5">
        <v>0</v>
      </c>
      <c r="I827" s="4">
        <v>5</v>
      </c>
      <c r="J827" s="4">
        <v>8</v>
      </c>
      <c r="K827" s="5">
        <v>0.52159999999999995</v>
      </c>
      <c r="L827" s="26" t="b">
        <f t="shared" si="59"/>
        <v>1</v>
      </c>
      <c r="M827" s="26" t="str">
        <f t="shared" si="56"/>
        <v>call</v>
      </c>
      <c r="N827" s="28">
        <f t="shared" si="57"/>
        <v>46129</v>
      </c>
      <c r="O827" s="29">
        <f t="shared" si="58"/>
        <v>194</v>
      </c>
    </row>
    <row r="828" spans="1:15" x14ac:dyDescent="0.45">
      <c r="A828" s="1" t="s">
        <v>977</v>
      </c>
      <c r="B828" s="4" t="s">
        <v>978</v>
      </c>
      <c r="C828" s="3">
        <v>175</v>
      </c>
      <c r="D828" s="4">
        <v>83.77</v>
      </c>
      <c r="E828" s="4">
        <v>87.4</v>
      </c>
      <c r="F828" s="4">
        <v>88.65</v>
      </c>
      <c r="G828" s="6">
        <v>0</v>
      </c>
      <c r="H828" s="7">
        <v>0</v>
      </c>
      <c r="I828" s="4">
        <v>1</v>
      </c>
      <c r="J828" s="4">
        <v>3</v>
      </c>
      <c r="K828" s="5">
        <v>0.4985</v>
      </c>
      <c r="L828" s="26" t="b">
        <f t="shared" si="59"/>
        <v>1</v>
      </c>
      <c r="M828" s="26" t="str">
        <f t="shared" si="56"/>
        <v>call</v>
      </c>
      <c r="N828" s="28">
        <f t="shared" si="57"/>
        <v>46129</v>
      </c>
      <c r="O828" s="29">
        <f t="shared" si="58"/>
        <v>194</v>
      </c>
    </row>
    <row r="829" spans="1:15" x14ac:dyDescent="0.45">
      <c r="A829" s="1" t="s">
        <v>979</v>
      </c>
      <c r="B829" s="4" t="s">
        <v>980</v>
      </c>
      <c r="C829" s="3">
        <v>180</v>
      </c>
      <c r="D829" s="4">
        <v>79.84</v>
      </c>
      <c r="E829" s="4">
        <v>82.6</v>
      </c>
      <c r="F829" s="4">
        <v>84.05</v>
      </c>
      <c r="G829" s="6">
        <v>0</v>
      </c>
      <c r="H829" s="7">
        <v>0</v>
      </c>
      <c r="I829" s="4">
        <v>1</v>
      </c>
      <c r="J829" s="4">
        <v>9</v>
      </c>
      <c r="K829" s="5">
        <v>0.48249999999999998</v>
      </c>
      <c r="L829" s="26" t="b">
        <f t="shared" si="59"/>
        <v>1</v>
      </c>
      <c r="M829" s="26" t="str">
        <f t="shared" ref="M829:M892" si="60">IF(MID(A829,11,1)="C","call","put")</f>
        <v>call</v>
      </c>
      <c r="N829" s="28">
        <f t="shared" ref="N829:N892" si="61">DATE(MID(A829,5,2)+2000,MID(A829,7,2),MID(A829,9,2))</f>
        <v>46129</v>
      </c>
      <c r="O829" s="29">
        <f t="shared" si="58"/>
        <v>194</v>
      </c>
    </row>
    <row r="830" spans="1:15" x14ac:dyDescent="0.45">
      <c r="A830" s="1" t="s">
        <v>981</v>
      </c>
      <c r="B830" s="4" t="s">
        <v>982</v>
      </c>
      <c r="C830" s="3">
        <v>185</v>
      </c>
      <c r="D830" s="4">
        <v>76.25</v>
      </c>
      <c r="E830" s="4">
        <v>78.3</v>
      </c>
      <c r="F830" s="4">
        <v>79.400000000000006</v>
      </c>
      <c r="G830" s="6">
        <v>0</v>
      </c>
      <c r="H830" s="7">
        <v>0</v>
      </c>
      <c r="I830" s="4">
        <v>2</v>
      </c>
      <c r="J830" s="4">
        <v>9</v>
      </c>
      <c r="K830" s="5">
        <v>0.4647</v>
      </c>
      <c r="L830" s="26" t="b">
        <f t="shared" si="59"/>
        <v>1</v>
      </c>
      <c r="M830" s="26" t="str">
        <f t="shared" si="60"/>
        <v>call</v>
      </c>
      <c r="N830" s="28">
        <f t="shared" si="61"/>
        <v>46129</v>
      </c>
      <c r="O830" s="29">
        <f t="shared" ref="O830:O893" si="62">N830-DATE(2025,10,5)</f>
        <v>194</v>
      </c>
    </row>
    <row r="831" spans="1:15" x14ac:dyDescent="0.45">
      <c r="A831" s="1" t="s">
        <v>983</v>
      </c>
      <c r="B831" s="4" t="s">
        <v>984</v>
      </c>
      <c r="C831" s="3">
        <v>190</v>
      </c>
      <c r="D831" s="4">
        <v>72.45</v>
      </c>
      <c r="E831" s="4">
        <v>73.8</v>
      </c>
      <c r="F831" s="4">
        <v>74.5</v>
      </c>
      <c r="G831" s="6">
        <v>0</v>
      </c>
      <c r="H831" s="7">
        <v>0</v>
      </c>
      <c r="I831" s="4">
        <v>1</v>
      </c>
      <c r="J831" s="4">
        <v>25</v>
      </c>
      <c r="K831" s="5">
        <v>0.44059999999999999</v>
      </c>
      <c r="L831" s="26" t="b">
        <f t="shared" si="59"/>
        <v>1</v>
      </c>
      <c r="M831" s="26" t="str">
        <f t="shared" si="60"/>
        <v>call</v>
      </c>
      <c r="N831" s="28">
        <f t="shared" si="61"/>
        <v>46129</v>
      </c>
      <c r="O831" s="29">
        <f t="shared" si="62"/>
        <v>194</v>
      </c>
    </row>
    <row r="832" spans="1:15" x14ac:dyDescent="0.45">
      <c r="A832" s="1" t="s">
        <v>985</v>
      </c>
      <c r="B832" s="2">
        <v>45667.54583333333</v>
      </c>
      <c r="C832" s="3">
        <v>195</v>
      </c>
      <c r="D832" s="4">
        <v>69.599999999999994</v>
      </c>
      <c r="E832" s="4">
        <v>69.25</v>
      </c>
      <c r="F832" s="4">
        <v>69.95</v>
      </c>
      <c r="G832" s="6">
        <v>1.19</v>
      </c>
      <c r="H832" s="7">
        <v>1.7399999999999999E-2</v>
      </c>
      <c r="I832" s="4">
        <v>1</v>
      </c>
      <c r="J832" s="4">
        <v>16</v>
      </c>
      <c r="K832" s="5">
        <v>0.4249</v>
      </c>
      <c r="L832" s="26" t="b">
        <f t="shared" ref="L832:L895" si="63">IF(M832="call",C832&lt;$P$1,C832&gt;$P$1)</f>
        <v>1</v>
      </c>
      <c r="M832" s="26" t="str">
        <f t="shared" si="60"/>
        <v>call</v>
      </c>
      <c r="N832" s="28">
        <f t="shared" si="61"/>
        <v>46129</v>
      </c>
      <c r="O832" s="29">
        <f t="shared" si="62"/>
        <v>194</v>
      </c>
    </row>
    <row r="833" spans="1:15" x14ac:dyDescent="0.45">
      <c r="A833" s="1" t="s">
        <v>986</v>
      </c>
      <c r="B833" s="2">
        <v>45726.506944444445</v>
      </c>
      <c r="C833" s="3">
        <v>200</v>
      </c>
      <c r="D833" s="4">
        <v>65.7</v>
      </c>
      <c r="E833" s="4">
        <v>64.849999999999994</v>
      </c>
      <c r="F833" s="4">
        <v>65.400000000000006</v>
      </c>
      <c r="G833" s="6">
        <v>0.32</v>
      </c>
      <c r="H833" s="7">
        <v>4.8999999999999998E-3</v>
      </c>
      <c r="I833" s="4">
        <v>10</v>
      </c>
      <c r="J833" s="4">
        <v>257</v>
      </c>
      <c r="K833" s="5">
        <v>0.40860000000000002</v>
      </c>
      <c r="L833" s="26" t="b">
        <f t="shared" si="63"/>
        <v>1</v>
      </c>
      <c r="M833" s="26" t="str">
        <f t="shared" si="60"/>
        <v>call</v>
      </c>
      <c r="N833" s="28">
        <f t="shared" si="61"/>
        <v>46129</v>
      </c>
      <c r="O833" s="29">
        <f t="shared" si="62"/>
        <v>194</v>
      </c>
    </row>
    <row r="834" spans="1:15" x14ac:dyDescent="0.45">
      <c r="A834" s="1" t="s">
        <v>987</v>
      </c>
      <c r="B834" s="2">
        <v>45726.470833333333</v>
      </c>
      <c r="C834" s="3">
        <v>205</v>
      </c>
      <c r="D834" s="4">
        <v>61.2</v>
      </c>
      <c r="E834" s="4">
        <v>60.45</v>
      </c>
      <c r="F834" s="4">
        <v>61</v>
      </c>
      <c r="G834" s="6">
        <v>3.33</v>
      </c>
      <c r="H834" s="7">
        <v>5.7500000000000002E-2</v>
      </c>
      <c r="I834" s="4">
        <v>6</v>
      </c>
      <c r="J834" s="4">
        <v>53</v>
      </c>
      <c r="K834" s="5">
        <v>0.39479999999999998</v>
      </c>
      <c r="L834" s="26" t="b">
        <f t="shared" si="63"/>
        <v>1</v>
      </c>
      <c r="M834" s="26" t="str">
        <f t="shared" si="60"/>
        <v>call</v>
      </c>
      <c r="N834" s="28">
        <f t="shared" si="61"/>
        <v>46129</v>
      </c>
      <c r="O834" s="29">
        <f t="shared" si="62"/>
        <v>194</v>
      </c>
    </row>
    <row r="835" spans="1:15" x14ac:dyDescent="0.45">
      <c r="A835" s="1" t="s">
        <v>988</v>
      </c>
      <c r="B835" s="2">
        <v>45726.622916666667</v>
      </c>
      <c r="C835" s="3">
        <v>210</v>
      </c>
      <c r="D835" s="4">
        <v>56.84</v>
      </c>
      <c r="E835" s="4">
        <v>56.25</v>
      </c>
      <c r="F835" s="4">
        <v>56.6</v>
      </c>
      <c r="G835" s="6">
        <v>0.71</v>
      </c>
      <c r="H835" s="7">
        <v>1.26E-2</v>
      </c>
      <c r="I835" s="4">
        <v>4</v>
      </c>
      <c r="J835" s="4">
        <v>87</v>
      </c>
      <c r="K835" s="5">
        <v>0.38030000000000003</v>
      </c>
      <c r="L835" s="26" t="b">
        <f t="shared" si="63"/>
        <v>1</v>
      </c>
      <c r="M835" s="26" t="str">
        <f t="shared" si="60"/>
        <v>call</v>
      </c>
      <c r="N835" s="28">
        <f t="shared" si="61"/>
        <v>46129</v>
      </c>
      <c r="O835" s="29">
        <f t="shared" si="62"/>
        <v>194</v>
      </c>
    </row>
    <row r="836" spans="1:15" x14ac:dyDescent="0.45">
      <c r="A836" s="1" t="s">
        <v>989</v>
      </c>
      <c r="B836" s="2">
        <v>45726.523611111108</v>
      </c>
      <c r="C836" s="3">
        <v>215</v>
      </c>
      <c r="D836" s="4">
        <v>52.72</v>
      </c>
      <c r="E836" s="4">
        <v>52.05</v>
      </c>
      <c r="F836" s="4">
        <v>52.4</v>
      </c>
      <c r="G836" s="6">
        <v>0.6</v>
      </c>
      <c r="H836" s="7">
        <v>1.15E-2</v>
      </c>
      <c r="I836" s="4">
        <v>4</v>
      </c>
      <c r="J836" s="4">
        <v>95</v>
      </c>
      <c r="K836" s="5">
        <v>0.36849999999999999</v>
      </c>
      <c r="L836" s="26" t="b">
        <f t="shared" si="63"/>
        <v>1</v>
      </c>
      <c r="M836" s="26" t="str">
        <f t="shared" si="60"/>
        <v>call</v>
      </c>
      <c r="N836" s="28">
        <f t="shared" si="61"/>
        <v>46129</v>
      </c>
      <c r="O836" s="29">
        <f t="shared" si="62"/>
        <v>194</v>
      </c>
    </row>
    <row r="837" spans="1:15" x14ac:dyDescent="0.45">
      <c r="A837" s="1" t="s">
        <v>990</v>
      </c>
      <c r="B837" s="2">
        <v>45698.61041666667</v>
      </c>
      <c r="C837" s="3">
        <v>220</v>
      </c>
      <c r="D837" s="4">
        <v>48.4</v>
      </c>
      <c r="E837" s="4">
        <v>47.9</v>
      </c>
      <c r="F837" s="4">
        <v>48.25</v>
      </c>
      <c r="G837" s="8">
        <v>0</v>
      </c>
      <c r="H837" s="9">
        <v>0</v>
      </c>
      <c r="I837" s="4">
        <v>5</v>
      </c>
      <c r="J837" s="4">
        <v>178</v>
      </c>
      <c r="K837" s="5">
        <v>0.35649999999999998</v>
      </c>
      <c r="L837" s="26" t="b">
        <f t="shared" si="63"/>
        <v>1</v>
      </c>
      <c r="M837" s="26" t="str">
        <f t="shared" si="60"/>
        <v>call</v>
      </c>
      <c r="N837" s="28">
        <f t="shared" si="61"/>
        <v>46129</v>
      </c>
      <c r="O837" s="29">
        <f t="shared" si="62"/>
        <v>194</v>
      </c>
    </row>
    <row r="838" spans="1:15" x14ac:dyDescent="0.45">
      <c r="A838" s="1" t="s">
        <v>991</v>
      </c>
      <c r="B838" s="2">
        <v>45726.595833333333</v>
      </c>
      <c r="C838" s="3">
        <v>225</v>
      </c>
      <c r="D838" s="4">
        <v>43.98</v>
      </c>
      <c r="E838" s="4">
        <v>43.75</v>
      </c>
      <c r="F838" s="4">
        <v>44.25</v>
      </c>
      <c r="G838" s="6">
        <v>-0.06</v>
      </c>
      <c r="H838" s="7">
        <v>-1.4E-3</v>
      </c>
      <c r="I838" s="4">
        <v>12</v>
      </c>
      <c r="J838" s="4">
        <v>688</v>
      </c>
      <c r="K838" s="5">
        <v>0.34560000000000002</v>
      </c>
      <c r="L838" s="26" t="b">
        <f t="shared" si="63"/>
        <v>1</v>
      </c>
      <c r="M838" s="26" t="str">
        <f t="shared" si="60"/>
        <v>call</v>
      </c>
      <c r="N838" s="28">
        <f t="shared" si="61"/>
        <v>46129</v>
      </c>
      <c r="O838" s="29">
        <f t="shared" si="62"/>
        <v>194</v>
      </c>
    </row>
    <row r="839" spans="1:15" x14ac:dyDescent="0.45">
      <c r="A839" s="1" t="s">
        <v>992</v>
      </c>
      <c r="B839" s="2">
        <v>45726.487500000003</v>
      </c>
      <c r="C839" s="3">
        <v>230</v>
      </c>
      <c r="D839" s="4">
        <v>41.34</v>
      </c>
      <c r="E839" s="4">
        <v>40.049999999999997</v>
      </c>
      <c r="F839" s="4">
        <v>40.35</v>
      </c>
      <c r="G839" s="6">
        <v>1.29</v>
      </c>
      <c r="H839" s="7">
        <v>3.2199999999999999E-2</v>
      </c>
      <c r="I839" s="4">
        <v>6</v>
      </c>
      <c r="J839" s="4">
        <v>333</v>
      </c>
      <c r="K839" s="5">
        <v>0.33500000000000002</v>
      </c>
      <c r="L839" s="26" t="b">
        <f t="shared" si="63"/>
        <v>1</v>
      </c>
      <c r="M839" s="26" t="str">
        <f t="shared" si="60"/>
        <v>call</v>
      </c>
      <c r="N839" s="28">
        <f t="shared" si="61"/>
        <v>46129</v>
      </c>
      <c r="O839" s="29">
        <f t="shared" si="62"/>
        <v>194</v>
      </c>
    </row>
    <row r="840" spans="1:15" x14ac:dyDescent="0.45">
      <c r="A840" s="1" t="s">
        <v>993</v>
      </c>
      <c r="B840" s="2">
        <v>45726.487500000003</v>
      </c>
      <c r="C840" s="3">
        <v>235</v>
      </c>
      <c r="D840" s="4">
        <v>37.409999999999997</v>
      </c>
      <c r="E840" s="4">
        <v>36.35</v>
      </c>
      <c r="F840" s="4">
        <v>36.65</v>
      </c>
      <c r="G840" s="8">
        <v>0.91</v>
      </c>
      <c r="H840" s="9">
        <v>2.4899999999999999E-2</v>
      </c>
      <c r="I840" s="4">
        <v>4</v>
      </c>
      <c r="J840" s="4">
        <v>288</v>
      </c>
      <c r="K840" s="5">
        <v>0.32579999999999998</v>
      </c>
      <c r="L840" s="26" t="b">
        <f t="shared" si="63"/>
        <v>1</v>
      </c>
      <c r="M840" s="26" t="str">
        <f t="shared" si="60"/>
        <v>call</v>
      </c>
      <c r="N840" s="28">
        <f t="shared" si="61"/>
        <v>46129</v>
      </c>
      <c r="O840" s="29">
        <f t="shared" si="62"/>
        <v>194</v>
      </c>
    </row>
    <row r="841" spans="1:15" x14ac:dyDescent="0.45">
      <c r="A841" s="1" t="s">
        <v>994</v>
      </c>
      <c r="B841" s="2">
        <v>45726.661805555559</v>
      </c>
      <c r="C841" s="3">
        <v>240</v>
      </c>
      <c r="D841" s="4">
        <v>32.65</v>
      </c>
      <c r="E841" s="4">
        <v>32.75</v>
      </c>
      <c r="F841" s="4">
        <v>33.049999999999997</v>
      </c>
      <c r="G841" s="8">
        <v>0.08</v>
      </c>
      <c r="H841" s="9">
        <v>2.5000000000000001E-3</v>
      </c>
      <c r="I841" s="4">
        <v>42</v>
      </c>
      <c r="J841" s="4">
        <v>884</v>
      </c>
      <c r="K841" s="5">
        <v>0.31640000000000001</v>
      </c>
      <c r="L841" s="26" t="b">
        <f t="shared" si="63"/>
        <v>1</v>
      </c>
      <c r="M841" s="26" t="str">
        <f t="shared" si="60"/>
        <v>call</v>
      </c>
      <c r="N841" s="28">
        <f t="shared" si="61"/>
        <v>46129</v>
      </c>
      <c r="O841" s="29">
        <f t="shared" si="62"/>
        <v>194</v>
      </c>
    </row>
    <row r="842" spans="1:15" x14ac:dyDescent="0.45">
      <c r="A842" s="1" t="s">
        <v>995</v>
      </c>
      <c r="B842" s="2">
        <v>45726.611111111109</v>
      </c>
      <c r="C842" s="3">
        <v>245</v>
      </c>
      <c r="D842" s="4">
        <v>29.68</v>
      </c>
      <c r="E842" s="4">
        <v>29.35</v>
      </c>
      <c r="F842" s="4">
        <v>29.7</v>
      </c>
      <c r="G842" s="8">
        <v>-0.11</v>
      </c>
      <c r="H842" s="9">
        <v>-3.7000000000000002E-3</v>
      </c>
      <c r="I842" s="4">
        <v>23</v>
      </c>
      <c r="J842" s="4">
        <v>251</v>
      </c>
      <c r="K842" s="5">
        <v>0.30869999999999997</v>
      </c>
      <c r="L842" s="26" t="b">
        <f t="shared" si="63"/>
        <v>1</v>
      </c>
      <c r="M842" s="26" t="str">
        <f t="shared" si="60"/>
        <v>call</v>
      </c>
      <c r="N842" s="28">
        <f t="shared" si="61"/>
        <v>46129</v>
      </c>
      <c r="O842" s="29">
        <f t="shared" si="62"/>
        <v>194</v>
      </c>
    </row>
    <row r="843" spans="1:15" x14ac:dyDescent="0.45">
      <c r="A843" s="1" t="s">
        <v>996</v>
      </c>
      <c r="B843" s="2">
        <v>45726.616666666669</v>
      </c>
      <c r="C843" s="3">
        <v>250</v>
      </c>
      <c r="D843" s="4">
        <v>26.55</v>
      </c>
      <c r="E843" s="4">
        <v>26.1</v>
      </c>
      <c r="F843" s="4">
        <v>26.45</v>
      </c>
      <c r="G843" s="6">
        <v>0.35</v>
      </c>
      <c r="H843" s="7">
        <v>1.34E-2</v>
      </c>
      <c r="I843" s="4">
        <v>36</v>
      </c>
      <c r="J843" s="4">
        <v>558</v>
      </c>
      <c r="K843" s="5">
        <v>0.3004</v>
      </c>
      <c r="L843" s="26" t="b">
        <f t="shared" si="63"/>
        <v>1</v>
      </c>
      <c r="M843" s="26" t="str">
        <f t="shared" si="60"/>
        <v>call</v>
      </c>
      <c r="N843" s="28">
        <f t="shared" si="61"/>
        <v>46129</v>
      </c>
      <c r="O843" s="29">
        <f t="shared" si="62"/>
        <v>194</v>
      </c>
    </row>
    <row r="844" spans="1:15" x14ac:dyDescent="0.45">
      <c r="A844" s="1" t="s">
        <v>997</v>
      </c>
      <c r="B844" s="2">
        <v>45726.61041666667</v>
      </c>
      <c r="C844" s="3">
        <v>255</v>
      </c>
      <c r="D844" s="4">
        <v>23.42</v>
      </c>
      <c r="E844" s="4">
        <v>23.1</v>
      </c>
      <c r="F844" s="4">
        <v>23.4</v>
      </c>
      <c r="G844" s="6">
        <v>0.27</v>
      </c>
      <c r="H844" s="7">
        <v>1.17E-2</v>
      </c>
      <c r="I844" s="4">
        <v>49</v>
      </c>
      <c r="J844" s="4">
        <v>524</v>
      </c>
      <c r="K844" s="5">
        <v>0.29270000000000002</v>
      </c>
      <c r="L844" s="26" t="b">
        <f t="shared" si="63"/>
        <v>1</v>
      </c>
      <c r="M844" s="26" t="str">
        <f t="shared" si="60"/>
        <v>call</v>
      </c>
      <c r="N844" s="28">
        <f t="shared" si="61"/>
        <v>46129</v>
      </c>
      <c r="O844" s="29">
        <f t="shared" si="62"/>
        <v>194</v>
      </c>
    </row>
    <row r="845" spans="1:15" x14ac:dyDescent="0.45">
      <c r="A845" s="11" t="s">
        <v>998</v>
      </c>
      <c r="B845" s="12">
        <v>45726.631249999999</v>
      </c>
      <c r="C845" s="13">
        <v>260</v>
      </c>
      <c r="D845" s="14">
        <v>20.5</v>
      </c>
      <c r="E845" s="14">
        <v>20.350000000000001</v>
      </c>
      <c r="F845" s="14">
        <v>20.5</v>
      </c>
      <c r="G845" s="19">
        <v>0.2</v>
      </c>
      <c r="H845" s="20">
        <v>9.9000000000000008E-3</v>
      </c>
      <c r="I845" s="14">
        <v>127</v>
      </c>
      <c r="J845" s="17">
        <v>1326</v>
      </c>
      <c r="K845" s="18">
        <v>0.2848</v>
      </c>
      <c r="L845" s="26" t="b">
        <f t="shared" si="63"/>
        <v>0</v>
      </c>
      <c r="M845" s="26" t="str">
        <f t="shared" si="60"/>
        <v>call</v>
      </c>
      <c r="N845" s="28">
        <f t="shared" si="61"/>
        <v>46129</v>
      </c>
      <c r="O845" s="29">
        <f t="shared" si="62"/>
        <v>194</v>
      </c>
    </row>
    <row r="846" spans="1:15" x14ac:dyDescent="0.45">
      <c r="A846" s="11" t="s">
        <v>999</v>
      </c>
      <c r="B846" s="12">
        <v>45726.662499999999</v>
      </c>
      <c r="C846" s="13">
        <v>265</v>
      </c>
      <c r="D846" s="14">
        <v>17.649999999999999</v>
      </c>
      <c r="E846" s="14">
        <v>17.75</v>
      </c>
      <c r="F846" s="14">
        <v>17.899999999999999</v>
      </c>
      <c r="G846" s="19">
        <v>-0.25</v>
      </c>
      <c r="H846" s="20">
        <v>-1.4E-2</v>
      </c>
      <c r="I846" s="14">
        <v>105</v>
      </c>
      <c r="J846" s="14">
        <v>689</v>
      </c>
      <c r="K846" s="18">
        <v>0.27850000000000003</v>
      </c>
      <c r="L846" s="26" t="b">
        <f t="shared" si="63"/>
        <v>0</v>
      </c>
      <c r="M846" s="26" t="str">
        <f t="shared" si="60"/>
        <v>call</v>
      </c>
      <c r="N846" s="28">
        <f t="shared" si="61"/>
        <v>46129</v>
      </c>
      <c r="O846" s="29">
        <f t="shared" si="62"/>
        <v>194</v>
      </c>
    </row>
    <row r="847" spans="1:15" x14ac:dyDescent="0.45">
      <c r="A847" s="11" t="s">
        <v>1000</v>
      </c>
      <c r="B847" s="12">
        <v>45726.568749999999</v>
      </c>
      <c r="C847" s="13">
        <v>270</v>
      </c>
      <c r="D847" s="14">
        <v>15.6</v>
      </c>
      <c r="E847" s="14">
        <v>15.4</v>
      </c>
      <c r="F847" s="14">
        <v>15.55</v>
      </c>
      <c r="G847" s="19">
        <v>0.06</v>
      </c>
      <c r="H847" s="20">
        <v>3.8999999999999998E-3</v>
      </c>
      <c r="I847" s="14">
        <v>111</v>
      </c>
      <c r="J847" s="17">
        <v>1808</v>
      </c>
      <c r="K847" s="18">
        <v>0.2732</v>
      </c>
      <c r="L847" s="26" t="b">
        <f t="shared" si="63"/>
        <v>0</v>
      </c>
      <c r="M847" s="26" t="str">
        <f t="shared" si="60"/>
        <v>call</v>
      </c>
      <c r="N847" s="28">
        <f t="shared" si="61"/>
        <v>46129</v>
      </c>
      <c r="O847" s="29">
        <f t="shared" si="62"/>
        <v>194</v>
      </c>
    </row>
    <row r="848" spans="1:15" x14ac:dyDescent="0.45">
      <c r="A848" s="11" t="s">
        <v>1001</v>
      </c>
      <c r="B848" s="12">
        <v>45726.637499999997</v>
      </c>
      <c r="C848" s="13">
        <v>275</v>
      </c>
      <c r="D848" s="14">
        <v>13.4</v>
      </c>
      <c r="E848" s="14">
        <v>13.3</v>
      </c>
      <c r="F848" s="14">
        <v>13.45</v>
      </c>
      <c r="G848" s="15">
        <v>-0.01</v>
      </c>
      <c r="H848" s="16">
        <v>-6.9999999999999999E-4</v>
      </c>
      <c r="I848" s="14">
        <v>126</v>
      </c>
      <c r="J848" s="17">
        <v>1249</v>
      </c>
      <c r="K848" s="18">
        <v>0.26869999999999999</v>
      </c>
      <c r="L848" s="26" t="b">
        <f t="shared" si="63"/>
        <v>0</v>
      </c>
      <c r="M848" s="26" t="str">
        <f t="shared" si="60"/>
        <v>call</v>
      </c>
      <c r="N848" s="28">
        <f t="shared" si="61"/>
        <v>46129</v>
      </c>
      <c r="O848" s="29">
        <f t="shared" si="62"/>
        <v>194</v>
      </c>
    </row>
    <row r="849" spans="1:15" x14ac:dyDescent="0.45">
      <c r="A849" s="11" t="s">
        <v>1002</v>
      </c>
      <c r="B849" s="12">
        <v>45726.611805555556</v>
      </c>
      <c r="C849" s="13">
        <v>280</v>
      </c>
      <c r="D849" s="14">
        <v>11.65</v>
      </c>
      <c r="E849" s="14">
        <v>11.4</v>
      </c>
      <c r="F849" s="14">
        <v>11.55</v>
      </c>
      <c r="G849" s="19">
        <v>0.22</v>
      </c>
      <c r="H849" s="20">
        <v>1.9199999999999998E-2</v>
      </c>
      <c r="I849" s="14">
        <v>85</v>
      </c>
      <c r="J849" s="14">
        <v>713</v>
      </c>
      <c r="K849" s="18">
        <v>0.26450000000000001</v>
      </c>
      <c r="L849" s="26" t="b">
        <f t="shared" si="63"/>
        <v>0</v>
      </c>
      <c r="M849" s="26" t="str">
        <f t="shared" si="60"/>
        <v>call</v>
      </c>
      <c r="N849" s="28">
        <f t="shared" si="61"/>
        <v>46129</v>
      </c>
      <c r="O849" s="29">
        <f t="shared" si="62"/>
        <v>194</v>
      </c>
    </row>
    <row r="850" spans="1:15" x14ac:dyDescent="0.45">
      <c r="A850" s="11" t="s">
        <v>1003</v>
      </c>
      <c r="B850" s="12">
        <v>45726.612500000003</v>
      </c>
      <c r="C850" s="13">
        <v>285</v>
      </c>
      <c r="D850" s="14">
        <v>9.9</v>
      </c>
      <c r="E850" s="14">
        <v>9.6999999999999993</v>
      </c>
      <c r="F850" s="14">
        <v>9.85</v>
      </c>
      <c r="G850" s="14">
        <v>0.05</v>
      </c>
      <c r="H850" s="18">
        <v>5.1000000000000004E-3</v>
      </c>
      <c r="I850" s="14">
        <v>45</v>
      </c>
      <c r="J850" s="14">
        <v>573</v>
      </c>
      <c r="K850" s="18">
        <v>0.2606</v>
      </c>
      <c r="L850" s="26" t="b">
        <f t="shared" si="63"/>
        <v>0</v>
      </c>
      <c r="M850" s="26" t="str">
        <f t="shared" si="60"/>
        <v>call</v>
      </c>
      <c r="N850" s="28">
        <f t="shared" si="61"/>
        <v>46129</v>
      </c>
      <c r="O850" s="29">
        <f t="shared" si="62"/>
        <v>194</v>
      </c>
    </row>
    <row r="851" spans="1:15" x14ac:dyDescent="0.45">
      <c r="A851" s="11" t="s">
        <v>1004</v>
      </c>
      <c r="B851" s="12">
        <v>45726.636111111111</v>
      </c>
      <c r="C851" s="13">
        <v>290</v>
      </c>
      <c r="D851" s="14">
        <v>8.34</v>
      </c>
      <c r="E851" s="14">
        <v>8.1999999999999993</v>
      </c>
      <c r="F851" s="14">
        <v>8.35</v>
      </c>
      <c r="G851" s="15">
        <v>-0.06</v>
      </c>
      <c r="H851" s="16">
        <v>-7.1000000000000004E-3</v>
      </c>
      <c r="I851" s="14">
        <v>185</v>
      </c>
      <c r="J851" s="14">
        <v>357</v>
      </c>
      <c r="K851" s="18">
        <v>0.2571</v>
      </c>
      <c r="L851" s="26" t="b">
        <f t="shared" si="63"/>
        <v>0</v>
      </c>
      <c r="M851" s="26" t="str">
        <f t="shared" si="60"/>
        <v>call</v>
      </c>
      <c r="N851" s="28">
        <f t="shared" si="61"/>
        <v>46129</v>
      </c>
      <c r="O851" s="29">
        <f t="shared" si="62"/>
        <v>194</v>
      </c>
    </row>
    <row r="852" spans="1:15" x14ac:dyDescent="0.45">
      <c r="A852" s="11" t="s">
        <v>1005</v>
      </c>
      <c r="B852" s="12">
        <v>45726.65347222222</v>
      </c>
      <c r="C852" s="13">
        <v>295</v>
      </c>
      <c r="D852" s="14">
        <v>7.05</v>
      </c>
      <c r="E852" s="14">
        <v>6.95</v>
      </c>
      <c r="F852" s="14">
        <v>7.1</v>
      </c>
      <c r="G852" s="14">
        <v>-0.2</v>
      </c>
      <c r="H852" s="18">
        <v>-2.76E-2</v>
      </c>
      <c r="I852" s="14">
        <v>27</v>
      </c>
      <c r="J852" s="14">
        <v>195</v>
      </c>
      <c r="K852" s="18">
        <v>0.25490000000000002</v>
      </c>
      <c r="L852" s="26" t="b">
        <f t="shared" si="63"/>
        <v>0</v>
      </c>
      <c r="M852" s="26" t="str">
        <f t="shared" si="60"/>
        <v>call</v>
      </c>
      <c r="N852" s="28">
        <f t="shared" si="61"/>
        <v>46129</v>
      </c>
      <c r="O852" s="29">
        <f t="shared" si="62"/>
        <v>194</v>
      </c>
    </row>
    <row r="853" spans="1:15" x14ac:dyDescent="0.45">
      <c r="A853" s="11" t="s">
        <v>1006</v>
      </c>
      <c r="B853" s="12">
        <v>45726.645138888889</v>
      </c>
      <c r="C853" s="13">
        <v>300</v>
      </c>
      <c r="D853" s="14">
        <v>5.86</v>
      </c>
      <c r="E853" s="14">
        <v>5.85</v>
      </c>
      <c r="F853" s="14">
        <v>5.95</v>
      </c>
      <c r="G853" s="15">
        <v>-0.27</v>
      </c>
      <c r="H853" s="16">
        <v>-4.3999999999999997E-2</v>
      </c>
      <c r="I853" s="14">
        <v>55</v>
      </c>
      <c r="J853" s="14">
        <v>582</v>
      </c>
      <c r="K853" s="18">
        <v>0.252</v>
      </c>
      <c r="L853" s="26" t="b">
        <f t="shared" si="63"/>
        <v>0</v>
      </c>
      <c r="M853" s="26" t="str">
        <f t="shared" si="60"/>
        <v>call</v>
      </c>
      <c r="N853" s="28">
        <f t="shared" si="61"/>
        <v>46129</v>
      </c>
      <c r="O853" s="29">
        <f t="shared" si="62"/>
        <v>194</v>
      </c>
    </row>
    <row r="854" spans="1:15" x14ac:dyDescent="0.45">
      <c r="A854" s="11" t="s">
        <v>1007</v>
      </c>
      <c r="B854" s="12">
        <v>45698.554166666669</v>
      </c>
      <c r="C854" s="13">
        <v>305</v>
      </c>
      <c r="D854" s="14">
        <v>5.15</v>
      </c>
      <c r="E854" s="14">
        <v>4.9000000000000004</v>
      </c>
      <c r="F854" s="14">
        <v>5</v>
      </c>
      <c r="G854" s="15">
        <v>0</v>
      </c>
      <c r="H854" s="16">
        <v>0</v>
      </c>
      <c r="I854" s="14">
        <v>2</v>
      </c>
      <c r="J854" s="14">
        <v>133</v>
      </c>
      <c r="K854" s="18">
        <v>0.25009999999999999</v>
      </c>
      <c r="L854" s="26" t="b">
        <f t="shared" si="63"/>
        <v>0</v>
      </c>
      <c r="M854" s="26" t="str">
        <f t="shared" si="60"/>
        <v>call</v>
      </c>
      <c r="N854" s="28">
        <f t="shared" si="61"/>
        <v>46129</v>
      </c>
      <c r="O854" s="29">
        <f t="shared" si="62"/>
        <v>194</v>
      </c>
    </row>
    <row r="855" spans="1:15" x14ac:dyDescent="0.45">
      <c r="A855" s="11" t="s">
        <v>1008</v>
      </c>
      <c r="B855" s="12">
        <v>45726.395833333336</v>
      </c>
      <c r="C855" s="13">
        <v>310</v>
      </c>
      <c r="D855" s="14">
        <v>4.3600000000000003</v>
      </c>
      <c r="E855" s="14">
        <v>4.0999999999999996</v>
      </c>
      <c r="F855" s="14">
        <v>4.2</v>
      </c>
      <c r="G855" s="15">
        <v>0.66</v>
      </c>
      <c r="H855" s="16">
        <v>0.1784</v>
      </c>
      <c r="I855" s="14">
        <v>2</v>
      </c>
      <c r="J855" s="14">
        <v>288</v>
      </c>
      <c r="K855" s="18">
        <v>0.24879999999999999</v>
      </c>
      <c r="L855" s="26" t="b">
        <f t="shared" si="63"/>
        <v>0</v>
      </c>
      <c r="M855" s="26" t="str">
        <f t="shared" si="60"/>
        <v>call</v>
      </c>
      <c r="N855" s="28">
        <f t="shared" si="61"/>
        <v>46129</v>
      </c>
      <c r="O855" s="29">
        <f t="shared" si="62"/>
        <v>194</v>
      </c>
    </row>
    <row r="856" spans="1:15" x14ac:dyDescent="0.45">
      <c r="A856" s="11" t="s">
        <v>1009</v>
      </c>
      <c r="B856" s="12">
        <v>45698.509027777778</v>
      </c>
      <c r="C856" s="13">
        <v>315</v>
      </c>
      <c r="D856" s="14">
        <v>3.65</v>
      </c>
      <c r="E856" s="14">
        <v>3.4</v>
      </c>
      <c r="F856" s="14">
        <v>3.55</v>
      </c>
      <c r="G856" s="15">
        <v>0</v>
      </c>
      <c r="H856" s="16">
        <v>0</v>
      </c>
      <c r="I856" s="14">
        <v>28</v>
      </c>
      <c r="J856" s="14">
        <v>109</v>
      </c>
      <c r="K856" s="18">
        <v>0.24840000000000001</v>
      </c>
      <c r="L856" s="26" t="b">
        <f t="shared" si="63"/>
        <v>0</v>
      </c>
      <c r="M856" s="26" t="str">
        <f t="shared" si="60"/>
        <v>call</v>
      </c>
      <c r="N856" s="28">
        <f t="shared" si="61"/>
        <v>46129</v>
      </c>
      <c r="O856" s="29">
        <f t="shared" si="62"/>
        <v>194</v>
      </c>
    </row>
    <row r="857" spans="1:15" x14ac:dyDescent="0.45">
      <c r="A857" s="11" t="s">
        <v>1010</v>
      </c>
      <c r="B857" s="12">
        <v>45726.513194444444</v>
      </c>
      <c r="C857" s="13">
        <v>320</v>
      </c>
      <c r="D857" s="14">
        <v>3.05</v>
      </c>
      <c r="E857" s="14">
        <v>2.87</v>
      </c>
      <c r="F857" s="14">
        <v>2.94</v>
      </c>
      <c r="G857" s="15">
        <v>0.1</v>
      </c>
      <c r="H857" s="16">
        <v>3.39E-2</v>
      </c>
      <c r="I857" s="14">
        <v>6</v>
      </c>
      <c r="J857" s="14">
        <v>109</v>
      </c>
      <c r="K857" s="18">
        <v>0.24679999999999999</v>
      </c>
      <c r="L857" s="26" t="b">
        <f t="shared" si="63"/>
        <v>0</v>
      </c>
      <c r="M857" s="26" t="str">
        <f t="shared" si="60"/>
        <v>call</v>
      </c>
      <c r="N857" s="28">
        <f t="shared" si="61"/>
        <v>46129</v>
      </c>
      <c r="O857" s="29">
        <f t="shared" si="62"/>
        <v>194</v>
      </c>
    </row>
    <row r="858" spans="1:15" x14ac:dyDescent="0.45">
      <c r="A858" s="11" t="s">
        <v>1011</v>
      </c>
      <c r="B858" s="12">
        <v>45698.636805555558</v>
      </c>
      <c r="C858" s="13">
        <v>325</v>
      </c>
      <c r="D858" s="14">
        <v>2.52</v>
      </c>
      <c r="E858" s="14">
        <v>2.39</v>
      </c>
      <c r="F858" s="14">
        <v>2.46</v>
      </c>
      <c r="G858" s="15">
        <v>0</v>
      </c>
      <c r="H858" s="16">
        <v>0</v>
      </c>
      <c r="I858" s="14">
        <v>4</v>
      </c>
      <c r="J858" s="14">
        <v>116</v>
      </c>
      <c r="K858" s="18">
        <v>0.24629999999999999</v>
      </c>
      <c r="L858" s="26" t="b">
        <f t="shared" si="63"/>
        <v>0</v>
      </c>
      <c r="M858" s="26" t="str">
        <f t="shared" si="60"/>
        <v>call</v>
      </c>
      <c r="N858" s="28">
        <f t="shared" si="61"/>
        <v>46129</v>
      </c>
      <c r="O858" s="29">
        <f t="shared" si="62"/>
        <v>194</v>
      </c>
    </row>
    <row r="859" spans="1:15" x14ac:dyDescent="0.45">
      <c r="A859" s="11" t="s">
        <v>1012</v>
      </c>
      <c r="B859" s="12">
        <v>45726.461111111108</v>
      </c>
      <c r="C859" s="13">
        <v>330</v>
      </c>
      <c r="D859" s="14">
        <v>2.11</v>
      </c>
      <c r="E859" s="14">
        <v>2</v>
      </c>
      <c r="F859" s="14">
        <v>2.06</v>
      </c>
      <c r="G859" s="15">
        <v>0.02</v>
      </c>
      <c r="H859" s="16">
        <v>9.5999999999999992E-3</v>
      </c>
      <c r="I859" s="14">
        <v>6</v>
      </c>
      <c r="J859" s="14">
        <v>42</v>
      </c>
      <c r="K859" s="18">
        <v>0.24610000000000001</v>
      </c>
      <c r="L859" s="26" t="b">
        <f t="shared" si="63"/>
        <v>0</v>
      </c>
      <c r="M859" s="26" t="str">
        <f t="shared" si="60"/>
        <v>call</v>
      </c>
      <c r="N859" s="28">
        <f t="shared" si="61"/>
        <v>46129</v>
      </c>
      <c r="O859" s="29">
        <f t="shared" si="62"/>
        <v>194</v>
      </c>
    </row>
    <row r="860" spans="1:15" x14ac:dyDescent="0.45">
      <c r="A860" s="11" t="s">
        <v>1013</v>
      </c>
      <c r="B860" s="12">
        <v>45726.42291666667</v>
      </c>
      <c r="C860" s="13">
        <v>340</v>
      </c>
      <c r="D860" s="14">
        <v>1.48</v>
      </c>
      <c r="E860" s="14">
        <v>1.39</v>
      </c>
      <c r="F860" s="14">
        <v>1.45</v>
      </c>
      <c r="G860" s="14">
        <v>0</v>
      </c>
      <c r="H860" s="18">
        <v>0</v>
      </c>
      <c r="I860" s="14">
        <v>4</v>
      </c>
      <c r="J860" s="14">
        <v>278</v>
      </c>
      <c r="K860" s="18">
        <v>0.24640000000000001</v>
      </c>
      <c r="L860" s="26" t="b">
        <f t="shared" si="63"/>
        <v>0</v>
      </c>
      <c r="M860" s="26" t="str">
        <f t="shared" si="60"/>
        <v>call</v>
      </c>
      <c r="N860" s="28">
        <f t="shared" si="61"/>
        <v>46129</v>
      </c>
      <c r="O860" s="29">
        <f t="shared" si="62"/>
        <v>194</v>
      </c>
    </row>
    <row r="861" spans="1:15" x14ac:dyDescent="0.45">
      <c r="A861" s="11" t="s">
        <v>1014</v>
      </c>
      <c r="B861" s="12">
        <v>45726.556944444441</v>
      </c>
      <c r="C861" s="13">
        <v>350</v>
      </c>
      <c r="D861" s="14">
        <v>1.01</v>
      </c>
      <c r="E861" s="14">
        <v>0.97</v>
      </c>
      <c r="F861" s="14">
        <v>1.02</v>
      </c>
      <c r="G861" s="15">
        <v>-0.09</v>
      </c>
      <c r="H861" s="16">
        <v>-8.1799999999999998E-2</v>
      </c>
      <c r="I861" s="14">
        <v>56</v>
      </c>
      <c r="J861" s="14">
        <v>92</v>
      </c>
      <c r="K861" s="18">
        <v>0.24709999999999999</v>
      </c>
      <c r="L861" s="26" t="b">
        <f t="shared" si="63"/>
        <v>0</v>
      </c>
      <c r="M861" s="26" t="str">
        <f t="shared" si="60"/>
        <v>call</v>
      </c>
      <c r="N861" s="28">
        <f t="shared" si="61"/>
        <v>46129</v>
      </c>
      <c r="O861" s="29">
        <f t="shared" si="62"/>
        <v>194</v>
      </c>
    </row>
    <row r="862" spans="1:15" x14ac:dyDescent="0.45">
      <c r="A862" s="11" t="s">
        <v>1015</v>
      </c>
      <c r="B862" s="12">
        <v>45726.408333333333</v>
      </c>
      <c r="C862" s="13">
        <v>370</v>
      </c>
      <c r="D862" s="14">
        <v>0.54</v>
      </c>
      <c r="E862" s="14">
        <v>0.48</v>
      </c>
      <c r="F862" s="14">
        <v>0.52</v>
      </c>
      <c r="G862" s="19">
        <v>0.01</v>
      </c>
      <c r="H862" s="20">
        <v>1.89E-2</v>
      </c>
      <c r="I862" s="14">
        <v>5</v>
      </c>
      <c r="J862" s="14">
        <v>6</v>
      </c>
      <c r="K862" s="18">
        <v>0.2505</v>
      </c>
      <c r="L862" s="26" t="b">
        <f t="shared" si="63"/>
        <v>0</v>
      </c>
      <c r="M862" s="26" t="str">
        <f t="shared" si="60"/>
        <v>call</v>
      </c>
      <c r="N862" s="28">
        <f t="shared" si="61"/>
        <v>46129</v>
      </c>
      <c r="O862" s="29">
        <f t="shared" si="62"/>
        <v>194</v>
      </c>
    </row>
    <row r="863" spans="1:15" x14ac:dyDescent="0.45">
      <c r="A863" s="11" t="s">
        <v>1016</v>
      </c>
      <c r="B863" s="12">
        <v>45667.425000000003</v>
      </c>
      <c r="C863" s="13">
        <v>120</v>
      </c>
      <c r="D863" s="14">
        <v>0.24</v>
      </c>
      <c r="E863" s="14">
        <v>0.22</v>
      </c>
      <c r="F863" s="14">
        <v>0.28000000000000003</v>
      </c>
      <c r="G863" s="14">
        <v>0</v>
      </c>
      <c r="H863" s="18">
        <v>0</v>
      </c>
      <c r="I863" s="14">
        <v>1</v>
      </c>
      <c r="J863" s="14">
        <v>91</v>
      </c>
      <c r="K863" s="18">
        <v>0.47270000000000001</v>
      </c>
      <c r="L863" s="26" t="b">
        <f t="shared" si="63"/>
        <v>0</v>
      </c>
      <c r="M863" s="26" t="str">
        <f t="shared" si="60"/>
        <v>put</v>
      </c>
      <c r="N863" s="28">
        <f t="shared" si="61"/>
        <v>46129</v>
      </c>
      <c r="O863" s="29">
        <f t="shared" si="62"/>
        <v>194</v>
      </c>
    </row>
    <row r="864" spans="1:15" x14ac:dyDescent="0.45">
      <c r="A864" s="11" t="s">
        <v>1017</v>
      </c>
      <c r="B864" s="12">
        <v>46000.418749999997</v>
      </c>
      <c r="C864" s="13">
        <v>125</v>
      </c>
      <c r="D864" s="14">
        <v>0.43</v>
      </c>
      <c r="E864" s="14">
        <v>0.26</v>
      </c>
      <c r="F864" s="14">
        <v>0.3</v>
      </c>
      <c r="G864" s="14">
        <v>0</v>
      </c>
      <c r="H864" s="18">
        <v>0</v>
      </c>
      <c r="I864" s="14">
        <v>30</v>
      </c>
      <c r="J864" s="14">
        <v>31</v>
      </c>
      <c r="K864" s="18">
        <v>0.4536</v>
      </c>
      <c r="L864" s="26" t="b">
        <f t="shared" si="63"/>
        <v>0</v>
      </c>
      <c r="M864" s="26" t="str">
        <f t="shared" si="60"/>
        <v>put</v>
      </c>
      <c r="N864" s="28">
        <f t="shared" si="61"/>
        <v>46129</v>
      </c>
      <c r="O864" s="29">
        <f t="shared" si="62"/>
        <v>194</v>
      </c>
    </row>
    <row r="865" spans="1:15" x14ac:dyDescent="0.45">
      <c r="A865" s="11" t="s">
        <v>1018</v>
      </c>
      <c r="B865" s="12">
        <v>45698.446527777778</v>
      </c>
      <c r="C865" s="13">
        <v>130</v>
      </c>
      <c r="D865" s="14">
        <v>0.33</v>
      </c>
      <c r="E865" s="14">
        <v>0.31</v>
      </c>
      <c r="F865" s="14">
        <v>0.35</v>
      </c>
      <c r="G865" s="14">
        <v>0</v>
      </c>
      <c r="H865" s="18">
        <v>0</v>
      </c>
      <c r="I865" s="14">
        <v>5</v>
      </c>
      <c r="J865" s="14">
        <v>406</v>
      </c>
      <c r="K865" s="18">
        <v>0.44090000000000001</v>
      </c>
      <c r="L865" s="26" t="b">
        <f t="shared" si="63"/>
        <v>0</v>
      </c>
      <c r="M865" s="26" t="str">
        <f t="shared" si="60"/>
        <v>put</v>
      </c>
      <c r="N865" s="28">
        <f t="shared" si="61"/>
        <v>46129</v>
      </c>
      <c r="O865" s="29">
        <f t="shared" si="62"/>
        <v>194</v>
      </c>
    </row>
    <row r="866" spans="1:15" x14ac:dyDescent="0.45">
      <c r="A866" s="11" t="s">
        <v>1019</v>
      </c>
      <c r="B866" s="14" t="s">
        <v>1020</v>
      </c>
      <c r="C866" s="13">
        <v>135</v>
      </c>
      <c r="D866" s="14">
        <v>0.45</v>
      </c>
      <c r="E866" s="14">
        <v>0.36</v>
      </c>
      <c r="F866" s="14">
        <v>0.43</v>
      </c>
      <c r="G866" s="14">
        <v>0</v>
      </c>
      <c r="H866" s="18">
        <v>0</v>
      </c>
      <c r="I866" s="14">
        <v>2</v>
      </c>
      <c r="J866" s="14">
        <v>53</v>
      </c>
      <c r="K866" s="18">
        <v>0.43190000000000001</v>
      </c>
      <c r="L866" s="26" t="b">
        <f t="shared" si="63"/>
        <v>0</v>
      </c>
      <c r="M866" s="26" t="str">
        <f t="shared" si="60"/>
        <v>put</v>
      </c>
      <c r="N866" s="28">
        <f t="shared" si="61"/>
        <v>46129</v>
      </c>
      <c r="O866" s="29">
        <f t="shared" si="62"/>
        <v>194</v>
      </c>
    </row>
    <row r="867" spans="1:15" x14ac:dyDescent="0.45">
      <c r="A867" s="11" t="s">
        <v>1021</v>
      </c>
      <c r="B867" s="14" t="s">
        <v>1022</v>
      </c>
      <c r="C867" s="13">
        <v>140</v>
      </c>
      <c r="D867" s="14">
        <v>0.48</v>
      </c>
      <c r="E867" s="14">
        <v>0.43</v>
      </c>
      <c r="F867" s="14">
        <v>0.49</v>
      </c>
      <c r="G867" s="14">
        <v>0</v>
      </c>
      <c r="H867" s="18">
        <v>0</v>
      </c>
      <c r="I867" s="14">
        <v>1</v>
      </c>
      <c r="J867" s="14">
        <v>66</v>
      </c>
      <c r="K867" s="18">
        <v>0.41849999999999998</v>
      </c>
      <c r="L867" s="26" t="b">
        <f t="shared" si="63"/>
        <v>0</v>
      </c>
      <c r="M867" s="26" t="str">
        <f t="shared" si="60"/>
        <v>put</v>
      </c>
      <c r="N867" s="28">
        <f t="shared" si="61"/>
        <v>46129</v>
      </c>
      <c r="O867" s="29">
        <f t="shared" si="62"/>
        <v>194</v>
      </c>
    </row>
    <row r="868" spans="1:15" x14ac:dyDescent="0.45">
      <c r="A868" s="11" t="s">
        <v>1023</v>
      </c>
      <c r="B868" s="14" t="s">
        <v>1024</v>
      </c>
      <c r="C868" s="13">
        <v>145</v>
      </c>
      <c r="D868" s="14">
        <v>0.54</v>
      </c>
      <c r="E868" s="14">
        <v>0.51</v>
      </c>
      <c r="F868" s="14">
        <v>0.56999999999999995</v>
      </c>
      <c r="G868" s="15">
        <v>0</v>
      </c>
      <c r="H868" s="16">
        <v>0</v>
      </c>
      <c r="I868" s="14">
        <v>7</v>
      </c>
      <c r="J868" s="14">
        <v>44</v>
      </c>
      <c r="K868" s="18">
        <v>0.40670000000000001</v>
      </c>
      <c r="L868" s="26" t="b">
        <f t="shared" si="63"/>
        <v>0</v>
      </c>
      <c r="M868" s="26" t="str">
        <f t="shared" si="60"/>
        <v>put</v>
      </c>
      <c r="N868" s="28">
        <f t="shared" si="61"/>
        <v>46129</v>
      </c>
      <c r="O868" s="29">
        <f t="shared" si="62"/>
        <v>194</v>
      </c>
    </row>
    <row r="869" spans="1:15" x14ac:dyDescent="0.45">
      <c r="A869" s="11" t="s">
        <v>1025</v>
      </c>
      <c r="B869" s="14" t="s">
        <v>1026</v>
      </c>
      <c r="C869" s="13">
        <v>150</v>
      </c>
      <c r="D869" s="14">
        <v>0.7</v>
      </c>
      <c r="E869" s="14">
        <v>0.6</v>
      </c>
      <c r="F869" s="14">
        <v>0.65</v>
      </c>
      <c r="G869" s="14">
        <v>0</v>
      </c>
      <c r="H869" s="18">
        <v>0</v>
      </c>
      <c r="I869" s="14">
        <v>7</v>
      </c>
      <c r="J869" s="14">
        <v>56</v>
      </c>
      <c r="K869" s="18">
        <v>0.39419999999999999</v>
      </c>
      <c r="L869" s="26" t="b">
        <f t="shared" si="63"/>
        <v>0</v>
      </c>
      <c r="M869" s="26" t="str">
        <f t="shared" si="60"/>
        <v>put</v>
      </c>
      <c r="N869" s="28">
        <f t="shared" si="61"/>
        <v>46129</v>
      </c>
      <c r="O869" s="29">
        <f t="shared" si="62"/>
        <v>194</v>
      </c>
    </row>
    <row r="870" spans="1:15" x14ac:dyDescent="0.45">
      <c r="A870" s="11" t="s">
        <v>1027</v>
      </c>
      <c r="B870" s="12">
        <v>45667.413194444445</v>
      </c>
      <c r="C870" s="13">
        <v>155</v>
      </c>
      <c r="D870" s="14">
        <v>0.79</v>
      </c>
      <c r="E870" s="14">
        <v>0.71</v>
      </c>
      <c r="F870" s="14">
        <v>0.77</v>
      </c>
      <c r="G870" s="14">
        <v>0</v>
      </c>
      <c r="H870" s="18">
        <v>0</v>
      </c>
      <c r="I870" s="14">
        <v>1</v>
      </c>
      <c r="J870" s="14">
        <v>86</v>
      </c>
      <c r="K870" s="18">
        <v>0.38450000000000001</v>
      </c>
      <c r="L870" s="26" t="b">
        <f t="shared" si="63"/>
        <v>0</v>
      </c>
      <c r="M870" s="26" t="str">
        <f t="shared" si="60"/>
        <v>put</v>
      </c>
      <c r="N870" s="28">
        <f t="shared" si="61"/>
        <v>46129</v>
      </c>
      <c r="O870" s="29">
        <f t="shared" si="62"/>
        <v>194</v>
      </c>
    </row>
    <row r="871" spans="1:15" x14ac:dyDescent="0.45">
      <c r="A871" s="11" t="s">
        <v>1028</v>
      </c>
      <c r="B871" s="12">
        <v>45698.522916666669</v>
      </c>
      <c r="C871" s="13">
        <v>160</v>
      </c>
      <c r="D871" s="14">
        <v>0.83</v>
      </c>
      <c r="E871" s="14">
        <v>0.84</v>
      </c>
      <c r="F871" s="14">
        <v>0.89</v>
      </c>
      <c r="G871" s="14">
        <v>0</v>
      </c>
      <c r="H871" s="18">
        <v>0</v>
      </c>
      <c r="I871" s="14">
        <v>20</v>
      </c>
      <c r="J871" s="14">
        <v>115</v>
      </c>
      <c r="K871" s="18">
        <v>0.3735</v>
      </c>
      <c r="L871" s="26" t="b">
        <f t="shared" si="63"/>
        <v>0</v>
      </c>
      <c r="M871" s="26" t="str">
        <f t="shared" si="60"/>
        <v>put</v>
      </c>
      <c r="N871" s="28">
        <f t="shared" si="61"/>
        <v>46129</v>
      </c>
      <c r="O871" s="29">
        <f t="shared" si="62"/>
        <v>194</v>
      </c>
    </row>
    <row r="872" spans="1:15" x14ac:dyDescent="0.45">
      <c r="A872" s="11" t="s">
        <v>1029</v>
      </c>
      <c r="B872" s="12">
        <v>45726.643750000003</v>
      </c>
      <c r="C872" s="13">
        <v>165</v>
      </c>
      <c r="D872" s="14">
        <v>0.98</v>
      </c>
      <c r="E872" s="14">
        <v>0.98</v>
      </c>
      <c r="F872" s="14">
        <v>1.03</v>
      </c>
      <c r="G872" s="19">
        <v>-0.04</v>
      </c>
      <c r="H872" s="20">
        <v>-3.9199999999999999E-2</v>
      </c>
      <c r="I872" s="14">
        <v>4</v>
      </c>
      <c r="J872" s="14">
        <v>57</v>
      </c>
      <c r="K872" s="18">
        <v>0.3629</v>
      </c>
      <c r="L872" s="26" t="b">
        <f t="shared" si="63"/>
        <v>0</v>
      </c>
      <c r="M872" s="26" t="str">
        <f t="shared" si="60"/>
        <v>put</v>
      </c>
      <c r="N872" s="28">
        <f t="shared" si="61"/>
        <v>46129</v>
      </c>
      <c r="O872" s="29">
        <f t="shared" si="62"/>
        <v>194</v>
      </c>
    </row>
    <row r="873" spans="1:15" x14ac:dyDescent="0.45">
      <c r="A873" s="11" t="s">
        <v>1030</v>
      </c>
      <c r="B873" s="12">
        <v>45726.40625</v>
      </c>
      <c r="C873" s="13">
        <v>170</v>
      </c>
      <c r="D873" s="14">
        <v>1.2</v>
      </c>
      <c r="E873" s="14">
        <v>1.1499999999999999</v>
      </c>
      <c r="F873" s="14">
        <v>1.21</v>
      </c>
      <c r="G873" s="19">
        <v>0.01</v>
      </c>
      <c r="H873" s="20">
        <v>8.3999999999999995E-3</v>
      </c>
      <c r="I873" s="14">
        <v>5</v>
      </c>
      <c r="J873" s="14">
        <v>44</v>
      </c>
      <c r="K873" s="18">
        <v>0.3538</v>
      </c>
      <c r="L873" s="26" t="b">
        <f t="shared" si="63"/>
        <v>0</v>
      </c>
      <c r="M873" s="26" t="str">
        <f t="shared" si="60"/>
        <v>put</v>
      </c>
      <c r="N873" s="28">
        <f t="shared" si="61"/>
        <v>46129</v>
      </c>
      <c r="O873" s="29">
        <f t="shared" si="62"/>
        <v>194</v>
      </c>
    </row>
    <row r="874" spans="1:15" x14ac:dyDescent="0.45">
      <c r="A874" s="11" t="s">
        <v>1031</v>
      </c>
      <c r="B874" s="12">
        <v>45698.613194444442</v>
      </c>
      <c r="C874" s="13">
        <v>175</v>
      </c>
      <c r="D874" s="14">
        <v>1.33</v>
      </c>
      <c r="E874" s="14">
        <v>1.35</v>
      </c>
      <c r="F874" s="14">
        <v>1.41</v>
      </c>
      <c r="G874" s="14">
        <v>-0.09</v>
      </c>
      <c r="H874" s="18">
        <v>-6.3399999999999998E-2</v>
      </c>
      <c r="I874" s="14">
        <v>10</v>
      </c>
      <c r="J874" s="14">
        <v>122</v>
      </c>
      <c r="K874" s="18">
        <v>0.34420000000000001</v>
      </c>
      <c r="L874" s="26" t="b">
        <f t="shared" si="63"/>
        <v>0</v>
      </c>
      <c r="M874" s="26" t="str">
        <f t="shared" si="60"/>
        <v>put</v>
      </c>
      <c r="N874" s="28">
        <f t="shared" si="61"/>
        <v>46129</v>
      </c>
      <c r="O874" s="29">
        <f t="shared" si="62"/>
        <v>194</v>
      </c>
    </row>
    <row r="875" spans="1:15" x14ac:dyDescent="0.45">
      <c r="A875" s="11" t="s">
        <v>1032</v>
      </c>
      <c r="B875" s="12">
        <v>45726.442361111112</v>
      </c>
      <c r="C875" s="13">
        <v>180</v>
      </c>
      <c r="D875" s="14">
        <v>1.62</v>
      </c>
      <c r="E875" s="14">
        <v>1.58</v>
      </c>
      <c r="F875" s="14">
        <v>1.64</v>
      </c>
      <c r="G875" s="15">
        <v>0.03</v>
      </c>
      <c r="H875" s="16">
        <v>1.89E-2</v>
      </c>
      <c r="I875" s="14">
        <v>9</v>
      </c>
      <c r="J875" s="14">
        <v>145</v>
      </c>
      <c r="K875" s="18">
        <v>0.33479999999999999</v>
      </c>
      <c r="L875" s="26" t="b">
        <f t="shared" si="63"/>
        <v>0</v>
      </c>
      <c r="M875" s="26" t="str">
        <f t="shared" si="60"/>
        <v>put</v>
      </c>
      <c r="N875" s="28">
        <f t="shared" si="61"/>
        <v>46129</v>
      </c>
      <c r="O875" s="29">
        <f t="shared" si="62"/>
        <v>194</v>
      </c>
    </row>
    <row r="876" spans="1:15" x14ac:dyDescent="0.45">
      <c r="A876" s="11" t="s">
        <v>1033</v>
      </c>
      <c r="B876" s="12">
        <v>45726.510416666664</v>
      </c>
      <c r="C876" s="13">
        <v>185</v>
      </c>
      <c r="D876" s="14">
        <v>1.86</v>
      </c>
      <c r="E876" s="14">
        <v>1.85</v>
      </c>
      <c r="F876" s="14">
        <v>1.91</v>
      </c>
      <c r="G876" s="15">
        <v>-0.05</v>
      </c>
      <c r="H876" s="16">
        <v>-2.6200000000000001E-2</v>
      </c>
      <c r="I876" s="14">
        <v>41</v>
      </c>
      <c r="J876" s="14">
        <v>119</v>
      </c>
      <c r="K876" s="18">
        <v>0.32579999999999998</v>
      </c>
      <c r="L876" s="26" t="b">
        <f t="shared" si="63"/>
        <v>0</v>
      </c>
      <c r="M876" s="26" t="str">
        <f t="shared" si="60"/>
        <v>put</v>
      </c>
      <c r="N876" s="28">
        <f t="shared" si="61"/>
        <v>46129</v>
      </c>
      <c r="O876" s="29">
        <f t="shared" si="62"/>
        <v>194</v>
      </c>
    </row>
    <row r="877" spans="1:15" x14ac:dyDescent="0.45">
      <c r="A877" s="11" t="s">
        <v>1034</v>
      </c>
      <c r="B877" s="12">
        <v>45726.413888888892</v>
      </c>
      <c r="C877" s="13">
        <v>190</v>
      </c>
      <c r="D877" s="14">
        <v>2.13</v>
      </c>
      <c r="E877" s="14">
        <v>2.17</v>
      </c>
      <c r="F877" s="14">
        <v>2.23</v>
      </c>
      <c r="G877" s="15">
        <v>-0.1</v>
      </c>
      <c r="H877" s="16">
        <v>-4.48E-2</v>
      </c>
      <c r="I877" s="14">
        <v>21</v>
      </c>
      <c r="J877" s="14">
        <v>537</v>
      </c>
      <c r="K877" s="18">
        <v>0.31730000000000003</v>
      </c>
      <c r="L877" s="26" t="b">
        <f t="shared" si="63"/>
        <v>0</v>
      </c>
      <c r="M877" s="26" t="str">
        <f t="shared" si="60"/>
        <v>put</v>
      </c>
      <c r="N877" s="28">
        <f t="shared" si="61"/>
        <v>46129</v>
      </c>
      <c r="O877" s="29">
        <f t="shared" si="62"/>
        <v>194</v>
      </c>
    </row>
    <row r="878" spans="1:15" x14ac:dyDescent="0.45">
      <c r="A878" s="11" t="s">
        <v>1035</v>
      </c>
      <c r="B878" s="12">
        <v>45698.559027777781</v>
      </c>
      <c r="C878" s="13">
        <v>195</v>
      </c>
      <c r="D878" s="14">
        <v>2.6</v>
      </c>
      <c r="E878" s="14">
        <v>2.54</v>
      </c>
      <c r="F878" s="14">
        <v>2.59</v>
      </c>
      <c r="G878" s="14">
        <v>0.02</v>
      </c>
      <c r="H878" s="18">
        <v>7.7999999999999996E-3</v>
      </c>
      <c r="I878" s="14">
        <v>1</v>
      </c>
      <c r="J878" s="14">
        <v>770</v>
      </c>
      <c r="K878" s="18">
        <v>0.3085</v>
      </c>
      <c r="L878" s="26" t="b">
        <f t="shared" si="63"/>
        <v>0</v>
      </c>
      <c r="M878" s="26" t="str">
        <f t="shared" si="60"/>
        <v>put</v>
      </c>
      <c r="N878" s="28">
        <f t="shared" si="61"/>
        <v>46129</v>
      </c>
      <c r="O878" s="29">
        <f t="shared" si="62"/>
        <v>194</v>
      </c>
    </row>
    <row r="879" spans="1:15" x14ac:dyDescent="0.45">
      <c r="A879" s="11" t="s">
        <v>1036</v>
      </c>
      <c r="B879" s="12">
        <v>45726.621527777781</v>
      </c>
      <c r="C879" s="13">
        <v>200</v>
      </c>
      <c r="D879" s="14">
        <v>2.96</v>
      </c>
      <c r="E879" s="14">
        <v>2.9</v>
      </c>
      <c r="F879" s="14">
        <v>3.05</v>
      </c>
      <c r="G879" s="15">
        <v>-0.09</v>
      </c>
      <c r="H879" s="16">
        <v>-2.9499999999999998E-2</v>
      </c>
      <c r="I879" s="14">
        <v>10</v>
      </c>
      <c r="J879" s="17">
        <v>1341</v>
      </c>
      <c r="K879" s="18">
        <v>0.30130000000000001</v>
      </c>
      <c r="L879" s="26" t="b">
        <f t="shared" si="63"/>
        <v>0</v>
      </c>
      <c r="M879" s="26" t="str">
        <f t="shared" si="60"/>
        <v>put</v>
      </c>
      <c r="N879" s="28">
        <f t="shared" si="61"/>
        <v>46129</v>
      </c>
      <c r="O879" s="29">
        <f t="shared" si="62"/>
        <v>194</v>
      </c>
    </row>
    <row r="880" spans="1:15" x14ac:dyDescent="0.45">
      <c r="A880" s="11" t="s">
        <v>1037</v>
      </c>
      <c r="B880" s="12">
        <v>45698.429166666669</v>
      </c>
      <c r="C880" s="13">
        <v>205</v>
      </c>
      <c r="D880" s="14">
        <v>3.55</v>
      </c>
      <c r="E880" s="14">
        <v>3.45</v>
      </c>
      <c r="F880" s="14">
        <v>3.55</v>
      </c>
      <c r="G880" s="19">
        <v>0.05</v>
      </c>
      <c r="H880" s="20">
        <v>1.43E-2</v>
      </c>
      <c r="I880" s="14">
        <v>11</v>
      </c>
      <c r="J880" s="14">
        <v>770</v>
      </c>
      <c r="K880" s="18">
        <v>0.29320000000000002</v>
      </c>
      <c r="L880" s="26" t="b">
        <f t="shared" si="63"/>
        <v>0</v>
      </c>
      <c r="M880" s="26" t="str">
        <f t="shared" si="60"/>
        <v>put</v>
      </c>
      <c r="N880" s="28">
        <f t="shared" si="61"/>
        <v>46129</v>
      </c>
      <c r="O880" s="29">
        <f t="shared" si="62"/>
        <v>194</v>
      </c>
    </row>
    <row r="881" spans="1:15" x14ac:dyDescent="0.45">
      <c r="A881" s="11" t="s">
        <v>1038</v>
      </c>
      <c r="B881" s="12">
        <v>45726.600694444445</v>
      </c>
      <c r="C881" s="13">
        <v>210</v>
      </c>
      <c r="D881" s="14">
        <v>4.04</v>
      </c>
      <c r="E881" s="14">
        <v>4</v>
      </c>
      <c r="F881" s="14">
        <v>4.0999999999999996</v>
      </c>
      <c r="G881" s="15">
        <v>-0.06</v>
      </c>
      <c r="H881" s="16">
        <v>-1.46E-2</v>
      </c>
      <c r="I881" s="14">
        <v>24</v>
      </c>
      <c r="J881" s="14">
        <v>895</v>
      </c>
      <c r="K881" s="18">
        <v>0.28470000000000001</v>
      </c>
      <c r="L881" s="26" t="b">
        <f t="shared" si="63"/>
        <v>0</v>
      </c>
      <c r="M881" s="26" t="str">
        <f t="shared" si="60"/>
        <v>put</v>
      </c>
      <c r="N881" s="28">
        <f t="shared" si="61"/>
        <v>46129</v>
      </c>
      <c r="O881" s="29">
        <f t="shared" si="62"/>
        <v>194</v>
      </c>
    </row>
    <row r="882" spans="1:15" x14ac:dyDescent="0.45">
      <c r="A882" s="11" t="s">
        <v>1039</v>
      </c>
      <c r="B882" s="12">
        <v>45726.478472222225</v>
      </c>
      <c r="C882" s="13">
        <v>215</v>
      </c>
      <c r="D882" s="14">
        <v>4.59</v>
      </c>
      <c r="E882" s="14">
        <v>4.7</v>
      </c>
      <c r="F882" s="14">
        <v>4.8</v>
      </c>
      <c r="G882" s="15">
        <v>-0.26</v>
      </c>
      <c r="H882" s="16">
        <v>-5.3600000000000002E-2</v>
      </c>
      <c r="I882" s="14">
        <v>10</v>
      </c>
      <c r="J882" s="14">
        <v>316</v>
      </c>
      <c r="K882" s="18">
        <v>0.27779999999999999</v>
      </c>
      <c r="L882" s="26" t="b">
        <f t="shared" si="63"/>
        <v>0</v>
      </c>
      <c r="M882" s="26" t="str">
        <f t="shared" si="60"/>
        <v>put</v>
      </c>
      <c r="N882" s="28">
        <f t="shared" si="61"/>
        <v>46129</v>
      </c>
      <c r="O882" s="29">
        <f t="shared" si="62"/>
        <v>194</v>
      </c>
    </row>
    <row r="883" spans="1:15" x14ac:dyDescent="0.45">
      <c r="A883" s="11" t="s">
        <v>1040</v>
      </c>
      <c r="B883" s="12">
        <v>45726.529861111114</v>
      </c>
      <c r="C883" s="13">
        <v>220</v>
      </c>
      <c r="D883" s="14">
        <v>5.4</v>
      </c>
      <c r="E883" s="14">
        <v>5.45</v>
      </c>
      <c r="F883" s="14">
        <v>5.6</v>
      </c>
      <c r="G883" s="15">
        <v>-0.34</v>
      </c>
      <c r="H883" s="16">
        <v>-5.9200000000000003E-2</v>
      </c>
      <c r="I883" s="14">
        <v>5</v>
      </c>
      <c r="J883" s="14">
        <v>620</v>
      </c>
      <c r="K883" s="18">
        <v>0.27089999999999997</v>
      </c>
      <c r="L883" s="26" t="b">
        <f t="shared" si="63"/>
        <v>0</v>
      </c>
      <c r="M883" s="26" t="str">
        <f t="shared" si="60"/>
        <v>put</v>
      </c>
      <c r="N883" s="28">
        <f t="shared" si="61"/>
        <v>46129</v>
      </c>
      <c r="O883" s="29">
        <f t="shared" si="62"/>
        <v>194</v>
      </c>
    </row>
    <row r="884" spans="1:15" x14ac:dyDescent="0.45">
      <c r="A884" s="11" t="s">
        <v>1041</v>
      </c>
      <c r="B884" s="12">
        <v>45726.521527777775</v>
      </c>
      <c r="C884" s="13">
        <v>225</v>
      </c>
      <c r="D884" s="14">
        <v>6.28</v>
      </c>
      <c r="E884" s="14">
        <v>6.4</v>
      </c>
      <c r="F884" s="14">
        <v>6.5</v>
      </c>
      <c r="G884" s="15">
        <v>-0.42</v>
      </c>
      <c r="H884" s="16">
        <v>-6.2700000000000006E-2</v>
      </c>
      <c r="I884" s="17">
        <v>2009</v>
      </c>
      <c r="J884" s="17">
        <v>2416</v>
      </c>
      <c r="K884" s="18">
        <v>0.26369999999999999</v>
      </c>
      <c r="L884" s="26" t="b">
        <f t="shared" si="63"/>
        <v>0</v>
      </c>
      <c r="M884" s="26" t="str">
        <f t="shared" si="60"/>
        <v>put</v>
      </c>
      <c r="N884" s="28">
        <f t="shared" si="61"/>
        <v>46129</v>
      </c>
      <c r="O884" s="29">
        <f t="shared" si="62"/>
        <v>194</v>
      </c>
    </row>
    <row r="885" spans="1:15" x14ac:dyDescent="0.45">
      <c r="A885" s="11" t="s">
        <v>1042</v>
      </c>
      <c r="B885" s="12">
        <v>45726.398611111108</v>
      </c>
      <c r="C885" s="13">
        <v>230</v>
      </c>
      <c r="D885" s="14">
        <v>7.62</v>
      </c>
      <c r="E885" s="14">
        <v>7.4</v>
      </c>
      <c r="F885" s="14">
        <v>7.55</v>
      </c>
      <c r="G885" s="15">
        <v>-0.1</v>
      </c>
      <c r="H885" s="16">
        <v>-1.2999999999999999E-2</v>
      </c>
      <c r="I885" s="14">
        <v>8</v>
      </c>
      <c r="J885" s="14">
        <v>595</v>
      </c>
      <c r="K885" s="18">
        <v>0.25700000000000001</v>
      </c>
      <c r="L885" s="26" t="b">
        <f t="shared" si="63"/>
        <v>0</v>
      </c>
      <c r="M885" s="26" t="str">
        <f t="shared" si="60"/>
        <v>put</v>
      </c>
      <c r="N885" s="28">
        <f t="shared" si="61"/>
        <v>46129</v>
      </c>
      <c r="O885" s="29">
        <f t="shared" si="62"/>
        <v>194</v>
      </c>
    </row>
    <row r="886" spans="1:15" x14ac:dyDescent="0.45">
      <c r="A886" s="11" t="s">
        <v>1043</v>
      </c>
      <c r="B886" s="12">
        <v>45726.419444444444</v>
      </c>
      <c r="C886" s="13">
        <v>235</v>
      </c>
      <c r="D886" s="14">
        <v>8.8000000000000007</v>
      </c>
      <c r="E886" s="14">
        <v>8.6</v>
      </c>
      <c r="F886" s="14">
        <v>8.75</v>
      </c>
      <c r="G886" s="15">
        <v>-0.12</v>
      </c>
      <c r="H886" s="16">
        <v>-1.35E-2</v>
      </c>
      <c r="I886" s="14">
        <v>18</v>
      </c>
      <c r="J886" s="14">
        <v>410</v>
      </c>
      <c r="K886" s="18">
        <v>0.2505</v>
      </c>
      <c r="L886" s="26" t="b">
        <f t="shared" si="63"/>
        <v>0</v>
      </c>
      <c r="M886" s="26" t="str">
        <f t="shared" si="60"/>
        <v>put</v>
      </c>
      <c r="N886" s="28">
        <f t="shared" si="61"/>
        <v>46129</v>
      </c>
      <c r="O886" s="29">
        <f t="shared" si="62"/>
        <v>194</v>
      </c>
    </row>
    <row r="887" spans="1:15" x14ac:dyDescent="0.45">
      <c r="A887" s="11" t="s">
        <v>1044</v>
      </c>
      <c r="B887" s="12">
        <v>45726.615277777775</v>
      </c>
      <c r="C887" s="13">
        <v>240</v>
      </c>
      <c r="D887" s="14">
        <v>9.9</v>
      </c>
      <c r="E887" s="14">
        <v>9.9499999999999993</v>
      </c>
      <c r="F887" s="14">
        <v>10.1</v>
      </c>
      <c r="G887" s="15">
        <v>-0.4</v>
      </c>
      <c r="H887" s="16">
        <v>-3.8800000000000001E-2</v>
      </c>
      <c r="I887" s="14">
        <v>339</v>
      </c>
      <c r="J887" s="17">
        <v>1370</v>
      </c>
      <c r="K887" s="18">
        <v>0.24379999999999999</v>
      </c>
      <c r="L887" s="26" t="b">
        <f t="shared" si="63"/>
        <v>0</v>
      </c>
      <c r="M887" s="26" t="str">
        <f t="shared" si="60"/>
        <v>put</v>
      </c>
      <c r="N887" s="28">
        <f t="shared" si="61"/>
        <v>46129</v>
      </c>
      <c r="O887" s="29">
        <f t="shared" si="62"/>
        <v>194</v>
      </c>
    </row>
    <row r="888" spans="1:15" x14ac:dyDescent="0.45">
      <c r="A888" s="11" t="s">
        <v>1045</v>
      </c>
      <c r="B888" s="12">
        <v>45726.62222222222</v>
      </c>
      <c r="C888" s="13">
        <v>245</v>
      </c>
      <c r="D888" s="14">
        <v>11.45</v>
      </c>
      <c r="E888" s="14">
        <v>11.5</v>
      </c>
      <c r="F888" s="14">
        <v>11.65</v>
      </c>
      <c r="G888" s="15">
        <v>-0.5</v>
      </c>
      <c r="H888" s="16">
        <v>-4.1799999999999997E-2</v>
      </c>
      <c r="I888" s="14">
        <v>1</v>
      </c>
      <c r="J888" s="14">
        <v>84</v>
      </c>
      <c r="K888" s="18">
        <v>0.23760000000000001</v>
      </c>
      <c r="L888" s="26" t="b">
        <f t="shared" si="63"/>
        <v>0</v>
      </c>
      <c r="M888" s="26" t="str">
        <f t="shared" si="60"/>
        <v>put</v>
      </c>
      <c r="N888" s="28">
        <f t="shared" si="61"/>
        <v>46129</v>
      </c>
      <c r="O888" s="29">
        <f t="shared" si="62"/>
        <v>194</v>
      </c>
    </row>
    <row r="889" spans="1:15" x14ac:dyDescent="0.45">
      <c r="A889" s="11" t="s">
        <v>1046</v>
      </c>
      <c r="B889" s="12">
        <v>45726.615277777775</v>
      </c>
      <c r="C889" s="13">
        <v>250</v>
      </c>
      <c r="D889" s="14">
        <v>13.15</v>
      </c>
      <c r="E889" s="14">
        <v>13.2</v>
      </c>
      <c r="F889" s="14">
        <v>13.4</v>
      </c>
      <c r="G889" s="15">
        <v>-0.55000000000000004</v>
      </c>
      <c r="H889" s="16">
        <v>-4.0099999999999997E-2</v>
      </c>
      <c r="I889" s="14">
        <v>12</v>
      </c>
      <c r="J889" s="14">
        <v>189</v>
      </c>
      <c r="K889" s="18">
        <v>0.23139999999999999</v>
      </c>
      <c r="L889" s="26" t="b">
        <f t="shared" si="63"/>
        <v>0</v>
      </c>
      <c r="M889" s="26" t="str">
        <f t="shared" si="60"/>
        <v>put</v>
      </c>
      <c r="N889" s="28">
        <f t="shared" si="61"/>
        <v>46129</v>
      </c>
      <c r="O889" s="29">
        <f t="shared" si="62"/>
        <v>194</v>
      </c>
    </row>
    <row r="890" spans="1:15" x14ac:dyDescent="0.45">
      <c r="A890" s="11" t="s">
        <v>1047</v>
      </c>
      <c r="B890" s="12">
        <v>45726.600694444445</v>
      </c>
      <c r="C890" s="13">
        <v>255</v>
      </c>
      <c r="D890" s="14">
        <v>15.1</v>
      </c>
      <c r="E890" s="14">
        <v>15.15</v>
      </c>
      <c r="F890" s="14">
        <v>15.35</v>
      </c>
      <c r="G890" s="15">
        <v>-0.53</v>
      </c>
      <c r="H890" s="16">
        <v>-3.39E-2</v>
      </c>
      <c r="I890" s="14">
        <v>50</v>
      </c>
      <c r="J890" s="14">
        <v>233</v>
      </c>
      <c r="K890" s="18">
        <v>0.22520000000000001</v>
      </c>
      <c r="L890" s="26" t="b">
        <f t="shared" si="63"/>
        <v>0</v>
      </c>
      <c r="M890" s="26" t="str">
        <f t="shared" si="60"/>
        <v>put</v>
      </c>
      <c r="N890" s="28">
        <f t="shared" si="61"/>
        <v>46129</v>
      </c>
      <c r="O890" s="29">
        <f t="shared" si="62"/>
        <v>194</v>
      </c>
    </row>
    <row r="891" spans="1:15" x14ac:dyDescent="0.45">
      <c r="A891" s="1" t="s">
        <v>1048</v>
      </c>
      <c r="B891" s="2">
        <v>45726.625</v>
      </c>
      <c r="C891" s="3">
        <v>260</v>
      </c>
      <c r="D891" s="4">
        <v>17.3</v>
      </c>
      <c r="E891" s="4">
        <v>17.350000000000001</v>
      </c>
      <c r="F891" s="4">
        <v>17.55</v>
      </c>
      <c r="G891" s="8">
        <v>-0.55000000000000004</v>
      </c>
      <c r="H891" s="9">
        <v>-3.0800000000000001E-2</v>
      </c>
      <c r="I891" s="4">
        <v>9</v>
      </c>
      <c r="J891" s="4">
        <v>737</v>
      </c>
      <c r="K891" s="5">
        <v>0.21929999999999999</v>
      </c>
      <c r="L891" s="26" t="b">
        <f t="shared" si="63"/>
        <v>1</v>
      </c>
      <c r="M891" s="26" t="str">
        <f t="shared" si="60"/>
        <v>put</v>
      </c>
      <c r="N891" s="28">
        <f t="shared" si="61"/>
        <v>46129</v>
      </c>
      <c r="O891" s="29">
        <f t="shared" si="62"/>
        <v>194</v>
      </c>
    </row>
    <row r="892" spans="1:15" x14ac:dyDescent="0.45">
      <c r="A892" s="1" t="s">
        <v>1049</v>
      </c>
      <c r="B892" s="2">
        <v>45726.530555555553</v>
      </c>
      <c r="C892" s="3">
        <v>265</v>
      </c>
      <c r="D892" s="4">
        <v>19.7</v>
      </c>
      <c r="E892" s="4">
        <v>19.75</v>
      </c>
      <c r="F892" s="4">
        <v>19.95</v>
      </c>
      <c r="G892" s="8">
        <v>-1.07</v>
      </c>
      <c r="H892" s="9">
        <v>-5.1499999999999997E-2</v>
      </c>
      <c r="I892" s="4">
        <v>43</v>
      </c>
      <c r="J892" s="4">
        <v>10</v>
      </c>
      <c r="K892" s="5">
        <v>0.21310000000000001</v>
      </c>
      <c r="L892" s="26" t="b">
        <f t="shared" si="63"/>
        <v>1</v>
      </c>
      <c r="M892" s="26" t="str">
        <f t="shared" si="60"/>
        <v>put</v>
      </c>
      <c r="N892" s="28">
        <f t="shared" si="61"/>
        <v>46129</v>
      </c>
      <c r="O892" s="29">
        <f t="shared" si="62"/>
        <v>194</v>
      </c>
    </row>
    <row r="893" spans="1:15" x14ac:dyDescent="0.45">
      <c r="A893" s="1" t="s">
        <v>1050</v>
      </c>
      <c r="B893" s="2">
        <v>45726.530555555553</v>
      </c>
      <c r="C893" s="3">
        <v>270</v>
      </c>
      <c r="D893" s="4">
        <v>22.29</v>
      </c>
      <c r="E893" s="4">
        <v>22.4</v>
      </c>
      <c r="F893" s="4">
        <v>22.65</v>
      </c>
      <c r="G893" s="8">
        <v>-1.22</v>
      </c>
      <c r="H893" s="9">
        <v>-5.1900000000000002E-2</v>
      </c>
      <c r="I893" s="4">
        <v>10</v>
      </c>
      <c r="J893" s="4">
        <v>28</v>
      </c>
      <c r="K893" s="5">
        <v>0.20749999999999999</v>
      </c>
      <c r="L893" s="26" t="b">
        <f t="shared" si="63"/>
        <v>1</v>
      </c>
      <c r="M893" s="26" t="str">
        <f t="shared" ref="M893:M956" si="64">IF(MID(A893,11,1)="C","call","put")</f>
        <v>put</v>
      </c>
      <c r="N893" s="28">
        <f t="shared" ref="N893:N956" si="65">DATE(MID(A893,5,2)+2000,MID(A893,7,2),MID(A893,9,2))</f>
        <v>46129</v>
      </c>
      <c r="O893" s="29">
        <f t="shared" si="62"/>
        <v>194</v>
      </c>
    </row>
    <row r="894" spans="1:15" x14ac:dyDescent="0.45">
      <c r="A894" s="1" t="s">
        <v>1051</v>
      </c>
      <c r="B894" s="2">
        <v>45726.631249999999</v>
      </c>
      <c r="C894" s="3">
        <v>275</v>
      </c>
      <c r="D894" s="4">
        <v>25.44</v>
      </c>
      <c r="E894" s="4">
        <v>25.35</v>
      </c>
      <c r="F894" s="4">
        <v>26</v>
      </c>
      <c r="G894" s="8">
        <v>-0.54</v>
      </c>
      <c r="H894" s="9">
        <v>-2.0799999999999999E-2</v>
      </c>
      <c r="I894" s="4">
        <v>4</v>
      </c>
      <c r="J894" s="4">
        <v>15</v>
      </c>
      <c r="K894" s="5">
        <v>0.20760000000000001</v>
      </c>
      <c r="L894" s="26" t="b">
        <f t="shared" si="63"/>
        <v>1</v>
      </c>
      <c r="M894" s="26" t="str">
        <f t="shared" si="64"/>
        <v>put</v>
      </c>
      <c r="N894" s="28">
        <f t="shared" si="65"/>
        <v>46129</v>
      </c>
      <c r="O894" s="29">
        <f t="shared" ref="O894:O957" si="66">N894-DATE(2025,10,5)</f>
        <v>194</v>
      </c>
    </row>
    <row r="895" spans="1:15" x14ac:dyDescent="0.45">
      <c r="A895" s="1" t="s">
        <v>1052</v>
      </c>
      <c r="B895" s="2">
        <v>45726.631249999999</v>
      </c>
      <c r="C895" s="3">
        <v>280</v>
      </c>
      <c r="D895" s="4">
        <v>28.85</v>
      </c>
      <c r="E895" s="4">
        <v>28.25</v>
      </c>
      <c r="F895" s="4">
        <v>28.95</v>
      </c>
      <c r="G895" s="8">
        <v>-0.18</v>
      </c>
      <c r="H895" s="9">
        <v>-6.1999999999999998E-3</v>
      </c>
      <c r="I895" s="4">
        <v>5</v>
      </c>
      <c r="J895" s="4">
        <v>167</v>
      </c>
      <c r="K895" s="5">
        <v>0.19869999999999999</v>
      </c>
      <c r="L895" s="26" t="b">
        <f t="shared" si="63"/>
        <v>1</v>
      </c>
      <c r="M895" s="26" t="str">
        <f t="shared" si="64"/>
        <v>put</v>
      </c>
      <c r="N895" s="28">
        <f t="shared" si="65"/>
        <v>46129</v>
      </c>
      <c r="O895" s="29">
        <f t="shared" si="66"/>
        <v>194</v>
      </c>
    </row>
    <row r="896" spans="1:15" x14ac:dyDescent="0.45">
      <c r="A896" s="1" t="s">
        <v>1053</v>
      </c>
      <c r="B896" s="2">
        <v>45726.609027777777</v>
      </c>
      <c r="C896" s="3">
        <v>285</v>
      </c>
      <c r="D896" s="4">
        <v>32.049999999999997</v>
      </c>
      <c r="E896" s="4">
        <v>31.75</v>
      </c>
      <c r="F896" s="4">
        <v>32.450000000000003</v>
      </c>
      <c r="G896" s="8">
        <v>-0.28999999999999998</v>
      </c>
      <c r="H896" s="9">
        <v>-8.9999999999999993E-3</v>
      </c>
      <c r="I896" s="4">
        <v>10</v>
      </c>
      <c r="J896" s="4">
        <v>19</v>
      </c>
      <c r="K896" s="5">
        <v>0.19409999999999999</v>
      </c>
      <c r="L896" s="26" t="b">
        <f t="shared" ref="L896:L959" si="67">IF(M896="call",C896&lt;$P$1,C896&gt;$P$1)</f>
        <v>1</v>
      </c>
      <c r="M896" s="26" t="str">
        <f t="shared" si="64"/>
        <v>put</v>
      </c>
      <c r="N896" s="28">
        <f t="shared" si="65"/>
        <v>46129</v>
      </c>
      <c r="O896" s="29">
        <f t="shared" si="66"/>
        <v>194</v>
      </c>
    </row>
    <row r="897" spans="1:15" x14ac:dyDescent="0.45">
      <c r="A897" s="1" t="s">
        <v>1054</v>
      </c>
      <c r="B897" s="2">
        <v>45698.399305555555</v>
      </c>
      <c r="C897" s="3">
        <v>290</v>
      </c>
      <c r="D897" s="4">
        <v>35.979999999999997</v>
      </c>
      <c r="E897" s="4">
        <v>35.25</v>
      </c>
      <c r="F897" s="4">
        <v>36.1</v>
      </c>
      <c r="G897" s="8">
        <v>-1.56</v>
      </c>
      <c r="H897" s="9">
        <v>-4.1599999999999998E-2</v>
      </c>
      <c r="I897" s="4">
        <v>1</v>
      </c>
      <c r="J897" s="4">
        <v>3</v>
      </c>
      <c r="K897" s="5">
        <v>0.18809999999999999</v>
      </c>
      <c r="L897" s="26" t="b">
        <f t="shared" si="67"/>
        <v>1</v>
      </c>
      <c r="M897" s="26" t="str">
        <f t="shared" si="64"/>
        <v>put</v>
      </c>
      <c r="N897" s="28">
        <f t="shared" si="65"/>
        <v>46129</v>
      </c>
      <c r="O897" s="29">
        <f t="shared" si="66"/>
        <v>194</v>
      </c>
    </row>
    <row r="898" spans="1:15" x14ac:dyDescent="0.45">
      <c r="A898" s="1" t="s">
        <v>1055</v>
      </c>
      <c r="B898" s="2">
        <v>45726.559027777781</v>
      </c>
      <c r="C898" s="3">
        <v>300</v>
      </c>
      <c r="D898" s="4">
        <v>43.47</v>
      </c>
      <c r="E898" s="4">
        <v>43.25</v>
      </c>
      <c r="F898" s="4">
        <v>44.15</v>
      </c>
      <c r="G898" s="8">
        <v>-2.2999999999999998</v>
      </c>
      <c r="H898" s="9">
        <v>-5.0299999999999997E-2</v>
      </c>
      <c r="I898" s="4">
        <v>68</v>
      </c>
      <c r="J898" s="4">
        <v>104</v>
      </c>
      <c r="K898" s="5">
        <v>0.17749999999999999</v>
      </c>
      <c r="L898" s="26" t="b">
        <f t="shared" si="67"/>
        <v>1</v>
      </c>
      <c r="M898" s="26" t="str">
        <f t="shared" si="64"/>
        <v>put</v>
      </c>
      <c r="N898" s="28">
        <f t="shared" si="65"/>
        <v>46129</v>
      </c>
      <c r="O898" s="29">
        <f t="shared" si="66"/>
        <v>194</v>
      </c>
    </row>
    <row r="899" spans="1:15" x14ac:dyDescent="0.45">
      <c r="A899" s="21" t="s">
        <v>1056</v>
      </c>
      <c r="B899" s="22" t="s">
        <v>1057</v>
      </c>
      <c r="C899" s="23">
        <v>305</v>
      </c>
      <c r="D899" s="22">
        <v>49.55</v>
      </c>
      <c r="E899" s="22">
        <v>47.9</v>
      </c>
      <c r="F899" s="22">
        <v>48.5</v>
      </c>
      <c r="G899" s="31">
        <v>0</v>
      </c>
      <c r="H899" s="32">
        <v>0</v>
      </c>
      <c r="I899" s="22">
        <v>0</v>
      </c>
      <c r="J899" s="22">
        <v>10</v>
      </c>
      <c r="K899" s="24">
        <v>0.17299999999999999</v>
      </c>
      <c r="L899" s="26" t="b">
        <f t="shared" si="67"/>
        <v>1</v>
      </c>
      <c r="M899" s="26" t="str">
        <f t="shared" si="64"/>
        <v>put</v>
      </c>
      <c r="N899" s="28">
        <f t="shared" si="65"/>
        <v>46129</v>
      </c>
      <c r="O899" s="29">
        <f t="shared" si="66"/>
        <v>194</v>
      </c>
    </row>
    <row r="900" spans="1:15" x14ac:dyDescent="0.45">
      <c r="A900" s="1" t="s">
        <v>1058</v>
      </c>
      <c r="B900" s="4" t="s">
        <v>1059</v>
      </c>
      <c r="C900" s="3">
        <v>5</v>
      </c>
      <c r="D900" s="4">
        <v>248.9</v>
      </c>
      <c r="E900" s="4">
        <v>251.75</v>
      </c>
      <c r="F900" s="4">
        <v>254.25</v>
      </c>
      <c r="G900" s="4">
        <v>0</v>
      </c>
      <c r="H900" s="5">
        <v>0</v>
      </c>
      <c r="I900" s="4">
        <v>2</v>
      </c>
      <c r="J900" s="4">
        <v>3</v>
      </c>
      <c r="K900" s="5">
        <v>3.1825999999999999</v>
      </c>
      <c r="L900" s="26" t="b">
        <f t="shared" si="67"/>
        <v>1</v>
      </c>
      <c r="M900" s="26" t="str">
        <f t="shared" si="64"/>
        <v>call</v>
      </c>
      <c r="N900" s="28">
        <f t="shared" si="65"/>
        <v>46157</v>
      </c>
      <c r="O900" s="29">
        <f t="shared" si="66"/>
        <v>222</v>
      </c>
    </row>
    <row r="901" spans="1:15" x14ac:dyDescent="0.45">
      <c r="A901" s="1" t="s">
        <v>1060</v>
      </c>
      <c r="B901" s="2">
        <v>45845.642361111109</v>
      </c>
      <c r="C901" s="3">
        <v>30</v>
      </c>
      <c r="D901" s="4">
        <v>179.9</v>
      </c>
      <c r="E901" s="4">
        <v>224.8</v>
      </c>
      <c r="F901" s="4">
        <v>227.15</v>
      </c>
      <c r="G901" s="4">
        <v>0</v>
      </c>
      <c r="H901" s="5">
        <v>0</v>
      </c>
      <c r="I901" s="4">
        <v>1</v>
      </c>
      <c r="J901" s="4">
        <v>1</v>
      </c>
      <c r="K901" s="5">
        <v>0</v>
      </c>
      <c r="L901" s="26" t="b">
        <f t="shared" si="67"/>
        <v>1</v>
      </c>
      <c r="M901" s="26" t="str">
        <f t="shared" si="64"/>
        <v>call</v>
      </c>
      <c r="N901" s="28">
        <f t="shared" si="65"/>
        <v>46157</v>
      </c>
      <c r="O901" s="29">
        <f t="shared" si="66"/>
        <v>222</v>
      </c>
    </row>
    <row r="902" spans="1:15" x14ac:dyDescent="0.45">
      <c r="A902" s="1" t="s">
        <v>1061</v>
      </c>
      <c r="B902" s="2">
        <v>45755.502083333333</v>
      </c>
      <c r="C902" s="3">
        <v>60</v>
      </c>
      <c r="D902" s="4">
        <v>146.61000000000001</v>
      </c>
      <c r="E902" s="4">
        <v>195.6</v>
      </c>
      <c r="F902" s="4">
        <v>197.95</v>
      </c>
      <c r="G902" s="4">
        <v>0</v>
      </c>
      <c r="H902" s="5">
        <v>0</v>
      </c>
      <c r="I902" s="4">
        <v>0</v>
      </c>
      <c r="J902" s="4">
        <v>20</v>
      </c>
      <c r="K902" s="5">
        <v>0</v>
      </c>
      <c r="L902" s="26" t="b">
        <f t="shared" si="67"/>
        <v>1</v>
      </c>
      <c r="M902" s="26" t="str">
        <f t="shared" si="64"/>
        <v>call</v>
      </c>
      <c r="N902" s="28">
        <f t="shared" si="65"/>
        <v>46157</v>
      </c>
      <c r="O902" s="29">
        <f t="shared" si="66"/>
        <v>222</v>
      </c>
    </row>
    <row r="903" spans="1:15" x14ac:dyDescent="0.45">
      <c r="A903" s="1" t="s">
        <v>1062</v>
      </c>
      <c r="B903" s="4" t="s">
        <v>1063</v>
      </c>
      <c r="C903" s="3">
        <v>90</v>
      </c>
      <c r="D903" s="4">
        <v>167.85</v>
      </c>
      <c r="E903" s="4">
        <v>168.9</v>
      </c>
      <c r="F903" s="4">
        <v>171.25</v>
      </c>
      <c r="G903" s="6">
        <v>0</v>
      </c>
      <c r="H903" s="7">
        <v>0</v>
      </c>
      <c r="I903" s="4">
        <v>3</v>
      </c>
      <c r="J903" s="4">
        <v>33</v>
      </c>
      <c r="K903" s="5">
        <v>0.82669999999999999</v>
      </c>
      <c r="L903" s="26" t="b">
        <f t="shared" si="67"/>
        <v>1</v>
      </c>
      <c r="M903" s="26" t="str">
        <f t="shared" si="64"/>
        <v>call</v>
      </c>
      <c r="N903" s="28">
        <f t="shared" si="65"/>
        <v>46157</v>
      </c>
      <c r="O903" s="29">
        <f t="shared" si="66"/>
        <v>222</v>
      </c>
    </row>
    <row r="904" spans="1:15" x14ac:dyDescent="0.45">
      <c r="A904" s="1" t="s">
        <v>1064</v>
      </c>
      <c r="B904" s="2">
        <v>45786.469444444447</v>
      </c>
      <c r="C904" s="3">
        <v>95</v>
      </c>
      <c r="D904" s="4">
        <v>147.04</v>
      </c>
      <c r="E904" s="4">
        <v>164</v>
      </c>
      <c r="F904" s="4">
        <v>166.45</v>
      </c>
      <c r="G904" s="4">
        <v>0</v>
      </c>
      <c r="H904" s="5">
        <v>0</v>
      </c>
      <c r="I904" s="4">
        <v>1</v>
      </c>
      <c r="J904" s="4">
        <v>1</v>
      </c>
      <c r="K904" s="5">
        <v>0.79959999999999998</v>
      </c>
      <c r="L904" s="26" t="b">
        <f t="shared" si="67"/>
        <v>1</v>
      </c>
      <c r="M904" s="26" t="str">
        <f t="shared" si="64"/>
        <v>call</v>
      </c>
      <c r="N904" s="28">
        <f t="shared" si="65"/>
        <v>46157</v>
      </c>
      <c r="O904" s="29">
        <f t="shared" si="66"/>
        <v>222</v>
      </c>
    </row>
    <row r="905" spans="1:15" x14ac:dyDescent="0.45">
      <c r="A905" s="1" t="s">
        <v>1065</v>
      </c>
      <c r="B905" s="2">
        <v>45725.423611111109</v>
      </c>
      <c r="C905" s="3">
        <v>100</v>
      </c>
      <c r="D905" s="4">
        <v>138.9</v>
      </c>
      <c r="E905" s="4">
        <v>159.30000000000001</v>
      </c>
      <c r="F905" s="4">
        <v>161.65</v>
      </c>
      <c r="G905" s="4">
        <v>0</v>
      </c>
      <c r="H905" s="5">
        <v>0</v>
      </c>
      <c r="I905" s="4">
        <v>2</v>
      </c>
      <c r="J905" s="4">
        <v>5</v>
      </c>
      <c r="K905" s="5">
        <v>0.78029999999999999</v>
      </c>
      <c r="L905" s="26" t="b">
        <f t="shared" si="67"/>
        <v>1</v>
      </c>
      <c r="M905" s="26" t="str">
        <f t="shared" si="64"/>
        <v>call</v>
      </c>
      <c r="N905" s="28">
        <f t="shared" si="65"/>
        <v>46157</v>
      </c>
      <c r="O905" s="29">
        <f t="shared" si="66"/>
        <v>222</v>
      </c>
    </row>
    <row r="906" spans="1:15" x14ac:dyDescent="0.45">
      <c r="A906" s="1" t="s">
        <v>1066</v>
      </c>
      <c r="B906" s="4" t="s">
        <v>1059</v>
      </c>
      <c r="C906" s="3">
        <v>120</v>
      </c>
      <c r="D906" s="4">
        <v>140.6</v>
      </c>
      <c r="E906" s="4">
        <v>140.05000000000001</v>
      </c>
      <c r="F906" s="4">
        <v>142.05000000000001</v>
      </c>
      <c r="G906" s="6">
        <v>3.83</v>
      </c>
      <c r="H906" s="7">
        <v>2.8000000000000001E-2</v>
      </c>
      <c r="I906" s="4">
        <v>2</v>
      </c>
      <c r="J906" s="4">
        <v>80</v>
      </c>
      <c r="K906" s="5">
        <v>0.67810000000000004</v>
      </c>
      <c r="L906" s="26" t="b">
        <f t="shared" si="67"/>
        <v>1</v>
      </c>
      <c r="M906" s="26" t="str">
        <f t="shared" si="64"/>
        <v>call</v>
      </c>
      <c r="N906" s="28">
        <f t="shared" si="65"/>
        <v>46157</v>
      </c>
      <c r="O906" s="29">
        <f t="shared" si="66"/>
        <v>222</v>
      </c>
    </row>
    <row r="907" spans="1:15" x14ac:dyDescent="0.45">
      <c r="A907" s="1" t="s">
        <v>1067</v>
      </c>
      <c r="B907" s="4" t="s">
        <v>1068</v>
      </c>
      <c r="C907" s="3">
        <v>125</v>
      </c>
      <c r="D907" s="4">
        <v>92.9</v>
      </c>
      <c r="E907" s="4">
        <v>132.6</v>
      </c>
      <c r="F907" s="4">
        <v>134.85</v>
      </c>
      <c r="G907" s="4">
        <v>0</v>
      </c>
      <c r="H907" s="5">
        <v>0</v>
      </c>
      <c r="I907" s="4">
        <v>10</v>
      </c>
      <c r="J907" s="4">
        <v>41</v>
      </c>
      <c r="K907" s="5">
        <v>0.57740000000000002</v>
      </c>
      <c r="L907" s="26" t="b">
        <f t="shared" si="67"/>
        <v>1</v>
      </c>
      <c r="M907" s="26" t="str">
        <f t="shared" si="64"/>
        <v>call</v>
      </c>
      <c r="N907" s="28">
        <f t="shared" si="65"/>
        <v>46157</v>
      </c>
      <c r="O907" s="29">
        <f t="shared" si="66"/>
        <v>222</v>
      </c>
    </row>
    <row r="908" spans="1:15" x14ac:dyDescent="0.45">
      <c r="A908" s="1" t="s">
        <v>1069</v>
      </c>
      <c r="B908" s="4" t="s">
        <v>1059</v>
      </c>
      <c r="C908" s="3">
        <v>130</v>
      </c>
      <c r="D908" s="4">
        <v>127.15</v>
      </c>
      <c r="E908" s="4">
        <v>130.19999999999999</v>
      </c>
      <c r="F908" s="4">
        <v>132.1</v>
      </c>
      <c r="G908" s="6">
        <v>0</v>
      </c>
      <c r="H908" s="7">
        <v>0</v>
      </c>
      <c r="I908" s="4">
        <v>1</v>
      </c>
      <c r="J908" s="4">
        <v>74</v>
      </c>
      <c r="K908" s="5">
        <v>0.62180000000000002</v>
      </c>
      <c r="L908" s="26" t="b">
        <f t="shared" si="67"/>
        <v>1</v>
      </c>
      <c r="M908" s="26" t="str">
        <f t="shared" si="64"/>
        <v>call</v>
      </c>
      <c r="N908" s="28">
        <f t="shared" si="65"/>
        <v>46157</v>
      </c>
      <c r="O908" s="29">
        <f t="shared" si="66"/>
        <v>222</v>
      </c>
    </row>
    <row r="909" spans="1:15" x14ac:dyDescent="0.45">
      <c r="A909" s="1" t="s">
        <v>1070</v>
      </c>
      <c r="B909" s="4" t="s">
        <v>1071</v>
      </c>
      <c r="C909" s="3">
        <v>135</v>
      </c>
      <c r="D909" s="4">
        <v>97.7</v>
      </c>
      <c r="E909" s="4">
        <v>123</v>
      </c>
      <c r="F909" s="4">
        <v>125.45</v>
      </c>
      <c r="G909" s="6">
        <v>0</v>
      </c>
      <c r="H909" s="7">
        <v>0</v>
      </c>
      <c r="I909" s="4">
        <v>2</v>
      </c>
      <c r="J909" s="4">
        <v>2</v>
      </c>
      <c r="K909" s="5">
        <v>0.55789999999999995</v>
      </c>
      <c r="L909" s="26" t="b">
        <f t="shared" si="67"/>
        <v>1</v>
      </c>
      <c r="M909" s="26" t="str">
        <f t="shared" si="64"/>
        <v>call</v>
      </c>
      <c r="N909" s="28">
        <f t="shared" si="65"/>
        <v>46157</v>
      </c>
      <c r="O909" s="29">
        <f t="shared" si="66"/>
        <v>222</v>
      </c>
    </row>
    <row r="910" spans="1:15" x14ac:dyDescent="0.45">
      <c r="A910" s="1" t="s">
        <v>1072</v>
      </c>
      <c r="B910" s="4" t="s">
        <v>1073</v>
      </c>
      <c r="C910" s="3">
        <v>140</v>
      </c>
      <c r="D910" s="4">
        <v>119.65</v>
      </c>
      <c r="E910" s="4">
        <v>120.85</v>
      </c>
      <c r="F910" s="4">
        <v>122.75</v>
      </c>
      <c r="G910" s="6">
        <v>0</v>
      </c>
      <c r="H910" s="7">
        <v>0</v>
      </c>
      <c r="I910" s="4">
        <v>43</v>
      </c>
      <c r="J910" s="4">
        <v>43</v>
      </c>
      <c r="K910" s="5">
        <v>0.5927</v>
      </c>
      <c r="L910" s="26" t="b">
        <f t="shared" si="67"/>
        <v>1</v>
      </c>
      <c r="M910" s="26" t="str">
        <f t="shared" si="64"/>
        <v>call</v>
      </c>
      <c r="N910" s="28">
        <f t="shared" si="65"/>
        <v>46157</v>
      </c>
      <c r="O910" s="29">
        <f t="shared" si="66"/>
        <v>222</v>
      </c>
    </row>
    <row r="911" spans="1:15" x14ac:dyDescent="0.45">
      <c r="A911" s="1" t="s">
        <v>1074</v>
      </c>
      <c r="B911" s="4" t="s">
        <v>1075</v>
      </c>
      <c r="C911" s="3">
        <v>145</v>
      </c>
      <c r="D911" s="4">
        <v>112.84</v>
      </c>
      <c r="E911" s="4">
        <v>115.85</v>
      </c>
      <c r="F911" s="4">
        <v>118.15</v>
      </c>
      <c r="G911" s="6">
        <v>0</v>
      </c>
      <c r="H911" s="7">
        <v>0</v>
      </c>
      <c r="I911" s="4">
        <v>1</v>
      </c>
      <c r="J911" s="4">
        <v>14</v>
      </c>
      <c r="K911" s="5">
        <v>0.57240000000000002</v>
      </c>
      <c r="L911" s="26" t="b">
        <f t="shared" si="67"/>
        <v>1</v>
      </c>
      <c r="M911" s="26" t="str">
        <f t="shared" si="64"/>
        <v>call</v>
      </c>
      <c r="N911" s="28">
        <f t="shared" si="65"/>
        <v>46157</v>
      </c>
      <c r="O911" s="29">
        <f t="shared" si="66"/>
        <v>222</v>
      </c>
    </row>
    <row r="912" spans="1:15" x14ac:dyDescent="0.45">
      <c r="A912" s="1" t="s">
        <v>1076</v>
      </c>
      <c r="B912" s="2">
        <v>45698.418749999997</v>
      </c>
      <c r="C912" s="3">
        <v>150</v>
      </c>
      <c r="D912" s="4">
        <v>110.46</v>
      </c>
      <c r="E912" s="4">
        <v>111.85</v>
      </c>
      <c r="F912" s="4">
        <v>112.65</v>
      </c>
      <c r="G912" s="6">
        <v>0</v>
      </c>
      <c r="H912" s="7">
        <v>0</v>
      </c>
      <c r="I912" s="4">
        <v>1</v>
      </c>
      <c r="J912" s="4">
        <v>10</v>
      </c>
      <c r="K912" s="5">
        <v>0.55410000000000004</v>
      </c>
      <c r="L912" s="26" t="b">
        <f t="shared" si="67"/>
        <v>1</v>
      </c>
      <c r="M912" s="26" t="str">
        <f t="shared" si="64"/>
        <v>call</v>
      </c>
      <c r="N912" s="28">
        <f t="shared" si="65"/>
        <v>46157</v>
      </c>
      <c r="O912" s="29">
        <f t="shared" si="66"/>
        <v>222</v>
      </c>
    </row>
    <row r="913" spans="1:15" x14ac:dyDescent="0.45">
      <c r="A913" s="1" t="s">
        <v>1077</v>
      </c>
      <c r="B913" s="4" t="s">
        <v>1078</v>
      </c>
      <c r="C913" s="3">
        <v>155</v>
      </c>
      <c r="D913" s="4">
        <v>105.75</v>
      </c>
      <c r="E913" s="4">
        <v>107.15</v>
      </c>
      <c r="F913" s="4">
        <v>107.9</v>
      </c>
      <c r="G913" s="6">
        <v>0</v>
      </c>
      <c r="H913" s="7">
        <v>0</v>
      </c>
      <c r="I913" s="4">
        <v>1</v>
      </c>
      <c r="J913" s="4">
        <v>19</v>
      </c>
      <c r="K913" s="5">
        <v>0.53659999999999997</v>
      </c>
      <c r="L913" s="26" t="b">
        <f t="shared" si="67"/>
        <v>1</v>
      </c>
      <c r="M913" s="26" t="str">
        <f t="shared" si="64"/>
        <v>call</v>
      </c>
      <c r="N913" s="28">
        <f t="shared" si="65"/>
        <v>46157</v>
      </c>
      <c r="O913" s="29">
        <f t="shared" si="66"/>
        <v>222</v>
      </c>
    </row>
    <row r="914" spans="1:15" x14ac:dyDescent="0.45">
      <c r="A914" s="1" t="s">
        <v>1079</v>
      </c>
      <c r="B914" s="4" t="s">
        <v>972</v>
      </c>
      <c r="C914" s="3">
        <v>160</v>
      </c>
      <c r="D914" s="4">
        <v>100.88</v>
      </c>
      <c r="E914" s="4">
        <v>102.4</v>
      </c>
      <c r="F914" s="4">
        <v>103.7</v>
      </c>
      <c r="G914" s="6">
        <v>0</v>
      </c>
      <c r="H914" s="7">
        <v>0</v>
      </c>
      <c r="I914" s="4">
        <v>10</v>
      </c>
      <c r="J914" s="4">
        <v>17</v>
      </c>
      <c r="K914" s="5">
        <v>0.52700000000000002</v>
      </c>
      <c r="L914" s="26" t="b">
        <f t="shared" si="67"/>
        <v>1</v>
      </c>
      <c r="M914" s="26" t="str">
        <f t="shared" si="64"/>
        <v>call</v>
      </c>
      <c r="N914" s="28">
        <f t="shared" si="65"/>
        <v>46157</v>
      </c>
      <c r="O914" s="29">
        <f t="shared" si="66"/>
        <v>222</v>
      </c>
    </row>
    <row r="915" spans="1:15" x14ac:dyDescent="0.45">
      <c r="A915" s="1" t="s">
        <v>1080</v>
      </c>
      <c r="B915" s="4" t="s">
        <v>1081</v>
      </c>
      <c r="C915" s="3">
        <v>165</v>
      </c>
      <c r="D915" s="4">
        <v>94.74</v>
      </c>
      <c r="E915" s="4">
        <v>97.7</v>
      </c>
      <c r="F915" s="4">
        <v>99.1</v>
      </c>
      <c r="G915" s="6">
        <v>0</v>
      </c>
      <c r="H915" s="7">
        <v>0</v>
      </c>
      <c r="I915" s="4">
        <v>3</v>
      </c>
      <c r="J915" s="4">
        <v>27</v>
      </c>
      <c r="K915" s="5">
        <v>0.51100000000000001</v>
      </c>
      <c r="L915" s="26" t="b">
        <f t="shared" si="67"/>
        <v>1</v>
      </c>
      <c r="M915" s="26" t="str">
        <f t="shared" si="64"/>
        <v>call</v>
      </c>
      <c r="N915" s="28">
        <f t="shared" si="65"/>
        <v>46157</v>
      </c>
      <c r="O915" s="29">
        <f t="shared" si="66"/>
        <v>222</v>
      </c>
    </row>
    <row r="916" spans="1:15" x14ac:dyDescent="0.45">
      <c r="A916" s="1" t="s">
        <v>1082</v>
      </c>
      <c r="B916" s="2">
        <v>45667.640972222223</v>
      </c>
      <c r="C916" s="3">
        <v>170</v>
      </c>
      <c r="D916" s="4">
        <v>91.82</v>
      </c>
      <c r="E916" s="4">
        <v>92.45</v>
      </c>
      <c r="F916" s="4">
        <v>94.1</v>
      </c>
      <c r="G916" s="6">
        <v>0</v>
      </c>
      <c r="H916" s="7">
        <v>0</v>
      </c>
      <c r="I916" s="4">
        <v>2</v>
      </c>
      <c r="J916" s="4">
        <v>16</v>
      </c>
      <c r="K916" s="5">
        <v>0.50439999999999996</v>
      </c>
      <c r="L916" s="26" t="b">
        <f t="shared" si="67"/>
        <v>1</v>
      </c>
      <c r="M916" s="26" t="str">
        <f t="shared" si="64"/>
        <v>call</v>
      </c>
      <c r="N916" s="28">
        <f t="shared" si="65"/>
        <v>46157</v>
      </c>
      <c r="O916" s="29">
        <f t="shared" si="66"/>
        <v>222</v>
      </c>
    </row>
    <row r="917" spans="1:15" x14ac:dyDescent="0.45">
      <c r="A917" s="1" t="s">
        <v>1083</v>
      </c>
      <c r="B917" s="4" t="s">
        <v>1084</v>
      </c>
      <c r="C917" s="3">
        <v>175</v>
      </c>
      <c r="D917" s="4">
        <v>82.55</v>
      </c>
      <c r="E917" s="4">
        <v>87.85</v>
      </c>
      <c r="F917" s="4">
        <v>89.7</v>
      </c>
      <c r="G917" s="8">
        <v>0</v>
      </c>
      <c r="H917" s="9">
        <v>0</v>
      </c>
      <c r="I917" s="4">
        <v>20</v>
      </c>
      <c r="J917" s="4">
        <v>23</v>
      </c>
      <c r="K917" s="5">
        <v>0.49370000000000003</v>
      </c>
      <c r="L917" s="26" t="b">
        <f t="shared" si="67"/>
        <v>1</v>
      </c>
      <c r="M917" s="26" t="str">
        <f t="shared" si="64"/>
        <v>call</v>
      </c>
      <c r="N917" s="28">
        <f t="shared" si="65"/>
        <v>46157</v>
      </c>
      <c r="O917" s="29">
        <f t="shared" si="66"/>
        <v>222</v>
      </c>
    </row>
    <row r="918" spans="1:15" x14ac:dyDescent="0.45">
      <c r="A918" s="1" t="s">
        <v>1085</v>
      </c>
      <c r="B918" s="4" t="s">
        <v>272</v>
      </c>
      <c r="C918" s="3">
        <v>180</v>
      </c>
      <c r="D918" s="4">
        <v>81.150000000000006</v>
      </c>
      <c r="E918" s="4">
        <v>83.7</v>
      </c>
      <c r="F918" s="4">
        <v>84.95</v>
      </c>
      <c r="G918" s="6">
        <v>0</v>
      </c>
      <c r="H918" s="7">
        <v>0</v>
      </c>
      <c r="I918" s="4">
        <v>2</v>
      </c>
      <c r="J918" s="4">
        <v>60</v>
      </c>
      <c r="K918" s="5">
        <v>0.47349999999999998</v>
      </c>
      <c r="L918" s="26" t="b">
        <f t="shared" si="67"/>
        <v>1</v>
      </c>
      <c r="M918" s="26" t="str">
        <f t="shared" si="64"/>
        <v>call</v>
      </c>
      <c r="N918" s="28">
        <f t="shared" si="65"/>
        <v>46157</v>
      </c>
      <c r="O918" s="29">
        <f t="shared" si="66"/>
        <v>222</v>
      </c>
    </row>
    <row r="919" spans="1:15" x14ac:dyDescent="0.45">
      <c r="A919" s="1" t="s">
        <v>1086</v>
      </c>
      <c r="B919" s="2">
        <v>45726.65902777778</v>
      </c>
      <c r="C919" s="3">
        <v>185</v>
      </c>
      <c r="D919" s="4">
        <v>79.31</v>
      </c>
      <c r="E919" s="4">
        <v>79.2</v>
      </c>
      <c r="F919" s="4">
        <v>80</v>
      </c>
      <c r="G919" s="6">
        <v>0.31</v>
      </c>
      <c r="H919" s="7">
        <v>3.8999999999999998E-3</v>
      </c>
      <c r="I919" s="4">
        <v>1</v>
      </c>
      <c r="J919" s="4">
        <v>54</v>
      </c>
      <c r="K919" s="5">
        <v>0.44879999999999998</v>
      </c>
      <c r="L919" s="26" t="b">
        <f t="shared" si="67"/>
        <v>1</v>
      </c>
      <c r="M919" s="26" t="str">
        <f t="shared" si="64"/>
        <v>call</v>
      </c>
      <c r="N919" s="28">
        <f t="shared" si="65"/>
        <v>46157</v>
      </c>
      <c r="O919" s="29">
        <f t="shared" si="66"/>
        <v>222</v>
      </c>
    </row>
    <row r="920" spans="1:15" x14ac:dyDescent="0.45">
      <c r="A920" s="1" t="s">
        <v>1087</v>
      </c>
      <c r="B920" s="2">
        <v>45698.422222222223</v>
      </c>
      <c r="C920" s="3">
        <v>190</v>
      </c>
      <c r="D920" s="4">
        <v>73.150000000000006</v>
      </c>
      <c r="E920" s="4">
        <v>74.7</v>
      </c>
      <c r="F920" s="4">
        <v>75.5</v>
      </c>
      <c r="G920" s="8">
        <v>0</v>
      </c>
      <c r="H920" s="9">
        <v>0</v>
      </c>
      <c r="I920" s="4">
        <v>2</v>
      </c>
      <c r="J920" s="4">
        <v>57</v>
      </c>
      <c r="K920" s="5">
        <v>0.4345</v>
      </c>
      <c r="L920" s="26" t="b">
        <f t="shared" si="67"/>
        <v>1</v>
      </c>
      <c r="M920" s="26" t="str">
        <f t="shared" si="64"/>
        <v>call</v>
      </c>
      <c r="N920" s="28">
        <f t="shared" si="65"/>
        <v>46157</v>
      </c>
      <c r="O920" s="29">
        <f t="shared" si="66"/>
        <v>222</v>
      </c>
    </row>
    <row r="921" spans="1:15" x14ac:dyDescent="0.45">
      <c r="A921" s="1" t="s">
        <v>1088</v>
      </c>
      <c r="B921" s="2">
        <v>45698.649305555555</v>
      </c>
      <c r="C921" s="3">
        <v>195</v>
      </c>
      <c r="D921" s="4">
        <v>70.75</v>
      </c>
      <c r="E921" s="4">
        <v>70.25</v>
      </c>
      <c r="F921" s="4">
        <v>71</v>
      </c>
      <c r="G921" s="8">
        <v>0</v>
      </c>
      <c r="H921" s="9">
        <v>0</v>
      </c>
      <c r="I921" s="4">
        <v>10</v>
      </c>
      <c r="J921" s="4">
        <v>181</v>
      </c>
      <c r="K921" s="5">
        <v>0.41959999999999997</v>
      </c>
      <c r="L921" s="26" t="b">
        <f t="shared" si="67"/>
        <v>1</v>
      </c>
      <c r="M921" s="26" t="str">
        <f t="shared" si="64"/>
        <v>call</v>
      </c>
      <c r="N921" s="28">
        <f t="shared" si="65"/>
        <v>46157</v>
      </c>
      <c r="O921" s="29">
        <f t="shared" si="66"/>
        <v>222</v>
      </c>
    </row>
    <row r="922" spans="1:15" x14ac:dyDescent="0.45">
      <c r="A922" s="1" t="s">
        <v>1089</v>
      </c>
      <c r="B922" s="2">
        <v>45726.524305555555</v>
      </c>
      <c r="C922" s="3">
        <v>200</v>
      </c>
      <c r="D922" s="4">
        <v>66.91</v>
      </c>
      <c r="E922" s="4">
        <v>65.849999999999994</v>
      </c>
      <c r="F922" s="4">
        <v>66.55</v>
      </c>
      <c r="G922" s="8">
        <v>0.73</v>
      </c>
      <c r="H922" s="9">
        <v>1.0999999999999999E-2</v>
      </c>
      <c r="I922" s="4">
        <v>7</v>
      </c>
      <c r="J922" s="4">
        <v>304</v>
      </c>
      <c r="K922" s="5">
        <v>0.4052</v>
      </c>
      <c r="L922" s="26" t="b">
        <f t="shared" si="67"/>
        <v>1</v>
      </c>
      <c r="M922" s="26" t="str">
        <f t="shared" si="64"/>
        <v>call</v>
      </c>
      <c r="N922" s="28">
        <f t="shared" si="65"/>
        <v>46157</v>
      </c>
      <c r="O922" s="29">
        <f t="shared" si="66"/>
        <v>222</v>
      </c>
    </row>
    <row r="923" spans="1:15" x14ac:dyDescent="0.45">
      <c r="A923" s="1" t="s">
        <v>1090</v>
      </c>
      <c r="B923" s="2">
        <v>45726.470833333333</v>
      </c>
      <c r="C923" s="3">
        <v>210</v>
      </c>
      <c r="D923" s="4">
        <v>58.2</v>
      </c>
      <c r="E923" s="4">
        <v>57.5</v>
      </c>
      <c r="F923" s="4">
        <v>57.95</v>
      </c>
      <c r="G923" s="6">
        <v>0.32</v>
      </c>
      <c r="H923" s="7">
        <v>5.4999999999999997E-3</v>
      </c>
      <c r="I923" s="4">
        <v>20</v>
      </c>
      <c r="J923" s="10">
        <v>1174</v>
      </c>
      <c r="K923" s="5">
        <v>0.37990000000000002</v>
      </c>
      <c r="L923" s="26" t="b">
        <f t="shared" si="67"/>
        <v>1</v>
      </c>
      <c r="M923" s="26" t="str">
        <f t="shared" si="64"/>
        <v>call</v>
      </c>
      <c r="N923" s="28">
        <f t="shared" si="65"/>
        <v>46157</v>
      </c>
      <c r="O923" s="29">
        <f t="shared" si="66"/>
        <v>222</v>
      </c>
    </row>
    <row r="924" spans="1:15" x14ac:dyDescent="0.45">
      <c r="A924" s="1" t="s">
        <v>1091</v>
      </c>
      <c r="B924" s="2">
        <v>45726.630555555559</v>
      </c>
      <c r="C924" s="3">
        <v>220</v>
      </c>
      <c r="D924" s="4">
        <v>49.7</v>
      </c>
      <c r="E924" s="4">
        <v>49.45</v>
      </c>
      <c r="F924" s="4">
        <v>49.8</v>
      </c>
      <c r="G924" s="6">
        <v>-0.19</v>
      </c>
      <c r="H924" s="7">
        <v>-3.8E-3</v>
      </c>
      <c r="I924" s="4">
        <v>22</v>
      </c>
      <c r="J924" s="4">
        <v>875</v>
      </c>
      <c r="K924" s="5">
        <v>0.35830000000000001</v>
      </c>
      <c r="L924" s="26" t="b">
        <f t="shared" si="67"/>
        <v>1</v>
      </c>
      <c r="M924" s="26" t="str">
        <f t="shared" si="64"/>
        <v>call</v>
      </c>
      <c r="N924" s="28">
        <f t="shared" si="65"/>
        <v>46157</v>
      </c>
      <c r="O924" s="29">
        <f t="shared" si="66"/>
        <v>222</v>
      </c>
    </row>
    <row r="925" spans="1:15" x14ac:dyDescent="0.45">
      <c r="A925" s="1" t="s">
        <v>1092</v>
      </c>
      <c r="B925" s="2">
        <v>45726.600694444445</v>
      </c>
      <c r="C925" s="3">
        <v>230</v>
      </c>
      <c r="D925" s="4">
        <v>42.15</v>
      </c>
      <c r="E925" s="4">
        <v>41.75</v>
      </c>
      <c r="F925" s="4">
        <v>42.1</v>
      </c>
      <c r="G925" s="6">
        <v>0.42</v>
      </c>
      <c r="H925" s="7">
        <v>1.01E-2</v>
      </c>
      <c r="I925" s="4">
        <v>25</v>
      </c>
      <c r="J925" s="4">
        <v>754</v>
      </c>
      <c r="K925" s="5">
        <v>0.33889999999999998</v>
      </c>
      <c r="L925" s="26" t="b">
        <f t="shared" si="67"/>
        <v>1</v>
      </c>
      <c r="M925" s="26" t="str">
        <f t="shared" si="64"/>
        <v>call</v>
      </c>
      <c r="N925" s="28">
        <f t="shared" si="65"/>
        <v>46157</v>
      </c>
      <c r="O925" s="29">
        <f t="shared" si="66"/>
        <v>222</v>
      </c>
    </row>
    <row r="926" spans="1:15" x14ac:dyDescent="0.45">
      <c r="A926" s="1" t="s">
        <v>1093</v>
      </c>
      <c r="B926" s="2">
        <v>45726.630555555559</v>
      </c>
      <c r="C926" s="3">
        <v>240</v>
      </c>
      <c r="D926" s="4">
        <v>34.75</v>
      </c>
      <c r="E926" s="4">
        <v>34.65</v>
      </c>
      <c r="F926" s="4">
        <v>34.950000000000003</v>
      </c>
      <c r="G926" s="6">
        <v>-0.35</v>
      </c>
      <c r="H926" s="7">
        <v>-0.01</v>
      </c>
      <c r="I926" s="4">
        <v>37</v>
      </c>
      <c r="J926" s="10">
        <v>1006</v>
      </c>
      <c r="K926" s="5">
        <v>0.32169999999999999</v>
      </c>
      <c r="L926" s="26" t="b">
        <f t="shared" si="67"/>
        <v>1</v>
      </c>
      <c r="M926" s="26" t="str">
        <f t="shared" si="64"/>
        <v>call</v>
      </c>
      <c r="N926" s="28">
        <f t="shared" si="65"/>
        <v>46157</v>
      </c>
      <c r="O926" s="29">
        <f t="shared" si="66"/>
        <v>222</v>
      </c>
    </row>
    <row r="927" spans="1:15" x14ac:dyDescent="0.45">
      <c r="A927" s="1" t="s">
        <v>1094</v>
      </c>
      <c r="B927" s="2">
        <v>45726.630555555559</v>
      </c>
      <c r="C927" s="3">
        <v>250</v>
      </c>
      <c r="D927" s="4">
        <v>28.15</v>
      </c>
      <c r="E927" s="4">
        <v>28.1</v>
      </c>
      <c r="F927" s="4">
        <v>28.45</v>
      </c>
      <c r="G927" s="6">
        <v>0.05</v>
      </c>
      <c r="H927" s="7">
        <v>1.8E-3</v>
      </c>
      <c r="I927" s="4">
        <v>143</v>
      </c>
      <c r="J927" s="10">
        <v>1179</v>
      </c>
      <c r="K927" s="5">
        <v>0.30659999999999998</v>
      </c>
      <c r="L927" s="26" t="b">
        <f t="shared" si="67"/>
        <v>1</v>
      </c>
      <c r="M927" s="26" t="str">
        <f t="shared" si="64"/>
        <v>call</v>
      </c>
      <c r="N927" s="28">
        <f t="shared" si="65"/>
        <v>46157</v>
      </c>
      <c r="O927" s="29">
        <f t="shared" si="66"/>
        <v>222</v>
      </c>
    </row>
    <row r="928" spans="1:15" x14ac:dyDescent="0.45">
      <c r="A928" s="11" t="s">
        <v>1095</v>
      </c>
      <c r="B928" s="12">
        <v>45726.664583333331</v>
      </c>
      <c r="C928" s="13">
        <v>260</v>
      </c>
      <c r="D928" s="14">
        <v>22.35</v>
      </c>
      <c r="E928" s="14">
        <v>22.35</v>
      </c>
      <c r="F928" s="14">
        <v>22.5</v>
      </c>
      <c r="G928" s="15">
        <v>-0.05</v>
      </c>
      <c r="H928" s="16">
        <v>-2.2000000000000001E-3</v>
      </c>
      <c r="I928" s="14">
        <v>97</v>
      </c>
      <c r="J928" s="17">
        <v>1975</v>
      </c>
      <c r="K928" s="18">
        <v>0.29120000000000001</v>
      </c>
      <c r="L928" s="26" t="b">
        <f t="shared" si="67"/>
        <v>0</v>
      </c>
      <c r="M928" s="26" t="str">
        <f t="shared" si="64"/>
        <v>call</v>
      </c>
      <c r="N928" s="28">
        <f t="shared" si="65"/>
        <v>46157</v>
      </c>
      <c r="O928" s="29">
        <f t="shared" si="66"/>
        <v>222</v>
      </c>
    </row>
    <row r="929" spans="1:15" x14ac:dyDescent="0.45">
      <c r="A929" s="11" t="s">
        <v>1096</v>
      </c>
      <c r="B929" s="12">
        <v>45726.642361111109</v>
      </c>
      <c r="C929" s="13">
        <v>270</v>
      </c>
      <c r="D929" s="14">
        <v>17.39</v>
      </c>
      <c r="E929" s="14">
        <v>17.350000000000001</v>
      </c>
      <c r="F929" s="14">
        <v>17.55</v>
      </c>
      <c r="G929" s="19">
        <v>-0.06</v>
      </c>
      <c r="H929" s="20">
        <v>-3.3999999999999998E-3</v>
      </c>
      <c r="I929" s="14">
        <v>110</v>
      </c>
      <c r="J929" s="17">
        <v>2263</v>
      </c>
      <c r="K929" s="18">
        <v>0.28050000000000003</v>
      </c>
      <c r="L929" s="26" t="b">
        <f t="shared" si="67"/>
        <v>0</v>
      </c>
      <c r="M929" s="26" t="str">
        <f t="shared" si="64"/>
        <v>call</v>
      </c>
      <c r="N929" s="28">
        <f t="shared" si="65"/>
        <v>46157</v>
      </c>
      <c r="O929" s="29">
        <f t="shared" si="66"/>
        <v>222</v>
      </c>
    </row>
    <row r="930" spans="1:15" x14ac:dyDescent="0.45">
      <c r="A930" s="11" t="s">
        <v>1097</v>
      </c>
      <c r="B930" s="12">
        <v>45726.660416666666</v>
      </c>
      <c r="C930" s="13">
        <v>280</v>
      </c>
      <c r="D930" s="14">
        <v>13.2</v>
      </c>
      <c r="E930" s="14">
        <v>13.2</v>
      </c>
      <c r="F930" s="14">
        <v>13.35</v>
      </c>
      <c r="G930" s="14">
        <v>-0.05</v>
      </c>
      <c r="H930" s="18">
        <v>-3.8E-3</v>
      </c>
      <c r="I930" s="14">
        <v>36</v>
      </c>
      <c r="J930" s="17">
        <v>1058</v>
      </c>
      <c r="K930" s="18">
        <v>0.27079999999999999</v>
      </c>
      <c r="L930" s="26" t="b">
        <f t="shared" si="67"/>
        <v>0</v>
      </c>
      <c r="M930" s="26" t="str">
        <f t="shared" si="64"/>
        <v>call</v>
      </c>
      <c r="N930" s="28">
        <f t="shared" si="65"/>
        <v>46157</v>
      </c>
      <c r="O930" s="29">
        <f t="shared" si="66"/>
        <v>222</v>
      </c>
    </row>
    <row r="931" spans="1:15" x14ac:dyDescent="0.45">
      <c r="A931" s="11" t="s">
        <v>1098</v>
      </c>
      <c r="B931" s="12">
        <v>45726.545138888891</v>
      </c>
      <c r="C931" s="13">
        <v>290</v>
      </c>
      <c r="D931" s="14">
        <v>10.039999999999999</v>
      </c>
      <c r="E931" s="14">
        <v>9.9</v>
      </c>
      <c r="F931" s="14">
        <v>10.050000000000001</v>
      </c>
      <c r="G931" s="15">
        <v>-0.04</v>
      </c>
      <c r="H931" s="16">
        <v>-4.0000000000000001E-3</v>
      </c>
      <c r="I931" s="14">
        <v>8</v>
      </c>
      <c r="J931" s="14">
        <v>786</v>
      </c>
      <c r="K931" s="18">
        <v>0.26429999999999998</v>
      </c>
      <c r="L931" s="26" t="b">
        <f t="shared" si="67"/>
        <v>0</v>
      </c>
      <c r="M931" s="26" t="str">
        <f t="shared" si="64"/>
        <v>call</v>
      </c>
      <c r="N931" s="28">
        <f t="shared" si="65"/>
        <v>46157</v>
      </c>
      <c r="O931" s="29">
        <f t="shared" si="66"/>
        <v>222</v>
      </c>
    </row>
    <row r="932" spans="1:15" x14ac:dyDescent="0.45">
      <c r="A932" s="11" t="s">
        <v>1099</v>
      </c>
      <c r="B932" s="12">
        <v>45726.660416666666</v>
      </c>
      <c r="C932" s="13">
        <v>300</v>
      </c>
      <c r="D932" s="14">
        <v>7.3</v>
      </c>
      <c r="E932" s="14">
        <v>7.3</v>
      </c>
      <c r="F932" s="14">
        <v>7.45</v>
      </c>
      <c r="G932" s="14">
        <v>-0.3</v>
      </c>
      <c r="H932" s="18">
        <v>-3.95E-2</v>
      </c>
      <c r="I932" s="14">
        <v>22</v>
      </c>
      <c r="J932" s="17">
        <v>1729</v>
      </c>
      <c r="K932" s="18">
        <v>0.25919999999999999</v>
      </c>
      <c r="L932" s="26" t="b">
        <f t="shared" si="67"/>
        <v>0</v>
      </c>
      <c r="M932" s="26" t="str">
        <f t="shared" si="64"/>
        <v>call</v>
      </c>
      <c r="N932" s="28">
        <f t="shared" si="65"/>
        <v>46157</v>
      </c>
      <c r="O932" s="29">
        <f t="shared" si="66"/>
        <v>222</v>
      </c>
    </row>
    <row r="933" spans="1:15" x14ac:dyDescent="0.45">
      <c r="A933" s="11" t="s">
        <v>1100</v>
      </c>
      <c r="B933" s="12">
        <v>45726.635416666664</v>
      </c>
      <c r="C933" s="13">
        <v>310</v>
      </c>
      <c r="D933" s="14">
        <v>5.4</v>
      </c>
      <c r="E933" s="14">
        <v>5.3</v>
      </c>
      <c r="F933" s="14">
        <v>5.45</v>
      </c>
      <c r="G933" s="15">
        <v>-0.09</v>
      </c>
      <c r="H933" s="16">
        <v>-1.6400000000000001E-2</v>
      </c>
      <c r="I933" s="14">
        <v>120</v>
      </c>
      <c r="J933" s="14">
        <v>340</v>
      </c>
      <c r="K933" s="18">
        <v>0.25530000000000003</v>
      </c>
      <c r="L933" s="26" t="b">
        <f t="shared" si="67"/>
        <v>0</v>
      </c>
      <c r="M933" s="26" t="str">
        <f t="shared" si="64"/>
        <v>call</v>
      </c>
      <c r="N933" s="28">
        <f t="shared" si="65"/>
        <v>46157</v>
      </c>
      <c r="O933" s="29">
        <f t="shared" si="66"/>
        <v>222</v>
      </c>
    </row>
    <row r="934" spans="1:15" x14ac:dyDescent="0.45">
      <c r="A934" s="11" t="s">
        <v>1101</v>
      </c>
      <c r="B934" s="12">
        <v>45698.427777777775</v>
      </c>
      <c r="C934" s="13">
        <v>320</v>
      </c>
      <c r="D934" s="14">
        <v>4.1500000000000004</v>
      </c>
      <c r="E934" s="14">
        <v>3.85</v>
      </c>
      <c r="F934" s="14">
        <v>3.95</v>
      </c>
      <c r="G934" s="15">
        <v>0.55000000000000004</v>
      </c>
      <c r="H934" s="16">
        <v>0.15279999999999999</v>
      </c>
      <c r="I934" s="14">
        <v>1</v>
      </c>
      <c r="J934" s="14">
        <v>545</v>
      </c>
      <c r="K934" s="18">
        <v>0.25240000000000001</v>
      </c>
      <c r="L934" s="26" t="b">
        <f t="shared" si="67"/>
        <v>0</v>
      </c>
      <c r="M934" s="26" t="str">
        <f t="shared" si="64"/>
        <v>call</v>
      </c>
      <c r="N934" s="28">
        <f t="shared" si="65"/>
        <v>46157</v>
      </c>
      <c r="O934" s="29">
        <f t="shared" si="66"/>
        <v>222</v>
      </c>
    </row>
    <row r="935" spans="1:15" x14ac:dyDescent="0.45">
      <c r="A935" s="11" t="s">
        <v>1102</v>
      </c>
      <c r="B935" s="12">
        <v>45726.482638888891</v>
      </c>
      <c r="C935" s="13">
        <v>330</v>
      </c>
      <c r="D935" s="14">
        <v>3.07</v>
      </c>
      <c r="E935" s="14">
        <v>2.81</v>
      </c>
      <c r="F935" s="14">
        <v>2.88</v>
      </c>
      <c r="G935" s="15">
        <v>0.16</v>
      </c>
      <c r="H935" s="16">
        <v>5.5E-2</v>
      </c>
      <c r="I935" s="14">
        <v>40</v>
      </c>
      <c r="J935" s="14">
        <v>240</v>
      </c>
      <c r="K935" s="18">
        <v>0.25140000000000001</v>
      </c>
      <c r="L935" s="26" t="b">
        <f t="shared" si="67"/>
        <v>0</v>
      </c>
      <c r="M935" s="26" t="str">
        <f t="shared" si="64"/>
        <v>call</v>
      </c>
      <c r="N935" s="28">
        <f t="shared" si="65"/>
        <v>46157</v>
      </c>
      <c r="O935" s="29">
        <f t="shared" si="66"/>
        <v>222</v>
      </c>
    </row>
    <row r="936" spans="1:15" x14ac:dyDescent="0.45">
      <c r="A936" s="11" t="s">
        <v>1103</v>
      </c>
      <c r="B936" s="12">
        <v>45698.658333333333</v>
      </c>
      <c r="C936" s="13">
        <v>340</v>
      </c>
      <c r="D936" s="14">
        <v>2.2000000000000002</v>
      </c>
      <c r="E936" s="14">
        <v>2.04</v>
      </c>
      <c r="F936" s="14">
        <v>2.09</v>
      </c>
      <c r="G936" s="15">
        <v>7.0000000000000007E-2</v>
      </c>
      <c r="H936" s="16">
        <v>3.2899999999999999E-2</v>
      </c>
      <c r="I936" s="14">
        <v>1</v>
      </c>
      <c r="J936" s="14">
        <v>73</v>
      </c>
      <c r="K936" s="18">
        <v>0.25090000000000001</v>
      </c>
      <c r="L936" s="26" t="b">
        <f t="shared" si="67"/>
        <v>0</v>
      </c>
      <c r="M936" s="26" t="str">
        <f t="shared" si="64"/>
        <v>call</v>
      </c>
      <c r="N936" s="28">
        <f t="shared" si="65"/>
        <v>46157</v>
      </c>
      <c r="O936" s="29">
        <f t="shared" si="66"/>
        <v>222</v>
      </c>
    </row>
    <row r="937" spans="1:15" x14ac:dyDescent="0.45">
      <c r="A937" s="11" t="s">
        <v>1104</v>
      </c>
      <c r="B937" s="12">
        <v>45698.658333333333</v>
      </c>
      <c r="C937" s="13">
        <v>350</v>
      </c>
      <c r="D937" s="14">
        <v>1.56</v>
      </c>
      <c r="E937" s="14">
        <v>1.48</v>
      </c>
      <c r="F937" s="14">
        <v>1.53</v>
      </c>
      <c r="G937" s="15">
        <v>0</v>
      </c>
      <c r="H937" s="16">
        <v>0</v>
      </c>
      <c r="I937" s="14">
        <v>18</v>
      </c>
      <c r="J937" s="14">
        <v>402</v>
      </c>
      <c r="K937" s="18">
        <v>0.25130000000000002</v>
      </c>
      <c r="L937" s="26" t="b">
        <f t="shared" si="67"/>
        <v>0</v>
      </c>
      <c r="M937" s="26" t="str">
        <f t="shared" si="64"/>
        <v>call</v>
      </c>
      <c r="N937" s="28">
        <f t="shared" si="65"/>
        <v>46157</v>
      </c>
      <c r="O937" s="29">
        <f t="shared" si="66"/>
        <v>222</v>
      </c>
    </row>
    <row r="938" spans="1:15" x14ac:dyDescent="0.45">
      <c r="A938" s="11" t="s">
        <v>1105</v>
      </c>
      <c r="B938" s="12">
        <v>45698.524305555555</v>
      </c>
      <c r="C938" s="13">
        <v>360</v>
      </c>
      <c r="D938" s="14">
        <v>1.1499999999999999</v>
      </c>
      <c r="E938" s="14">
        <v>1.07</v>
      </c>
      <c r="F938" s="14">
        <v>1.1299999999999999</v>
      </c>
      <c r="G938" s="15">
        <v>0</v>
      </c>
      <c r="H938" s="16">
        <v>0</v>
      </c>
      <c r="I938" s="14">
        <v>5</v>
      </c>
      <c r="J938" s="14">
        <v>93</v>
      </c>
      <c r="K938" s="18">
        <v>0.25240000000000001</v>
      </c>
      <c r="L938" s="26" t="b">
        <f t="shared" si="67"/>
        <v>0</v>
      </c>
      <c r="M938" s="26" t="str">
        <f t="shared" si="64"/>
        <v>call</v>
      </c>
      <c r="N938" s="28">
        <f t="shared" si="65"/>
        <v>46157</v>
      </c>
      <c r="O938" s="29">
        <f t="shared" si="66"/>
        <v>222</v>
      </c>
    </row>
    <row r="939" spans="1:15" x14ac:dyDescent="0.45">
      <c r="A939" s="11" t="s">
        <v>1106</v>
      </c>
      <c r="B939" s="12">
        <v>45726.45</v>
      </c>
      <c r="C939" s="13">
        <v>370</v>
      </c>
      <c r="D939" s="14">
        <v>0.84</v>
      </c>
      <c r="E939" s="14">
        <v>0.78</v>
      </c>
      <c r="F939" s="14">
        <v>0.83</v>
      </c>
      <c r="G939" s="15">
        <v>-0.03</v>
      </c>
      <c r="H939" s="16">
        <v>-3.4500000000000003E-2</v>
      </c>
      <c r="I939" s="14">
        <v>1</v>
      </c>
      <c r="J939" s="14">
        <v>58</v>
      </c>
      <c r="K939" s="18">
        <v>0.2535</v>
      </c>
      <c r="L939" s="26" t="b">
        <f t="shared" si="67"/>
        <v>0</v>
      </c>
      <c r="M939" s="26" t="str">
        <f t="shared" si="64"/>
        <v>call</v>
      </c>
      <c r="N939" s="28">
        <f t="shared" si="65"/>
        <v>46157</v>
      </c>
      <c r="O939" s="29">
        <f t="shared" si="66"/>
        <v>222</v>
      </c>
    </row>
    <row r="940" spans="1:15" x14ac:dyDescent="0.45">
      <c r="A940" s="11" t="s">
        <v>1107</v>
      </c>
      <c r="B940" s="12">
        <v>45726.654861111114</v>
      </c>
      <c r="C940" s="13">
        <v>380</v>
      </c>
      <c r="D940" s="14">
        <v>0.6</v>
      </c>
      <c r="E940" s="14">
        <v>0.56999999999999995</v>
      </c>
      <c r="F940" s="14">
        <v>0.62</v>
      </c>
      <c r="G940" s="14">
        <v>-0.02</v>
      </c>
      <c r="H940" s="18">
        <v>-3.2300000000000002E-2</v>
      </c>
      <c r="I940" s="14">
        <v>206</v>
      </c>
      <c r="J940" s="14">
        <v>960</v>
      </c>
      <c r="K940" s="18">
        <v>0.25530000000000003</v>
      </c>
      <c r="L940" s="26" t="b">
        <f t="shared" si="67"/>
        <v>0</v>
      </c>
      <c r="M940" s="26" t="str">
        <f t="shared" si="64"/>
        <v>call</v>
      </c>
      <c r="N940" s="28">
        <f t="shared" si="65"/>
        <v>46157</v>
      </c>
      <c r="O940" s="29">
        <f t="shared" si="66"/>
        <v>222</v>
      </c>
    </row>
    <row r="941" spans="1:15" x14ac:dyDescent="0.45">
      <c r="A941" s="11" t="s">
        <v>1108</v>
      </c>
      <c r="B941" s="12">
        <v>45726.474999999999</v>
      </c>
      <c r="C941" s="13">
        <v>390</v>
      </c>
      <c r="D941" s="14">
        <v>0.49</v>
      </c>
      <c r="E941" s="14">
        <v>0.41</v>
      </c>
      <c r="F941" s="14">
        <v>0.47</v>
      </c>
      <c r="G941" s="15">
        <v>0.06</v>
      </c>
      <c r="H941" s="16">
        <v>0.13950000000000001</v>
      </c>
      <c r="I941" s="14">
        <v>7</v>
      </c>
      <c r="J941" s="14">
        <v>83</v>
      </c>
      <c r="K941" s="18">
        <v>0.2576</v>
      </c>
      <c r="L941" s="26" t="b">
        <f t="shared" si="67"/>
        <v>0</v>
      </c>
      <c r="M941" s="26" t="str">
        <f t="shared" si="64"/>
        <v>call</v>
      </c>
      <c r="N941" s="28">
        <f t="shared" si="65"/>
        <v>46157</v>
      </c>
      <c r="O941" s="29">
        <f t="shared" si="66"/>
        <v>222</v>
      </c>
    </row>
    <row r="942" spans="1:15" x14ac:dyDescent="0.45">
      <c r="A942" s="11" t="s">
        <v>1109</v>
      </c>
      <c r="B942" s="12">
        <v>45726.606249999997</v>
      </c>
      <c r="C942" s="13">
        <v>400</v>
      </c>
      <c r="D942" s="14">
        <v>0.34</v>
      </c>
      <c r="E942" s="14">
        <v>0.3</v>
      </c>
      <c r="F942" s="14">
        <v>0.35</v>
      </c>
      <c r="G942" s="19">
        <v>0.03</v>
      </c>
      <c r="H942" s="20">
        <v>9.6799999999999997E-2</v>
      </c>
      <c r="I942" s="14">
        <v>19</v>
      </c>
      <c r="J942" s="17">
        <v>1573</v>
      </c>
      <c r="K942" s="18">
        <v>0.25900000000000001</v>
      </c>
      <c r="L942" s="26" t="b">
        <f t="shared" si="67"/>
        <v>0</v>
      </c>
      <c r="M942" s="26" t="str">
        <f t="shared" si="64"/>
        <v>call</v>
      </c>
      <c r="N942" s="28">
        <f t="shared" si="65"/>
        <v>46157</v>
      </c>
      <c r="O942" s="29">
        <f t="shared" si="66"/>
        <v>222</v>
      </c>
    </row>
    <row r="943" spans="1:15" x14ac:dyDescent="0.45">
      <c r="A943" s="11" t="s">
        <v>1110</v>
      </c>
      <c r="B943" s="12">
        <v>45697.52847222222</v>
      </c>
      <c r="C943" s="13">
        <v>5</v>
      </c>
      <c r="D943" s="14">
        <v>0.01</v>
      </c>
      <c r="E943" s="14">
        <v>0</v>
      </c>
      <c r="F943" s="14">
        <v>0.03</v>
      </c>
      <c r="G943" s="14">
        <v>0</v>
      </c>
      <c r="H943" s="18">
        <v>0</v>
      </c>
      <c r="I943" s="14">
        <v>10</v>
      </c>
      <c r="J943" s="17">
        <v>3062</v>
      </c>
      <c r="K943" s="18">
        <v>1.6875</v>
      </c>
      <c r="L943" s="26" t="b">
        <f t="shared" si="67"/>
        <v>0</v>
      </c>
      <c r="M943" s="26" t="str">
        <f t="shared" si="64"/>
        <v>put</v>
      </c>
      <c r="N943" s="28">
        <f t="shared" si="65"/>
        <v>46157</v>
      </c>
      <c r="O943" s="29">
        <f t="shared" si="66"/>
        <v>222</v>
      </c>
    </row>
    <row r="944" spans="1:15" x14ac:dyDescent="0.45">
      <c r="A944" s="11" t="s">
        <v>1111</v>
      </c>
      <c r="B944" s="12">
        <v>45726.559027777781</v>
      </c>
      <c r="C944" s="13">
        <v>10</v>
      </c>
      <c r="D944" s="14">
        <v>0.01</v>
      </c>
      <c r="E944" s="14">
        <v>0</v>
      </c>
      <c r="F944" s="14">
        <v>0.34</v>
      </c>
      <c r="G944" s="14">
        <v>0</v>
      </c>
      <c r="H944" s="18">
        <v>0</v>
      </c>
      <c r="I944" s="14">
        <v>1</v>
      </c>
      <c r="J944" s="17">
        <v>1046</v>
      </c>
      <c r="K944" s="18">
        <v>1.7539</v>
      </c>
      <c r="L944" s="26" t="b">
        <f t="shared" si="67"/>
        <v>0</v>
      </c>
      <c r="M944" s="26" t="str">
        <f t="shared" si="64"/>
        <v>put</v>
      </c>
      <c r="N944" s="28">
        <f t="shared" si="65"/>
        <v>46157</v>
      </c>
      <c r="O944" s="29">
        <f t="shared" si="66"/>
        <v>222</v>
      </c>
    </row>
    <row r="945" spans="1:15" x14ac:dyDescent="0.45">
      <c r="A945" s="11" t="s">
        <v>1112</v>
      </c>
      <c r="B945" s="12">
        <v>45909.414583333331</v>
      </c>
      <c r="C945" s="13">
        <v>15</v>
      </c>
      <c r="D945" s="14">
        <v>0.01</v>
      </c>
      <c r="E945" s="14">
        <v>0</v>
      </c>
      <c r="F945" s="14">
        <v>0.23</v>
      </c>
      <c r="G945" s="14">
        <v>0</v>
      </c>
      <c r="H945" s="18">
        <v>0</v>
      </c>
      <c r="I945" s="14">
        <v>0</v>
      </c>
      <c r="J945" s="14">
        <v>2</v>
      </c>
      <c r="K945" s="18">
        <v>1.4434</v>
      </c>
      <c r="L945" s="26" t="b">
        <f t="shared" si="67"/>
        <v>0</v>
      </c>
      <c r="M945" s="26" t="str">
        <f t="shared" si="64"/>
        <v>put</v>
      </c>
      <c r="N945" s="28">
        <f t="shared" si="65"/>
        <v>46157</v>
      </c>
      <c r="O945" s="29">
        <f t="shared" si="66"/>
        <v>222</v>
      </c>
    </row>
    <row r="946" spans="1:15" x14ac:dyDescent="0.45">
      <c r="A946" s="11" t="s">
        <v>1113</v>
      </c>
      <c r="B946" s="12">
        <v>45726.550694444442</v>
      </c>
      <c r="C946" s="13">
        <v>35</v>
      </c>
      <c r="D946" s="14">
        <v>0.02</v>
      </c>
      <c r="E946" s="14">
        <v>0</v>
      </c>
      <c r="F946" s="14">
        <v>0.23</v>
      </c>
      <c r="G946" s="14">
        <v>0.01</v>
      </c>
      <c r="H946" s="18">
        <v>1</v>
      </c>
      <c r="I946" s="14">
        <v>1</v>
      </c>
      <c r="J946" s="14">
        <v>37</v>
      </c>
      <c r="K946" s="18">
        <v>0.998</v>
      </c>
      <c r="L946" s="26" t="b">
        <f t="shared" si="67"/>
        <v>0</v>
      </c>
      <c r="M946" s="26" t="str">
        <f t="shared" si="64"/>
        <v>put</v>
      </c>
      <c r="N946" s="28">
        <f t="shared" si="65"/>
        <v>46157</v>
      </c>
      <c r="O946" s="29">
        <f t="shared" si="66"/>
        <v>222</v>
      </c>
    </row>
    <row r="947" spans="1:15" x14ac:dyDescent="0.45">
      <c r="A947" s="11" t="s">
        <v>1114</v>
      </c>
      <c r="B947" s="12">
        <v>45726.558333333334</v>
      </c>
      <c r="C947" s="13">
        <v>45</v>
      </c>
      <c r="D947" s="14">
        <v>0.01</v>
      </c>
      <c r="E947" s="14">
        <v>0</v>
      </c>
      <c r="F947" s="14">
        <v>0.04</v>
      </c>
      <c r="G947" s="14">
        <v>-0.01</v>
      </c>
      <c r="H947" s="18">
        <v>-0.5</v>
      </c>
      <c r="I947" s="14">
        <v>1</v>
      </c>
      <c r="J947" s="14">
        <v>46</v>
      </c>
      <c r="K947" s="18">
        <v>0.73440000000000005</v>
      </c>
      <c r="L947" s="26" t="b">
        <f t="shared" si="67"/>
        <v>0</v>
      </c>
      <c r="M947" s="26" t="str">
        <f t="shared" si="64"/>
        <v>put</v>
      </c>
      <c r="N947" s="28">
        <f t="shared" si="65"/>
        <v>46157</v>
      </c>
      <c r="O947" s="29">
        <f t="shared" si="66"/>
        <v>222</v>
      </c>
    </row>
    <row r="948" spans="1:15" x14ac:dyDescent="0.45">
      <c r="A948" s="11" t="s">
        <v>1115</v>
      </c>
      <c r="B948" s="14" t="s">
        <v>1116</v>
      </c>
      <c r="C948" s="13">
        <v>50</v>
      </c>
      <c r="D948" s="14">
        <v>0.03</v>
      </c>
      <c r="E948" s="14">
        <v>0.02</v>
      </c>
      <c r="F948" s="14">
        <v>0.24</v>
      </c>
      <c r="G948" s="15">
        <v>0</v>
      </c>
      <c r="H948" s="16">
        <v>0</v>
      </c>
      <c r="I948" s="14">
        <v>1</v>
      </c>
      <c r="J948" s="14">
        <v>5</v>
      </c>
      <c r="K948" s="18">
        <v>0.83009999999999995</v>
      </c>
      <c r="L948" s="26" t="b">
        <f t="shared" si="67"/>
        <v>0</v>
      </c>
      <c r="M948" s="26" t="str">
        <f t="shared" si="64"/>
        <v>put</v>
      </c>
      <c r="N948" s="28">
        <f t="shared" si="65"/>
        <v>46157</v>
      </c>
      <c r="O948" s="29">
        <f t="shared" si="66"/>
        <v>222</v>
      </c>
    </row>
    <row r="949" spans="1:15" x14ac:dyDescent="0.45">
      <c r="A949" s="11" t="s">
        <v>1117</v>
      </c>
      <c r="B949" s="14" t="s">
        <v>1118</v>
      </c>
      <c r="C949" s="13">
        <v>60</v>
      </c>
      <c r="D949" s="14">
        <v>0.04</v>
      </c>
      <c r="E949" s="14">
        <v>0</v>
      </c>
      <c r="F949" s="14">
        <v>0.24</v>
      </c>
      <c r="G949" s="14">
        <v>0</v>
      </c>
      <c r="H949" s="18">
        <v>0</v>
      </c>
      <c r="I949" s="14">
        <v>100</v>
      </c>
      <c r="J949" s="14">
        <v>106</v>
      </c>
      <c r="K949" s="18">
        <v>0.73340000000000005</v>
      </c>
      <c r="L949" s="26" t="b">
        <f t="shared" si="67"/>
        <v>0</v>
      </c>
      <c r="M949" s="26" t="str">
        <f t="shared" si="64"/>
        <v>put</v>
      </c>
      <c r="N949" s="28">
        <f t="shared" si="65"/>
        <v>46157</v>
      </c>
      <c r="O949" s="29">
        <f t="shared" si="66"/>
        <v>222</v>
      </c>
    </row>
    <row r="950" spans="1:15" x14ac:dyDescent="0.45">
      <c r="A950" s="11" t="s">
        <v>1119</v>
      </c>
      <c r="B950" s="12">
        <v>45756.474305555559</v>
      </c>
      <c r="C950" s="13">
        <v>70</v>
      </c>
      <c r="D950" s="14">
        <v>0.05</v>
      </c>
      <c r="E950" s="14">
        <v>0.03</v>
      </c>
      <c r="F950" s="14">
        <v>0.15</v>
      </c>
      <c r="G950" s="14">
        <v>0</v>
      </c>
      <c r="H950" s="18">
        <v>0</v>
      </c>
      <c r="I950" s="14">
        <v>1</v>
      </c>
      <c r="J950" s="14">
        <v>18</v>
      </c>
      <c r="K950" s="18">
        <v>0.63670000000000004</v>
      </c>
      <c r="L950" s="26" t="b">
        <f t="shared" si="67"/>
        <v>0</v>
      </c>
      <c r="M950" s="26" t="str">
        <f t="shared" si="64"/>
        <v>put</v>
      </c>
      <c r="N950" s="28">
        <f t="shared" si="65"/>
        <v>46157</v>
      </c>
      <c r="O950" s="29">
        <f t="shared" si="66"/>
        <v>222</v>
      </c>
    </row>
    <row r="951" spans="1:15" x14ac:dyDescent="0.45">
      <c r="A951" s="11" t="s">
        <v>1120</v>
      </c>
      <c r="B951" s="14" t="s">
        <v>1121</v>
      </c>
      <c r="C951" s="13">
        <v>80</v>
      </c>
      <c r="D951" s="14">
        <v>0.12</v>
      </c>
      <c r="E951" s="14">
        <v>0.06</v>
      </c>
      <c r="F951" s="14">
        <v>0.12</v>
      </c>
      <c r="G951" s="14">
        <v>0</v>
      </c>
      <c r="H951" s="18">
        <v>0</v>
      </c>
      <c r="I951" s="14">
        <v>1</v>
      </c>
      <c r="J951" s="14">
        <v>5</v>
      </c>
      <c r="K951" s="18">
        <v>0.57420000000000004</v>
      </c>
      <c r="L951" s="26" t="b">
        <f t="shared" si="67"/>
        <v>0</v>
      </c>
      <c r="M951" s="26" t="str">
        <f t="shared" si="64"/>
        <v>put</v>
      </c>
      <c r="N951" s="28">
        <f t="shared" si="65"/>
        <v>46157</v>
      </c>
      <c r="O951" s="29">
        <f t="shared" si="66"/>
        <v>222</v>
      </c>
    </row>
    <row r="952" spans="1:15" x14ac:dyDescent="0.45">
      <c r="A952" s="11" t="s">
        <v>1122</v>
      </c>
      <c r="B952" s="14" t="s">
        <v>1123</v>
      </c>
      <c r="C952" s="13">
        <v>85</v>
      </c>
      <c r="D952" s="14">
        <v>0.11</v>
      </c>
      <c r="E952" s="14">
        <v>7.0000000000000007E-2</v>
      </c>
      <c r="F952" s="14">
        <v>0.13</v>
      </c>
      <c r="G952" s="19">
        <v>0</v>
      </c>
      <c r="H952" s="20">
        <v>0</v>
      </c>
      <c r="I952" s="14">
        <v>20</v>
      </c>
      <c r="J952" s="14">
        <v>22</v>
      </c>
      <c r="K952" s="18">
        <v>0.55269999999999997</v>
      </c>
      <c r="L952" s="26" t="b">
        <f t="shared" si="67"/>
        <v>0</v>
      </c>
      <c r="M952" s="26" t="str">
        <f t="shared" si="64"/>
        <v>put</v>
      </c>
      <c r="N952" s="28">
        <f t="shared" si="65"/>
        <v>46157</v>
      </c>
      <c r="O952" s="29">
        <f t="shared" si="66"/>
        <v>222</v>
      </c>
    </row>
    <row r="953" spans="1:15" x14ac:dyDescent="0.45">
      <c r="A953" s="11" t="s">
        <v>1124</v>
      </c>
      <c r="B953" s="12">
        <v>46000.429166666669</v>
      </c>
      <c r="C953" s="13">
        <v>90</v>
      </c>
      <c r="D953" s="14">
        <v>0.15</v>
      </c>
      <c r="E953" s="14">
        <v>0.09</v>
      </c>
      <c r="F953" s="14">
        <v>0.14000000000000001</v>
      </c>
      <c r="G953" s="19">
        <v>0</v>
      </c>
      <c r="H953" s="20">
        <v>0</v>
      </c>
      <c r="I953" s="14">
        <v>1</v>
      </c>
      <c r="J953" s="14">
        <v>7</v>
      </c>
      <c r="K953" s="18">
        <v>0.53320000000000001</v>
      </c>
      <c r="L953" s="26" t="b">
        <f t="shared" si="67"/>
        <v>0</v>
      </c>
      <c r="M953" s="26" t="str">
        <f t="shared" si="64"/>
        <v>put</v>
      </c>
      <c r="N953" s="28">
        <f t="shared" si="65"/>
        <v>46157</v>
      </c>
      <c r="O953" s="29">
        <f t="shared" si="66"/>
        <v>222</v>
      </c>
    </row>
    <row r="954" spans="1:15" x14ac:dyDescent="0.45">
      <c r="A954" s="11" t="s">
        <v>1125</v>
      </c>
      <c r="B954" s="12">
        <v>45785.518055555556</v>
      </c>
      <c r="C954" s="13">
        <v>95</v>
      </c>
      <c r="D954" s="14">
        <v>0.33</v>
      </c>
      <c r="E954" s="14">
        <v>0.13</v>
      </c>
      <c r="F954" s="14">
        <v>0.17</v>
      </c>
      <c r="G954" s="14">
        <v>0</v>
      </c>
      <c r="H954" s="18">
        <v>0</v>
      </c>
      <c r="I954" s="14">
        <v>1</v>
      </c>
      <c r="J954" s="14">
        <v>15</v>
      </c>
      <c r="K954" s="18">
        <v>0.52339999999999998</v>
      </c>
      <c r="L954" s="26" t="b">
        <f t="shared" si="67"/>
        <v>0</v>
      </c>
      <c r="M954" s="26" t="str">
        <f t="shared" si="64"/>
        <v>put</v>
      </c>
      <c r="N954" s="28">
        <f t="shared" si="65"/>
        <v>46157</v>
      </c>
      <c r="O954" s="29">
        <f t="shared" si="66"/>
        <v>222</v>
      </c>
    </row>
    <row r="955" spans="1:15" x14ac:dyDescent="0.45">
      <c r="A955" s="11" t="s">
        <v>1126</v>
      </c>
      <c r="B955" s="14" t="s">
        <v>1127</v>
      </c>
      <c r="C955" s="13">
        <v>100</v>
      </c>
      <c r="D955" s="14">
        <v>0.19</v>
      </c>
      <c r="E955" s="14">
        <v>0.15</v>
      </c>
      <c r="F955" s="14">
        <v>0.18</v>
      </c>
      <c r="G955" s="15">
        <v>0</v>
      </c>
      <c r="H955" s="16">
        <v>0</v>
      </c>
      <c r="I955" s="14">
        <v>5</v>
      </c>
      <c r="J955" s="14">
        <v>91</v>
      </c>
      <c r="K955" s="18">
        <v>0.50390000000000001</v>
      </c>
      <c r="L955" s="26" t="b">
        <f t="shared" si="67"/>
        <v>0</v>
      </c>
      <c r="M955" s="26" t="str">
        <f t="shared" si="64"/>
        <v>put</v>
      </c>
      <c r="N955" s="28">
        <f t="shared" si="65"/>
        <v>46157</v>
      </c>
      <c r="O955" s="29">
        <f t="shared" si="66"/>
        <v>222</v>
      </c>
    </row>
    <row r="956" spans="1:15" x14ac:dyDescent="0.45">
      <c r="A956" s="11" t="s">
        <v>1128</v>
      </c>
      <c r="B956" s="14" t="s">
        <v>1129</v>
      </c>
      <c r="C956" s="13">
        <v>105</v>
      </c>
      <c r="D956" s="14">
        <v>0.27</v>
      </c>
      <c r="E956" s="14">
        <v>0.17</v>
      </c>
      <c r="F956" s="14">
        <v>0.24</v>
      </c>
      <c r="G956" s="15">
        <v>0</v>
      </c>
      <c r="H956" s="16">
        <v>0</v>
      </c>
      <c r="I956" s="14">
        <v>10</v>
      </c>
      <c r="J956" s="14">
        <v>35</v>
      </c>
      <c r="K956" s="18">
        <v>0.50239999999999996</v>
      </c>
      <c r="L956" s="26" t="b">
        <f t="shared" si="67"/>
        <v>0</v>
      </c>
      <c r="M956" s="26" t="str">
        <f t="shared" si="64"/>
        <v>put</v>
      </c>
      <c r="N956" s="28">
        <f t="shared" si="65"/>
        <v>46157</v>
      </c>
      <c r="O956" s="29">
        <f t="shared" si="66"/>
        <v>222</v>
      </c>
    </row>
    <row r="957" spans="1:15" x14ac:dyDescent="0.45">
      <c r="A957" s="11" t="s">
        <v>1130</v>
      </c>
      <c r="B957" s="12">
        <v>46000.418055555558</v>
      </c>
      <c r="C957" s="13">
        <v>110</v>
      </c>
      <c r="D957" s="14">
        <v>0.34</v>
      </c>
      <c r="E957" s="14">
        <v>0.21</v>
      </c>
      <c r="F957" s="14">
        <v>0.25</v>
      </c>
      <c r="G957" s="15">
        <v>0</v>
      </c>
      <c r="H957" s="16">
        <v>0</v>
      </c>
      <c r="I957" s="14">
        <v>10</v>
      </c>
      <c r="J957" s="14">
        <v>19</v>
      </c>
      <c r="K957" s="18">
        <v>0.48049999999999998</v>
      </c>
      <c r="L957" s="26" t="b">
        <f t="shared" si="67"/>
        <v>0</v>
      </c>
      <c r="M957" s="26" t="str">
        <f t="shared" ref="M957:M1020" si="68">IF(MID(A957,11,1)="C","call","put")</f>
        <v>put</v>
      </c>
      <c r="N957" s="28">
        <f t="shared" ref="N957:N1020" si="69">DATE(MID(A957,5,2)+2000,MID(A957,7,2),MID(A957,9,2))</f>
        <v>46157</v>
      </c>
      <c r="O957" s="29">
        <f t="shared" si="66"/>
        <v>222</v>
      </c>
    </row>
    <row r="958" spans="1:15" x14ac:dyDescent="0.45">
      <c r="A958" s="11" t="s">
        <v>1131</v>
      </c>
      <c r="B958" s="14" t="s">
        <v>1132</v>
      </c>
      <c r="C958" s="13">
        <v>115</v>
      </c>
      <c r="D958" s="14">
        <v>0.35</v>
      </c>
      <c r="E958" s="14">
        <v>0.25</v>
      </c>
      <c r="F958" s="14">
        <v>0.28999999999999998</v>
      </c>
      <c r="G958" s="14">
        <v>0</v>
      </c>
      <c r="H958" s="18">
        <v>0</v>
      </c>
      <c r="I958" s="14">
        <v>2</v>
      </c>
      <c r="J958" s="14">
        <v>25</v>
      </c>
      <c r="K958" s="18">
        <v>0.46679999999999999</v>
      </c>
      <c r="L958" s="26" t="b">
        <f t="shared" si="67"/>
        <v>0</v>
      </c>
      <c r="M958" s="26" t="str">
        <f t="shared" si="68"/>
        <v>put</v>
      </c>
      <c r="N958" s="28">
        <f t="shared" si="69"/>
        <v>46157</v>
      </c>
      <c r="O958" s="29">
        <f t="shared" ref="O958:O1021" si="70">N958-DATE(2025,10,5)</f>
        <v>222</v>
      </c>
    </row>
    <row r="959" spans="1:15" x14ac:dyDescent="0.45">
      <c r="A959" s="11" t="s">
        <v>1133</v>
      </c>
      <c r="B959" s="14" t="s">
        <v>1134</v>
      </c>
      <c r="C959" s="13">
        <v>120</v>
      </c>
      <c r="D959" s="14">
        <v>0.45</v>
      </c>
      <c r="E959" s="14">
        <v>0.3</v>
      </c>
      <c r="F959" s="14">
        <v>0.34</v>
      </c>
      <c r="G959" s="15">
        <v>0</v>
      </c>
      <c r="H959" s="16">
        <v>0</v>
      </c>
      <c r="I959" s="14">
        <v>1</v>
      </c>
      <c r="J959" s="14">
        <v>84</v>
      </c>
      <c r="K959" s="18">
        <v>0.4541</v>
      </c>
      <c r="L959" s="26" t="b">
        <f t="shared" si="67"/>
        <v>0</v>
      </c>
      <c r="M959" s="26" t="str">
        <f t="shared" si="68"/>
        <v>put</v>
      </c>
      <c r="N959" s="28">
        <f t="shared" si="69"/>
        <v>46157</v>
      </c>
      <c r="O959" s="29">
        <f t="shared" si="70"/>
        <v>222</v>
      </c>
    </row>
    <row r="960" spans="1:15" x14ac:dyDescent="0.45">
      <c r="A960" s="11" t="s">
        <v>1135</v>
      </c>
      <c r="B960" s="12">
        <v>45726.425694444442</v>
      </c>
      <c r="C960" s="13">
        <v>125</v>
      </c>
      <c r="D960" s="14">
        <v>0.36</v>
      </c>
      <c r="E960" s="14">
        <v>0.35</v>
      </c>
      <c r="F960" s="14">
        <v>0.41</v>
      </c>
      <c r="G960" s="19">
        <v>0.02</v>
      </c>
      <c r="H960" s="20">
        <v>5.8799999999999998E-2</v>
      </c>
      <c r="I960" s="14">
        <v>7</v>
      </c>
      <c r="J960" s="14">
        <v>35</v>
      </c>
      <c r="K960" s="18">
        <v>0.44390000000000002</v>
      </c>
      <c r="L960" s="26" t="b">
        <f t="shared" ref="L960:L1023" si="71">IF(M960="call",C960&lt;$P$1,C960&gt;$P$1)</f>
        <v>0</v>
      </c>
      <c r="M960" s="26" t="str">
        <f t="shared" si="68"/>
        <v>put</v>
      </c>
      <c r="N960" s="28">
        <f t="shared" si="69"/>
        <v>46157</v>
      </c>
      <c r="O960" s="29">
        <f t="shared" si="70"/>
        <v>222</v>
      </c>
    </row>
    <row r="961" spans="1:15" x14ac:dyDescent="0.45">
      <c r="A961" s="11" t="s">
        <v>1136</v>
      </c>
      <c r="B961" s="14" t="s">
        <v>1137</v>
      </c>
      <c r="C961" s="13">
        <v>130</v>
      </c>
      <c r="D961" s="14">
        <v>0.46</v>
      </c>
      <c r="E961" s="14">
        <v>0.4</v>
      </c>
      <c r="F961" s="14">
        <v>0.46</v>
      </c>
      <c r="G961" s="15">
        <v>0</v>
      </c>
      <c r="H961" s="16">
        <v>0</v>
      </c>
      <c r="I961" s="14">
        <v>1</v>
      </c>
      <c r="J961" s="14">
        <v>663</v>
      </c>
      <c r="K961" s="18">
        <v>0.4294</v>
      </c>
      <c r="L961" s="26" t="b">
        <f t="shared" si="71"/>
        <v>0</v>
      </c>
      <c r="M961" s="26" t="str">
        <f t="shared" si="68"/>
        <v>put</v>
      </c>
      <c r="N961" s="28">
        <f t="shared" si="69"/>
        <v>46157</v>
      </c>
      <c r="O961" s="29">
        <f t="shared" si="70"/>
        <v>222</v>
      </c>
    </row>
    <row r="962" spans="1:15" x14ac:dyDescent="0.45">
      <c r="A962" s="11" t="s">
        <v>1138</v>
      </c>
      <c r="B962" s="12">
        <v>45878.65347222222</v>
      </c>
      <c r="C962" s="13">
        <v>135</v>
      </c>
      <c r="D962" s="14">
        <v>0.78</v>
      </c>
      <c r="E962" s="14">
        <v>0.49</v>
      </c>
      <c r="F962" s="14">
        <v>0.53</v>
      </c>
      <c r="G962" s="15">
        <v>0</v>
      </c>
      <c r="H962" s="16">
        <v>0</v>
      </c>
      <c r="I962" s="14">
        <v>25</v>
      </c>
      <c r="J962" s="14">
        <v>84</v>
      </c>
      <c r="K962" s="18">
        <v>0.41720000000000002</v>
      </c>
      <c r="L962" s="26" t="b">
        <f t="shared" si="71"/>
        <v>0</v>
      </c>
      <c r="M962" s="26" t="str">
        <f t="shared" si="68"/>
        <v>put</v>
      </c>
      <c r="N962" s="28">
        <f t="shared" si="69"/>
        <v>46157</v>
      </c>
      <c r="O962" s="29">
        <f t="shared" si="70"/>
        <v>222</v>
      </c>
    </row>
    <row r="963" spans="1:15" x14ac:dyDescent="0.45">
      <c r="A963" s="11" t="s">
        <v>1139</v>
      </c>
      <c r="B963" s="12">
        <v>45698.396527777775</v>
      </c>
      <c r="C963" s="13">
        <v>140</v>
      </c>
      <c r="D963" s="14">
        <v>0.6</v>
      </c>
      <c r="E963" s="14">
        <v>0.56999999999999995</v>
      </c>
      <c r="F963" s="14">
        <v>0.62</v>
      </c>
      <c r="G963" s="15">
        <v>0</v>
      </c>
      <c r="H963" s="16">
        <v>0</v>
      </c>
      <c r="I963" s="14">
        <v>1</v>
      </c>
      <c r="J963" s="14">
        <v>71</v>
      </c>
      <c r="K963" s="18">
        <v>0.40649999999999997</v>
      </c>
      <c r="L963" s="26" t="b">
        <f t="shared" si="71"/>
        <v>0</v>
      </c>
      <c r="M963" s="26" t="str">
        <f t="shared" si="68"/>
        <v>put</v>
      </c>
      <c r="N963" s="28">
        <f t="shared" si="69"/>
        <v>46157</v>
      </c>
      <c r="O963" s="29">
        <f t="shared" si="70"/>
        <v>222</v>
      </c>
    </row>
    <row r="964" spans="1:15" x14ac:dyDescent="0.45">
      <c r="A964" s="11" t="s">
        <v>1140</v>
      </c>
      <c r="B964" s="14" t="s">
        <v>1141</v>
      </c>
      <c r="C964" s="13">
        <v>145</v>
      </c>
      <c r="D964" s="14">
        <v>0.74</v>
      </c>
      <c r="E964" s="14">
        <v>0.67</v>
      </c>
      <c r="F964" s="14">
        <v>0.72</v>
      </c>
      <c r="G964" s="15">
        <v>0</v>
      </c>
      <c r="H964" s="16">
        <v>0</v>
      </c>
      <c r="I964" s="14">
        <v>2</v>
      </c>
      <c r="J964" s="14">
        <v>204</v>
      </c>
      <c r="K964" s="18">
        <v>0.39579999999999999</v>
      </c>
      <c r="L964" s="26" t="b">
        <f t="shared" si="71"/>
        <v>0</v>
      </c>
      <c r="M964" s="26" t="str">
        <f t="shared" si="68"/>
        <v>put</v>
      </c>
      <c r="N964" s="28">
        <f t="shared" si="69"/>
        <v>46157</v>
      </c>
      <c r="O964" s="29">
        <f t="shared" si="70"/>
        <v>222</v>
      </c>
    </row>
    <row r="965" spans="1:15" x14ac:dyDescent="0.45">
      <c r="A965" s="11" t="s">
        <v>1142</v>
      </c>
      <c r="B965" s="12">
        <v>45667.650694444441</v>
      </c>
      <c r="C965" s="13">
        <v>150</v>
      </c>
      <c r="D965" s="14">
        <v>0.83</v>
      </c>
      <c r="E965" s="14">
        <v>0.79</v>
      </c>
      <c r="F965" s="14">
        <v>0.84</v>
      </c>
      <c r="G965" s="15">
        <v>0</v>
      </c>
      <c r="H965" s="16">
        <v>0</v>
      </c>
      <c r="I965" s="14">
        <v>7</v>
      </c>
      <c r="J965" s="14">
        <v>405</v>
      </c>
      <c r="K965" s="18">
        <v>0.3856</v>
      </c>
      <c r="L965" s="26" t="b">
        <f t="shared" si="71"/>
        <v>0</v>
      </c>
      <c r="M965" s="26" t="str">
        <f t="shared" si="68"/>
        <v>put</v>
      </c>
      <c r="N965" s="28">
        <f t="shared" si="69"/>
        <v>46157</v>
      </c>
      <c r="O965" s="29">
        <f t="shared" si="70"/>
        <v>222</v>
      </c>
    </row>
    <row r="966" spans="1:15" x14ac:dyDescent="0.45">
      <c r="A966" s="11" t="s">
        <v>1143</v>
      </c>
      <c r="B966" s="12">
        <v>45726.424305555556</v>
      </c>
      <c r="C966" s="13">
        <v>155</v>
      </c>
      <c r="D966" s="14">
        <v>0.96</v>
      </c>
      <c r="E966" s="14">
        <v>0.93</v>
      </c>
      <c r="F966" s="14">
        <v>0.97</v>
      </c>
      <c r="G966" s="15">
        <v>-0.02</v>
      </c>
      <c r="H966" s="16">
        <v>-2.0400000000000001E-2</v>
      </c>
      <c r="I966" s="14">
        <v>2</v>
      </c>
      <c r="J966" s="14">
        <v>350</v>
      </c>
      <c r="K966" s="18">
        <v>0.37530000000000002</v>
      </c>
      <c r="L966" s="26" t="b">
        <f t="shared" si="71"/>
        <v>0</v>
      </c>
      <c r="M966" s="26" t="str">
        <f t="shared" si="68"/>
        <v>put</v>
      </c>
      <c r="N966" s="28">
        <f t="shared" si="69"/>
        <v>46157</v>
      </c>
      <c r="O966" s="29">
        <f t="shared" si="70"/>
        <v>222</v>
      </c>
    </row>
    <row r="967" spans="1:15" x14ac:dyDescent="0.45">
      <c r="A967" s="11" t="s">
        <v>1144</v>
      </c>
      <c r="B967" s="12">
        <v>45726.4375</v>
      </c>
      <c r="C967" s="13">
        <v>160</v>
      </c>
      <c r="D967" s="14">
        <v>1.1299999999999999</v>
      </c>
      <c r="E967" s="14">
        <v>1.0900000000000001</v>
      </c>
      <c r="F967" s="14">
        <v>1.1299999999999999</v>
      </c>
      <c r="G967" s="15">
        <v>-0.05</v>
      </c>
      <c r="H967" s="16">
        <v>-4.24E-2</v>
      </c>
      <c r="I967" s="14">
        <v>4</v>
      </c>
      <c r="J967" s="14">
        <v>330</v>
      </c>
      <c r="K967" s="18">
        <v>0.3659</v>
      </c>
      <c r="L967" s="26" t="b">
        <f t="shared" si="71"/>
        <v>0</v>
      </c>
      <c r="M967" s="26" t="str">
        <f t="shared" si="68"/>
        <v>put</v>
      </c>
      <c r="N967" s="28">
        <f t="shared" si="69"/>
        <v>46157</v>
      </c>
      <c r="O967" s="29">
        <f t="shared" si="70"/>
        <v>222</v>
      </c>
    </row>
    <row r="968" spans="1:15" x14ac:dyDescent="0.45">
      <c r="A968" s="11" t="s">
        <v>1145</v>
      </c>
      <c r="B968" s="12">
        <v>45698.518750000003</v>
      </c>
      <c r="C968" s="13">
        <v>165</v>
      </c>
      <c r="D968" s="14">
        <v>1.26</v>
      </c>
      <c r="E968" s="14">
        <v>1.26</v>
      </c>
      <c r="F968" s="14">
        <v>1.32</v>
      </c>
      <c r="G968" s="15">
        <v>0</v>
      </c>
      <c r="H968" s="16">
        <v>0</v>
      </c>
      <c r="I968" s="14">
        <v>1</v>
      </c>
      <c r="J968" s="14">
        <v>406</v>
      </c>
      <c r="K968" s="18">
        <v>0.3569</v>
      </c>
      <c r="L968" s="26" t="b">
        <f t="shared" si="71"/>
        <v>0</v>
      </c>
      <c r="M968" s="26" t="str">
        <f t="shared" si="68"/>
        <v>put</v>
      </c>
      <c r="N968" s="28">
        <f t="shared" si="69"/>
        <v>46157</v>
      </c>
      <c r="O968" s="29">
        <f t="shared" si="70"/>
        <v>222</v>
      </c>
    </row>
    <row r="969" spans="1:15" x14ac:dyDescent="0.45">
      <c r="A969" s="11" t="s">
        <v>1146</v>
      </c>
      <c r="B969" s="12">
        <v>45726.4375</v>
      </c>
      <c r="C969" s="13">
        <v>170</v>
      </c>
      <c r="D969" s="14">
        <v>1.49</v>
      </c>
      <c r="E969" s="14">
        <v>1.47</v>
      </c>
      <c r="F969" s="14">
        <v>1.53</v>
      </c>
      <c r="G969" s="15">
        <v>-0.02</v>
      </c>
      <c r="H969" s="16">
        <v>-1.32E-2</v>
      </c>
      <c r="I969" s="14">
        <v>2</v>
      </c>
      <c r="J969" s="14">
        <v>663</v>
      </c>
      <c r="K969" s="18">
        <v>0.3478</v>
      </c>
      <c r="L969" s="26" t="b">
        <f t="shared" si="71"/>
        <v>0</v>
      </c>
      <c r="M969" s="26" t="str">
        <f t="shared" si="68"/>
        <v>put</v>
      </c>
      <c r="N969" s="28">
        <f t="shared" si="69"/>
        <v>46157</v>
      </c>
      <c r="O969" s="29">
        <f t="shared" si="70"/>
        <v>222</v>
      </c>
    </row>
    <row r="970" spans="1:15" x14ac:dyDescent="0.45">
      <c r="A970" s="11" t="s">
        <v>1147</v>
      </c>
      <c r="B970" s="12">
        <v>45726.40625</v>
      </c>
      <c r="C970" s="13">
        <v>175</v>
      </c>
      <c r="D970" s="14">
        <v>1.77</v>
      </c>
      <c r="E970" s="14">
        <v>1.73</v>
      </c>
      <c r="F970" s="14">
        <v>1.78</v>
      </c>
      <c r="G970" s="15">
        <v>-0.01</v>
      </c>
      <c r="H970" s="16">
        <v>-5.5999999999999999E-3</v>
      </c>
      <c r="I970" s="14">
        <v>2</v>
      </c>
      <c r="J970" s="14">
        <v>480</v>
      </c>
      <c r="K970" s="18">
        <v>0.33929999999999999</v>
      </c>
      <c r="L970" s="26" t="b">
        <f t="shared" si="71"/>
        <v>0</v>
      </c>
      <c r="M970" s="26" t="str">
        <f t="shared" si="68"/>
        <v>put</v>
      </c>
      <c r="N970" s="28">
        <f t="shared" si="69"/>
        <v>46157</v>
      </c>
      <c r="O970" s="29">
        <f t="shared" si="70"/>
        <v>222</v>
      </c>
    </row>
    <row r="971" spans="1:15" x14ac:dyDescent="0.45">
      <c r="A971" s="11" t="s">
        <v>1148</v>
      </c>
      <c r="B971" s="12">
        <v>45726.4375</v>
      </c>
      <c r="C971" s="13">
        <v>180</v>
      </c>
      <c r="D971" s="14">
        <v>2.0499999999999998</v>
      </c>
      <c r="E971" s="14">
        <v>2.0099999999999998</v>
      </c>
      <c r="F971" s="14">
        <v>2.06</v>
      </c>
      <c r="G971" s="15">
        <v>-0.14000000000000001</v>
      </c>
      <c r="H971" s="16">
        <v>-6.3899999999999998E-2</v>
      </c>
      <c r="I971" s="14">
        <v>3</v>
      </c>
      <c r="J971" s="14">
        <v>593</v>
      </c>
      <c r="K971" s="18">
        <v>0.33069999999999999</v>
      </c>
      <c r="L971" s="26" t="b">
        <f t="shared" si="71"/>
        <v>0</v>
      </c>
      <c r="M971" s="26" t="str">
        <f t="shared" si="68"/>
        <v>put</v>
      </c>
      <c r="N971" s="28">
        <f t="shared" si="69"/>
        <v>46157</v>
      </c>
      <c r="O971" s="29">
        <f t="shared" si="70"/>
        <v>222</v>
      </c>
    </row>
    <row r="972" spans="1:15" x14ac:dyDescent="0.45">
      <c r="A972" s="11" t="s">
        <v>1149</v>
      </c>
      <c r="B972" s="12">
        <v>45726.4375</v>
      </c>
      <c r="C972" s="13">
        <v>185</v>
      </c>
      <c r="D972" s="14">
        <v>2.4</v>
      </c>
      <c r="E972" s="14">
        <v>2.33</v>
      </c>
      <c r="F972" s="14">
        <v>2.39</v>
      </c>
      <c r="G972" s="15">
        <v>-0.08</v>
      </c>
      <c r="H972" s="16">
        <v>-3.2300000000000002E-2</v>
      </c>
      <c r="I972" s="14">
        <v>5</v>
      </c>
      <c r="J972" s="14">
        <v>212</v>
      </c>
      <c r="K972" s="18">
        <v>0.32250000000000001</v>
      </c>
      <c r="L972" s="26" t="b">
        <f t="shared" si="71"/>
        <v>0</v>
      </c>
      <c r="M972" s="26" t="str">
        <f t="shared" si="68"/>
        <v>put</v>
      </c>
      <c r="N972" s="28">
        <f t="shared" si="69"/>
        <v>46157</v>
      </c>
      <c r="O972" s="29">
        <f t="shared" si="70"/>
        <v>222</v>
      </c>
    </row>
    <row r="973" spans="1:15" x14ac:dyDescent="0.45">
      <c r="A973" s="11" t="s">
        <v>1150</v>
      </c>
      <c r="B973" s="12">
        <v>45667.409722222219</v>
      </c>
      <c r="C973" s="13">
        <v>190</v>
      </c>
      <c r="D973" s="14">
        <v>2.88</v>
      </c>
      <c r="E973" s="14">
        <v>2.71</v>
      </c>
      <c r="F973" s="14">
        <v>2.77</v>
      </c>
      <c r="G973" s="15">
        <v>0</v>
      </c>
      <c r="H973" s="16">
        <v>0</v>
      </c>
      <c r="I973" s="14">
        <v>2</v>
      </c>
      <c r="J973" s="14">
        <v>948</v>
      </c>
      <c r="K973" s="18">
        <v>0.31459999999999999</v>
      </c>
      <c r="L973" s="26" t="b">
        <f t="shared" si="71"/>
        <v>0</v>
      </c>
      <c r="M973" s="26" t="str">
        <f t="shared" si="68"/>
        <v>put</v>
      </c>
      <c r="N973" s="28">
        <f t="shared" si="69"/>
        <v>46157</v>
      </c>
      <c r="O973" s="29">
        <f t="shared" si="70"/>
        <v>222</v>
      </c>
    </row>
    <row r="974" spans="1:15" x14ac:dyDescent="0.45">
      <c r="A974" s="11" t="s">
        <v>1151</v>
      </c>
      <c r="B974" s="12">
        <v>45726.62222222222</v>
      </c>
      <c r="C974" s="13">
        <v>195</v>
      </c>
      <c r="D974" s="14">
        <v>3.15</v>
      </c>
      <c r="E974" s="14">
        <v>3.1</v>
      </c>
      <c r="F974" s="14">
        <v>3.25</v>
      </c>
      <c r="G974" s="15">
        <v>-0.08</v>
      </c>
      <c r="H974" s="16">
        <v>-2.4799999999999999E-2</v>
      </c>
      <c r="I974" s="14">
        <v>1</v>
      </c>
      <c r="J974" s="14">
        <v>625</v>
      </c>
      <c r="K974" s="18">
        <v>0.30809999999999998</v>
      </c>
      <c r="L974" s="26" t="b">
        <f t="shared" si="71"/>
        <v>0</v>
      </c>
      <c r="M974" s="26" t="str">
        <f t="shared" si="68"/>
        <v>put</v>
      </c>
      <c r="N974" s="28">
        <f t="shared" si="69"/>
        <v>46157</v>
      </c>
      <c r="O974" s="29">
        <f t="shared" si="70"/>
        <v>222</v>
      </c>
    </row>
    <row r="975" spans="1:15" x14ac:dyDescent="0.45">
      <c r="A975" s="11" t="s">
        <v>1152</v>
      </c>
      <c r="B975" s="12">
        <v>45726.62222222222</v>
      </c>
      <c r="C975" s="13">
        <v>200</v>
      </c>
      <c r="D975" s="14">
        <v>3.65</v>
      </c>
      <c r="E975" s="14">
        <v>3.65</v>
      </c>
      <c r="F975" s="14">
        <v>3.75</v>
      </c>
      <c r="G975" s="15">
        <v>-0.15</v>
      </c>
      <c r="H975" s="16">
        <v>-3.95E-2</v>
      </c>
      <c r="I975" s="14">
        <v>52</v>
      </c>
      <c r="J975" s="14">
        <v>970</v>
      </c>
      <c r="K975" s="18">
        <v>0.3004</v>
      </c>
      <c r="L975" s="26" t="b">
        <f t="shared" si="71"/>
        <v>0</v>
      </c>
      <c r="M975" s="26" t="str">
        <f t="shared" si="68"/>
        <v>put</v>
      </c>
      <c r="N975" s="28">
        <f t="shared" si="69"/>
        <v>46157</v>
      </c>
      <c r="O975" s="29">
        <f t="shared" si="70"/>
        <v>222</v>
      </c>
    </row>
    <row r="976" spans="1:15" x14ac:dyDescent="0.45">
      <c r="A976" s="11" t="s">
        <v>1153</v>
      </c>
      <c r="B976" s="12">
        <v>45698.580555555556</v>
      </c>
      <c r="C976" s="13">
        <v>210</v>
      </c>
      <c r="D976" s="14">
        <v>4.8099999999999996</v>
      </c>
      <c r="E976" s="14">
        <v>4.8499999999999996</v>
      </c>
      <c r="F976" s="14">
        <v>5</v>
      </c>
      <c r="G976" s="15">
        <v>-0.21</v>
      </c>
      <c r="H976" s="16">
        <v>-4.1799999999999997E-2</v>
      </c>
      <c r="I976" s="14">
        <v>1</v>
      </c>
      <c r="J976" s="17">
        <v>1497</v>
      </c>
      <c r="K976" s="18">
        <v>0.28589999999999999</v>
      </c>
      <c r="L976" s="26" t="b">
        <f t="shared" si="71"/>
        <v>0</v>
      </c>
      <c r="M976" s="26" t="str">
        <f t="shared" si="68"/>
        <v>put</v>
      </c>
      <c r="N976" s="28">
        <f t="shared" si="69"/>
        <v>46157</v>
      </c>
      <c r="O976" s="29">
        <f t="shared" si="70"/>
        <v>222</v>
      </c>
    </row>
    <row r="977" spans="1:15" x14ac:dyDescent="0.45">
      <c r="A977" s="11" t="s">
        <v>1154</v>
      </c>
      <c r="B977" s="12">
        <v>45726.505555555559</v>
      </c>
      <c r="C977" s="13">
        <v>220</v>
      </c>
      <c r="D977" s="14">
        <v>6.42</v>
      </c>
      <c r="E977" s="14">
        <v>6.5</v>
      </c>
      <c r="F977" s="14">
        <v>6.6</v>
      </c>
      <c r="G977" s="15">
        <v>-0.38</v>
      </c>
      <c r="H977" s="16">
        <v>-5.5899999999999998E-2</v>
      </c>
      <c r="I977" s="14">
        <v>8</v>
      </c>
      <c r="J977" s="14">
        <v>423</v>
      </c>
      <c r="K977" s="18">
        <v>0.27160000000000001</v>
      </c>
      <c r="L977" s="26" t="b">
        <f t="shared" si="71"/>
        <v>0</v>
      </c>
      <c r="M977" s="26" t="str">
        <f t="shared" si="68"/>
        <v>put</v>
      </c>
      <c r="N977" s="28">
        <f t="shared" si="69"/>
        <v>46157</v>
      </c>
      <c r="O977" s="29">
        <f t="shared" si="70"/>
        <v>222</v>
      </c>
    </row>
    <row r="978" spans="1:15" x14ac:dyDescent="0.45">
      <c r="A978" s="11" t="s">
        <v>1155</v>
      </c>
      <c r="B978" s="12">
        <v>45726.652777777781</v>
      </c>
      <c r="C978" s="13">
        <v>230</v>
      </c>
      <c r="D978" s="14">
        <v>8.6999999999999993</v>
      </c>
      <c r="E978" s="14">
        <v>8.6</v>
      </c>
      <c r="F978" s="14">
        <v>8.75</v>
      </c>
      <c r="G978" s="15">
        <v>-0.3</v>
      </c>
      <c r="H978" s="16">
        <v>-3.3300000000000003E-2</v>
      </c>
      <c r="I978" s="14">
        <v>207</v>
      </c>
      <c r="J978" s="17">
        <v>1108</v>
      </c>
      <c r="K978" s="18">
        <v>0.25929999999999997</v>
      </c>
      <c r="L978" s="26" t="b">
        <f t="shared" si="71"/>
        <v>0</v>
      </c>
      <c r="M978" s="26" t="str">
        <f t="shared" si="68"/>
        <v>put</v>
      </c>
      <c r="N978" s="28">
        <f t="shared" si="69"/>
        <v>46157</v>
      </c>
      <c r="O978" s="29">
        <f t="shared" si="70"/>
        <v>222</v>
      </c>
    </row>
    <row r="979" spans="1:15" x14ac:dyDescent="0.45">
      <c r="A979" s="11" t="s">
        <v>1156</v>
      </c>
      <c r="B979" s="12">
        <v>45726.656944444447</v>
      </c>
      <c r="C979" s="13">
        <v>240</v>
      </c>
      <c r="D979" s="14">
        <v>11.45</v>
      </c>
      <c r="E979" s="14">
        <v>11.25</v>
      </c>
      <c r="F979" s="14">
        <v>11.45</v>
      </c>
      <c r="G979" s="15">
        <v>-0.25</v>
      </c>
      <c r="H979" s="16">
        <v>-2.1399999999999999E-2</v>
      </c>
      <c r="I979" s="14">
        <v>15</v>
      </c>
      <c r="J979" s="14">
        <v>685</v>
      </c>
      <c r="K979" s="18">
        <v>0.24690000000000001</v>
      </c>
      <c r="L979" s="26" t="b">
        <f t="shared" si="71"/>
        <v>0</v>
      </c>
      <c r="M979" s="26" t="str">
        <f t="shared" si="68"/>
        <v>put</v>
      </c>
      <c r="N979" s="28">
        <f t="shared" si="69"/>
        <v>46157</v>
      </c>
      <c r="O979" s="29">
        <f t="shared" si="70"/>
        <v>222</v>
      </c>
    </row>
    <row r="980" spans="1:15" x14ac:dyDescent="0.45">
      <c r="A980" s="11" t="s">
        <v>1157</v>
      </c>
      <c r="B980" s="12">
        <v>45726.630555555559</v>
      </c>
      <c r="C980" s="13">
        <v>250</v>
      </c>
      <c r="D980" s="14">
        <v>14.75</v>
      </c>
      <c r="E980" s="14">
        <v>14.6</v>
      </c>
      <c r="F980" s="14">
        <v>14.8</v>
      </c>
      <c r="G980" s="15">
        <v>-0.3</v>
      </c>
      <c r="H980" s="16">
        <v>-1.9900000000000001E-2</v>
      </c>
      <c r="I980" s="14">
        <v>16</v>
      </c>
      <c r="J980" s="14">
        <v>247</v>
      </c>
      <c r="K980" s="18">
        <v>0.2344</v>
      </c>
      <c r="L980" s="26" t="b">
        <f t="shared" si="71"/>
        <v>0</v>
      </c>
      <c r="M980" s="26" t="str">
        <f t="shared" si="68"/>
        <v>put</v>
      </c>
      <c r="N980" s="28">
        <f t="shared" si="69"/>
        <v>46157</v>
      </c>
      <c r="O980" s="29">
        <f t="shared" si="70"/>
        <v>222</v>
      </c>
    </row>
    <row r="981" spans="1:15" x14ac:dyDescent="0.45">
      <c r="A981" s="1" t="s">
        <v>1158</v>
      </c>
      <c r="B981" s="2">
        <v>45726.630555555559</v>
      </c>
      <c r="C981" s="3">
        <v>260</v>
      </c>
      <c r="D981" s="4">
        <v>18.89</v>
      </c>
      <c r="E981" s="4">
        <v>18.7</v>
      </c>
      <c r="F981" s="4">
        <v>18.95</v>
      </c>
      <c r="G981" s="8">
        <v>-0.19</v>
      </c>
      <c r="H981" s="9">
        <v>-0.01</v>
      </c>
      <c r="I981" s="4">
        <v>34</v>
      </c>
      <c r="J981" s="4">
        <v>372</v>
      </c>
      <c r="K981" s="5">
        <v>0.2225</v>
      </c>
      <c r="L981" s="26" t="b">
        <f t="shared" si="71"/>
        <v>1</v>
      </c>
      <c r="M981" s="26" t="str">
        <f t="shared" si="68"/>
        <v>put</v>
      </c>
      <c r="N981" s="28">
        <f t="shared" si="69"/>
        <v>46157</v>
      </c>
      <c r="O981" s="29">
        <f t="shared" si="70"/>
        <v>222</v>
      </c>
    </row>
    <row r="982" spans="1:15" x14ac:dyDescent="0.45">
      <c r="A982" s="1" t="s">
        <v>1159</v>
      </c>
      <c r="B982" s="2">
        <v>45726.630555555559</v>
      </c>
      <c r="C982" s="3">
        <v>270</v>
      </c>
      <c r="D982" s="4">
        <v>23.76</v>
      </c>
      <c r="E982" s="4">
        <v>23.7</v>
      </c>
      <c r="F982" s="4">
        <v>23.95</v>
      </c>
      <c r="G982" s="8">
        <v>-0.54</v>
      </c>
      <c r="H982" s="9">
        <v>-2.2200000000000001E-2</v>
      </c>
      <c r="I982" s="4">
        <v>10</v>
      </c>
      <c r="J982" s="4">
        <v>125</v>
      </c>
      <c r="K982" s="5">
        <v>0.21060000000000001</v>
      </c>
      <c r="L982" s="26" t="b">
        <f t="shared" si="71"/>
        <v>1</v>
      </c>
      <c r="M982" s="26" t="str">
        <f t="shared" si="68"/>
        <v>put</v>
      </c>
      <c r="N982" s="28">
        <f t="shared" si="69"/>
        <v>46157</v>
      </c>
      <c r="O982" s="29">
        <f t="shared" si="70"/>
        <v>222</v>
      </c>
    </row>
    <row r="983" spans="1:15" x14ac:dyDescent="0.45">
      <c r="A983" s="1" t="s">
        <v>1160</v>
      </c>
      <c r="B983" s="2">
        <v>45726.627083333333</v>
      </c>
      <c r="C983" s="3">
        <v>280</v>
      </c>
      <c r="D983" s="4">
        <v>29.86</v>
      </c>
      <c r="E983" s="4">
        <v>29.65</v>
      </c>
      <c r="F983" s="4">
        <v>30.3</v>
      </c>
      <c r="G983" s="8">
        <v>-0.39</v>
      </c>
      <c r="H983" s="9">
        <v>-1.29E-2</v>
      </c>
      <c r="I983" s="4">
        <v>12</v>
      </c>
      <c r="J983" s="4">
        <v>98</v>
      </c>
      <c r="K983" s="5">
        <v>0.20449999999999999</v>
      </c>
      <c r="L983" s="26" t="b">
        <f t="shared" si="71"/>
        <v>1</v>
      </c>
      <c r="M983" s="26" t="str">
        <f t="shared" si="68"/>
        <v>put</v>
      </c>
      <c r="N983" s="28">
        <f t="shared" si="69"/>
        <v>46157</v>
      </c>
      <c r="O983" s="29">
        <f t="shared" si="70"/>
        <v>222</v>
      </c>
    </row>
    <row r="984" spans="1:15" x14ac:dyDescent="0.45">
      <c r="A984" s="1" t="s">
        <v>1161</v>
      </c>
      <c r="B984" s="4" t="s">
        <v>1162</v>
      </c>
      <c r="C984" s="3">
        <v>290</v>
      </c>
      <c r="D984" s="4">
        <v>40.33</v>
      </c>
      <c r="E984" s="4">
        <v>36.450000000000003</v>
      </c>
      <c r="F984" s="4">
        <v>37.049999999999997</v>
      </c>
      <c r="G984" s="4">
        <v>0</v>
      </c>
      <c r="H984" s="5">
        <v>0</v>
      </c>
      <c r="I984" s="4">
        <v>2</v>
      </c>
      <c r="J984" s="4">
        <v>16</v>
      </c>
      <c r="K984" s="5">
        <v>0.1915</v>
      </c>
      <c r="L984" s="26" t="b">
        <f t="shared" si="71"/>
        <v>1</v>
      </c>
      <c r="M984" s="26" t="str">
        <f t="shared" si="68"/>
        <v>put</v>
      </c>
      <c r="N984" s="28">
        <f t="shared" si="69"/>
        <v>46157</v>
      </c>
      <c r="O984" s="29">
        <f t="shared" si="70"/>
        <v>222</v>
      </c>
    </row>
    <row r="985" spans="1:15" x14ac:dyDescent="0.45">
      <c r="A985" s="1" t="s">
        <v>1163</v>
      </c>
      <c r="B985" s="4" t="s">
        <v>1164</v>
      </c>
      <c r="C985" s="3">
        <v>300</v>
      </c>
      <c r="D985" s="4">
        <v>48.39</v>
      </c>
      <c r="E985" s="4">
        <v>44.15</v>
      </c>
      <c r="F985" s="4">
        <v>44.85</v>
      </c>
      <c r="G985" s="4">
        <v>0</v>
      </c>
      <c r="H985" s="5">
        <v>0</v>
      </c>
      <c r="I985" s="4">
        <v>4</v>
      </c>
      <c r="J985" s="4">
        <v>21</v>
      </c>
      <c r="K985" s="5">
        <v>0.18099999999999999</v>
      </c>
      <c r="L985" s="26" t="b">
        <f t="shared" si="71"/>
        <v>1</v>
      </c>
      <c r="M985" s="26" t="str">
        <f t="shared" si="68"/>
        <v>put</v>
      </c>
      <c r="N985" s="28">
        <f t="shared" si="69"/>
        <v>46157</v>
      </c>
      <c r="O985" s="29">
        <f t="shared" si="70"/>
        <v>222</v>
      </c>
    </row>
    <row r="986" spans="1:15" x14ac:dyDescent="0.45">
      <c r="A986" s="1" t="s">
        <v>1165</v>
      </c>
      <c r="B986" s="4" t="s">
        <v>1166</v>
      </c>
      <c r="C986" s="3">
        <v>310</v>
      </c>
      <c r="D986" s="4">
        <v>56.05</v>
      </c>
      <c r="E986" s="4">
        <v>52.45</v>
      </c>
      <c r="F986" s="4">
        <v>53.4</v>
      </c>
      <c r="G986" s="4">
        <v>0</v>
      </c>
      <c r="H986" s="5">
        <v>0</v>
      </c>
      <c r="I986" s="4">
        <v>0</v>
      </c>
      <c r="J986" s="4">
        <v>45</v>
      </c>
      <c r="K986" s="5">
        <v>0.1701</v>
      </c>
      <c r="L986" s="26" t="b">
        <f t="shared" si="71"/>
        <v>1</v>
      </c>
      <c r="M986" s="26" t="str">
        <f t="shared" si="68"/>
        <v>put</v>
      </c>
      <c r="N986" s="28">
        <f t="shared" si="69"/>
        <v>46157</v>
      </c>
      <c r="O986" s="29">
        <f t="shared" si="70"/>
        <v>222</v>
      </c>
    </row>
    <row r="987" spans="1:15" x14ac:dyDescent="0.45">
      <c r="A987" s="1" t="s">
        <v>1167</v>
      </c>
      <c r="B987" s="2">
        <v>45698.657638888886</v>
      </c>
      <c r="C987" s="3">
        <v>400</v>
      </c>
      <c r="D987" s="4">
        <v>142.76</v>
      </c>
      <c r="E987" s="4">
        <v>141.35</v>
      </c>
      <c r="F987" s="4">
        <v>142.6</v>
      </c>
      <c r="G987" s="4">
        <v>0</v>
      </c>
      <c r="H987" s="5">
        <v>0</v>
      </c>
      <c r="I987" s="4">
        <v>0</v>
      </c>
      <c r="J987" s="4">
        <v>1</v>
      </c>
      <c r="K987" s="5">
        <v>0.28389999999999999</v>
      </c>
      <c r="L987" s="26" t="b">
        <f t="shared" si="71"/>
        <v>1</v>
      </c>
      <c r="M987" s="26" t="str">
        <f t="shared" si="68"/>
        <v>put</v>
      </c>
      <c r="N987" s="28">
        <f t="shared" si="69"/>
        <v>46157</v>
      </c>
      <c r="O987" s="29">
        <f t="shared" si="70"/>
        <v>222</v>
      </c>
    </row>
    <row r="988" spans="1:15" x14ac:dyDescent="0.45">
      <c r="A988" s="1" t="s">
        <v>1168</v>
      </c>
      <c r="B988" s="2">
        <v>45698.563888888886</v>
      </c>
      <c r="C988" s="3">
        <v>5</v>
      </c>
      <c r="D988" s="4">
        <v>252.65</v>
      </c>
      <c r="E988" s="4">
        <v>251.5</v>
      </c>
      <c r="F988" s="4">
        <v>254.5</v>
      </c>
      <c r="G988" s="4">
        <v>0</v>
      </c>
      <c r="H988" s="5">
        <v>0</v>
      </c>
      <c r="I988" s="4">
        <v>1</v>
      </c>
      <c r="J988" s="4">
        <v>150</v>
      </c>
      <c r="K988" s="5">
        <v>3.1191</v>
      </c>
      <c r="L988" s="26" t="b">
        <f t="shared" si="71"/>
        <v>1</v>
      </c>
      <c r="M988" s="26" t="str">
        <f t="shared" si="68"/>
        <v>call</v>
      </c>
      <c r="N988" s="28">
        <f t="shared" si="69"/>
        <v>46191</v>
      </c>
      <c r="O988" s="29">
        <f t="shared" si="70"/>
        <v>256</v>
      </c>
    </row>
    <row r="989" spans="1:15" x14ac:dyDescent="0.45">
      <c r="A989" s="1" t="s">
        <v>1169</v>
      </c>
      <c r="B989" s="2">
        <v>45873.650694444441</v>
      </c>
      <c r="C989" s="3">
        <v>10</v>
      </c>
      <c r="D989" s="4">
        <v>160.94999999999999</v>
      </c>
      <c r="E989" s="4">
        <v>187.15</v>
      </c>
      <c r="F989" s="4">
        <v>189.95</v>
      </c>
      <c r="G989" s="4">
        <v>0</v>
      </c>
      <c r="H989" s="5">
        <v>0</v>
      </c>
      <c r="I989" s="4">
        <v>1</v>
      </c>
      <c r="J989" s="4">
        <v>0</v>
      </c>
      <c r="K989" s="5">
        <v>0</v>
      </c>
      <c r="L989" s="26" t="b">
        <f t="shared" si="71"/>
        <v>1</v>
      </c>
      <c r="M989" s="26" t="str">
        <f t="shared" si="68"/>
        <v>call</v>
      </c>
      <c r="N989" s="28">
        <f t="shared" si="69"/>
        <v>46191</v>
      </c>
      <c r="O989" s="29">
        <f t="shared" si="70"/>
        <v>256</v>
      </c>
    </row>
    <row r="990" spans="1:15" x14ac:dyDescent="0.45">
      <c r="A990" s="1" t="s">
        <v>1170</v>
      </c>
      <c r="B990" s="2">
        <v>45845.570833333331</v>
      </c>
      <c r="C990" s="3">
        <v>15</v>
      </c>
      <c r="D990" s="4">
        <v>195.15</v>
      </c>
      <c r="E990" s="4">
        <v>239.1</v>
      </c>
      <c r="F990" s="4">
        <v>242.15</v>
      </c>
      <c r="G990" s="4">
        <v>0</v>
      </c>
      <c r="H990" s="5">
        <v>0</v>
      </c>
      <c r="I990" s="4">
        <v>6</v>
      </c>
      <c r="J990" s="4">
        <v>4</v>
      </c>
      <c r="K990" s="5">
        <v>0</v>
      </c>
      <c r="L990" s="26" t="b">
        <f t="shared" si="71"/>
        <v>1</v>
      </c>
      <c r="M990" s="26" t="str">
        <f t="shared" si="68"/>
        <v>call</v>
      </c>
      <c r="N990" s="28">
        <f t="shared" si="69"/>
        <v>46191</v>
      </c>
      <c r="O990" s="29">
        <f t="shared" si="70"/>
        <v>256</v>
      </c>
    </row>
    <row r="991" spans="1:15" x14ac:dyDescent="0.45">
      <c r="A991" s="1" t="s">
        <v>1171</v>
      </c>
      <c r="B991" s="2">
        <v>45905.552777777775</v>
      </c>
      <c r="C991" s="3">
        <v>20</v>
      </c>
      <c r="D991" s="4">
        <v>178.5</v>
      </c>
      <c r="E991" s="4">
        <v>183.05</v>
      </c>
      <c r="F991" s="4">
        <v>186.3</v>
      </c>
      <c r="G991" s="6">
        <v>0</v>
      </c>
      <c r="H991" s="7">
        <v>0</v>
      </c>
      <c r="I991" s="4">
        <v>1</v>
      </c>
      <c r="J991" s="4">
        <v>7</v>
      </c>
      <c r="K991" s="5">
        <v>0</v>
      </c>
      <c r="L991" s="26" t="b">
        <f t="shared" si="71"/>
        <v>1</v>
      </c>
      <c r="M991" s="26" t="str">
        <f t="shared" si="68"/>
        <v>call</v>
      </c>
      <c r="N991" s="28">
        <f t="shared" si="69"/>
        <v>46191</v>
      </c>
      <c r="O991" s="29">
        <f t="shared" si="70"/>
        <v>256</v>
      </c>
    </row>
    <row r="992" spans="1:15" x14ac:dyDescent="0.45">
      <c r="A992" s="1" t="s">
        <v>1172</v>
      </c>
      <c r="B992" s="4" t="s">
        <v>1173</v>
      </c>
      <c r="C992" s="3">
        <v>25</v>
      </c>
      <c r="D992" s="4">
        <v>185.35</v>
      </c>
      <c r="E992" s="4">
        <v>229.1</v>
      </c>
      <c r="F992" s="4">
        <v>232.4</v>
      </c>
      <c r="G992" s="4">
        <v>0</v>
      </c>
      <c r="H992" s="5">
        <v>0</v>
      </c>
      <c r="I992" s="4">
        <v>2</v>
      </c>
      <c r="J992" s="10">
        <v>3221</v>
      </c>
      <c r="K992" s="5">
        <v>0</v>
      </c>
      <c r="L992" s="26" t="b">
        <f t="shared" si="71"/>
        <v>1</v>
      </c>
      <c r="M992" s="26" t="str">
        <f t="shared" si="68"/>
        <v>call</v>
      </c>
      <c r="N992" s="28">
        <f t="shared" si="69"/>
        <v>46191</v>
      </c>
      <c r="O992" s="29">
        <f t="shared" si="70"/>
        <v>256</v>
      </c>
    </row>
    <row r="993" spans="1:15" x14ac:dyDescent="0.45">
      <c r="A993" s="1" t="s">
        <v>1174</v>
      </c>
      <c r="B993" s="2">
        <v>45939.504166666666</v>
      </c>
      <c r="C993" s="3">
        <v>30</v>
      </c>
      <c r="D993" s="4">
        <v>198.12</v>
      </c>
      <c r="E993" s="4">
        <v>227.05</v>
      </c>
      <c r="F993" s="4">
        <v>229.9</v>
      </c>
      <c r="G993" s="4">
        <v>0</v>
      </c>
      <c r="H993" s="5">
        <v>0</v>
      </c>
      <c r="I993" s="4">
        <v>1</v>
      </c>
      <c r="J993" s="4">
        <v>4</v>
      </c>
      <c r="K993" s="5">
        <v>1.1942999999999999</v>
      </c>
      <c r="L993" s="26" t="b">
        <f t="shared" si="71"/>
        <v>1</v>
      </c>
      <c r="M993" s="26" t="str">
        <f t="shared" si="68"/>
        <v>call</v>
      </c>
      <c r="N993" s="28">
        <f t="shared" si="69"/>
        <v>46191</v>
      </c>
      <c r="O993" s="29">
        <f t="shared" si="70"/>
        <v>256</v>
      </c>
    </row>
    <row r="994" spans="1:15" x14ac:dyDescent="0.45">
      <c r="A994" s="1" t="s">
        <v>1175</v>
      </c>
      <c r="B994" s="2">
        <v>45873.42291666667</v>
      </c>
      <c r="C994" s="3">
        <v>35</v>
      </c>
      <c r="D994" s="4">
        <v>155.34</v>
      </c>
      <c r="E994" s="4">
        <v>162.9</v>
      </c>
      <c r="F994" s="4">
        <v>165.65</v>
      </c>
      <c r="G994" s="6">
        <v>0</v>
      </c>
      <c r="H994" s="7">
        <v>0</v>
      </c>
      <c r="I994" s="4">
        <v>2</v>
      </c>
      <c r="J994" s="4">
        <v>3</v>
      </c>
      <c r="K994" s="5">
        <v>0</v>
      </c>
      <c r="L994" s="26" t="b">
        <f t="shared" si="71"/>
        <v>1</v>
      </c>
      <c r="M994" s="26" t="str">
        <f t="shared" si="68"/>
        <v>call</v>
      </c>
      <c r="N994" s="28">
        <f t="shared" si="69"/>
        <v>46191</v>
      </c>
      <c r="O994" s="29">
        <f t="shared" si="70"/>
        <v>256</v>
      </c>
    </row>
    <row r="995" spans="1:15" x14ac:dyDescent="0.45">
      <c r="A995" s="1" t="s">
        <v>1176</v>
      </c>
      <c r="B995" s="4" t="s">
        <v>1177</v>
      </c>
      <c r="C995" s="3">
        <v>40</v>
      </c>
      <c r="D995" s="4">
        <v>157.25</v>
      </c>
      <c r="E995" s="4">
        <v>160.25</v>
      </c>
      <c r="F995" s="4">
        <v>164.05</v>
      </c>
      <c r="G995" s="4">
        <v>0</v>
      </c>
      <c r="H995" s="5">
        <v>0</v>
      </c>
      <c r="I995" s="4">
        <v>1</v>
      </c>
      <c r="J995" s="4">
        <v>1</v>
      </c>
      <c r="K995" s="5">
        <v>0</v>
      </c>
      <c r="L995" s="26" t="b">
        <f t="shared" si="71"/>
        <v>1</v>
      </c>
      <c r="M995" s="26" t="str">
        <f t="shared" si="68"/>
        <v>call</v>
      </c>
      <c r="N995" s="28">
        <f t="shared" si="69"/>
        <v>46191</v>
      </c>
      <c r="O995" s="29">
        <f t="shared" si="70"/>
        <v>256</v>
      </c>
    </row>
    <row r="996" spans="1:15" x14ac:dyDescent="0.45">
      <c r="A996" s="1" t="s">
        <v>1178</v>
      </c>
      <c r="B996" s="4" t="s">
        <v>1179</v>
      </c>
      <c r="C996" s="3">
        <v>45</v>
      </c>
      <c r="D996" s="4">
        <v>156.53</v>
      </c>
      <c r="E996" s="4">
        <v>155.75</v>
      </c>
      <c r="F996" s="4">
        <v>158.80000000000001</v>
      </c>
      <c r="G996" s="6">
        <v>0</v>
      </c>
      <c r="H996" s="7">
        <v>0</v>
      </c>
      <c r="I996" s="4">
        <v>1</v>
      </c>
      <c r="J996" s="4">
        <v>2</v>
      </c>
      <c r="K996" s="5">
        <v>0</v>
      </c>
      <c r="L996" s="26" t="b">
        <f t="shared" si="71"/>
        <v>1</v>
      </c>
      <c r="M996" s="26" t="str">
        <f t="shared" si="68"/>
        <v>call</v>
      </c>
      <c r="N996" s="28">
        <f t="shared" si="69"/>
        <v>46191</v>
      </c>
      <c r="O996" s="29">
        <f t="shared" si="70"/>
        <v>256</v>
      </c>
    </row>
    <row r="997" spans="1:15" x14ac:dyDescent="0.45">
      <c r="A997" s="1" t="s">
        <v>1180</v>
      </c>
      <c r="B997" s="4" t="s">
        <v>1181</v>
      </c>
      <c r="C997" s="3">
        <v>50</v>
      </c>
      <c r="D997" s="4">
        <v>192.41</v>
      </c>
      <c r="E997" s="4">
        <v>207.1</v>
      </c>
      <c r="F997" s="4">
        <v>210.5</v>
      </c>
      <c r="G997" s="6">
        <v>0</v>
      </c>
      <c r="H997" s="7">
        <v>0</v>
      </c>
      <c r="I997" s="4">
        <v>1</v>
      </c>
      <c r="J997" s="10">
        <v>1549</v>
      </c>
      <c r="K997" s="5">
        <v>0.98540000000000005</v>
      </c>
      <c r="L997" s="26" t="b">
        <f t="shared" si="71"/>
        <v>1</v>
      </c>
      <c r="M997" s="26" t="str">
        <f t="shared" si="68"/>
        <v>call</v>
      </c>
      <c r="N997" s="28">
        <f t="shared" si="69"/>
        <v>46191</v>
      </c>
      <c r="O997" s="29">
        <f t="shared" si="70"/>
        <v>256</v>
      </c>
    </row>
    <row r="998" spans="1:15" x14ac:dyDescent="0.45">
      <c r="A998" s="1" t="s">
        <v>1182</v>
      </c>
      <c r="B998" s="4" t="s">
        <v>1183</v>
      </c>
      <c r="C998" s="3">
        <v>55</v>
      </c>
      <c r="D998" s="4">
        <v>199.07</v>
      </c>
      <c r="E998" s="4">
        <v>202.65</v>
      </c>
      <c r="F998" s="4">
        <v>205.4</v>
      </c>
      <c r="G998" s="6">
        <v>0</v>
      </c>
      <c r="H998" s="7">
        <v>0</v>
      </c>
      <c r="I998" s="4">
        <v>25</v>
      </c>
      <c r="J998" s="4">
        <v>227</v>
      </c>
      <c r="K998" s="5">
        <v>0.96899999999999997</v>
      </c>
      <c r="L998" s="26" t="b">
        <f t="shared" si="71"/>
        <v>1</v>
      </c>
      <c r="M998" s="26" t="str">
        <f t="shared" si="68"/>
        <v>call</v>
      </c>
      <c r="N998" s="28">
        <f t="shared" si="69"/>
        <v>46191</v>
      </c>
      <c r="O998" s="29">
        <f t="shared" si="70"/>
        <v>256</v>
      </c>
    </row>
    <row r="999" spans="1:15" x14ac:dyDescent="0.45">
      <c r="A999" s="1" t="s">
        <v>1184</v>
      </c>
      <c r="B999" s="4" t="s">
        <v>1185</v>
      </c>
      <c r="C999" s="3">
        <v>60</v>
      </c>
      <c r="D999" s="4">
        <v>182.03</v>
      </c>
      <c r="E999" s="4">
        <v>197.4</v>
      </c>
      <c r="F999" s="4">
        <v>200.8</v>
      </c>
      <c r="G999" s="6">
        <v>0</v>
      </c>
      <c r="H999" s="7">
        <v>0</v>
      </c>
      <c r="I999" s="4">
        <v>1</v>
      </c>
      <c r="J999" s="4">
        <v>271</v>
      </c>
      <c r="K999" s="5">
        <v>0.92700000000000005</v>
      </c>
      <c r="L999" s="26" t="b">
        <f t="shared" si="71"/>
        <v>1</v>
      </c>
      <c r="M999" s="26" t="str">
        <f t="shared" si="68"/>
        <v>call</v>
      </c>
      <c r="N999" s="28">
        <f t="shared" si="69"/>
        <v>46191</v>
      </c>
      <c r="O999" s="29">
        <f t="shared" si="70"/>
        <v>256</v>
      </c>
    </row>
    <row r="1000" spans="1:15" x14ac:dyDescent="0.45">
      <c r="A1000" s="1" t="s">
        <v>1186</v>
      </c>
      <c r="B1000" s="4" t="s">
        <v>1185</v>
      </c>
      <c r="C1000" s="3">
        <v>65</v>
      </c>
      <c r="D1000" s="4">
        <v>177.08</v>
      </c>
      <c r="E1000" s="4">
        <v>192.95</v>
      </c>
      <c r="F1000" s="4">
        <v>195.7</v>
      </c>
      <c r="G1000" s="6">
        <v>0</v>
      </c>
      <c r="H1000" s="7">
        <v>0</v>
      </c>
      <c r="I1000" s="4">
        <v>1</v>
      </c>
      <c r="J1000" s="4">
        <v>100</v>
      </c>
      <c r="K1000" s="5">
        <v>0.90800000000000003</v>
      </c>
      <c r="L1000" s="26" t="b">
        <f t="shared" si="71"/>
        <v>1</v>
      </c>
      <c r="M1000" s="26" t="str">
        <f t="shared" si="68"/>
        <v>call</v>
      </c>
      <c r="N1000" s="28">
        <f t="shared" si="69"/>
        <v>46191</v>
      </c>
      <c r="O1000" s="29">
        <f t="shared" si="70"/>
        <v>256</v>
      </c>
    </row>
    <row r="1001" spans="1:15" x14ac:dyDescent="0.45">
      <c r="A1001" s="1" t="s">
        <v>1187</v>
      </c>
      <c r="B1001" s="4" t="s">
        <v>1188</v>
      </c>
      <c r="C1001" s="3">
        <v>70</v>
      </c>
      <c r="D1001" s="4">
        <v>173.17</v>
      </c>
      <c r="E1001" s="4">
        <v>187.7</v>
      </c>
      <c r="F1001" s="4">
        <v>191.1</v>
      </c>
      <c r="G1001" s="6">
        <v>0</v>
      </c>
      <c r="H1001" s="7">
        <v>0</v>
      </c>
      <c r="I1001" s="4">
        <v>1</v>
      </c>
      <c r="J1001" s="4">
        <v>540</v>
      </c>
      <c r="K1001" s="5">
        <v>0.86990000000000001</v>
      </c>
      <c r="L1001" s="26" t="b">
        <f t="shared" si="71"/>
        <v>1</v>
      </c>
      <c r="M1001" s="26" t="str">
        <f t="shared" si="68"/>
        <v>call</v>
      </c>
      <c r="N1001" s="28">
        <f t="shared" si="69"/>
        <v>46191</v>
      </c>
      <c r="O1001" s="29">
        <f t="shared" si="70"/>
        <v>256</v>
      </c>
    </row>
    <row r="1002" spans="1:15" x14ac:dyDescent="0.45">
      <c r="A1002" s="1" t="s">
        <v>1189</v>
      </c>
      <c r="B1002" s="4" t="s">
        <v>1190</v>
      </c>
      <c r="C1002" s="3">
        <v>75</v>
      </c>
      <c r="D1002" s="4">
        <v>167.55</v>
      </c>
      <c r="E1002" s="4">
        <v>182.9</v>
      </c>
      <c r="F1002" s="4">
        <v>186.3</v>
      </c>
      <c r="G1002" s="6">
        <v>0</v>
      </c>
      <c r="H1002" s="7">
        <v>0</v>
      </c>
      <c r="I1002" s="4">
        <v>1</v>
      </c>
      <c r="J1002" s="4">
        <v>396</v>
      </c>
      <c r="K1002" s="5">
        <v>0.84770000000000001</v>
      </c>
      <c r="L1002" s="26" t="b">
        <f t="shared" si="71"/>
        <v>1</v>
      </c>
      <c r="M1002" s="26" t="str">
        <f t="shared" si="68"/>
        <v>call</v>
      </c>
      <c r="N1002" s="28">
        <f t="shared" si="69"/>
        <v>46191</v>
      </c>
      <c r="O1002" s="29">
        <f t="shared" si="70"/>
        <v>256</v>
      </c>
    </row>
    <row r="1003" spans="1:15" x14ac:dyDescent="0.45">
      <c r="A1003" s="1" t="s">
        <v>1191</v>
      </c>
      <c r="B1003" s="2">
        <v>45756.659722222219</v>
      </c>
      <c r="C1003" s="3">
        <v>80</v>
      </c>
      <c r="D1003" s="4">
        <v>161.30000000000001</v>
      </c>
      <c r="E1003" s="4">
        <v>178.05</v>
      </c>
      <c r="F1003" s="4">
        <v>181.45</v>
      </c>
      <c r="G1003" s="6">
        <v>0</v>
      </c>
      <c r="H1003" s="7">
        <v>0</v>
      </c>
      <c r="I1003" s="4">
        <v>1</v>
      </c>
      <c r="J1003" s="4">
        <v>316</v>
      </c>
      <c r="K1003" s="5">
        <v>0.82030000000000003</v>
      </c>
      <c r="L1003" s="26" t="b">
        <f t="shared" si="71"/>
        <v>1</v>
      </c>
      <c r="M1003" s="26" t="str">
        <f t="shared" si="68"/>
        <v>call</v>
      </c>
      <c r="N1003" s="28">
        <f t="shared" si="69"/>
        <v>46191</v>
      </c>
      <c r="O1003" s="29">
        <f t="shared" si="70"/>
        <v>256</v>
      </c>
    </row>
    <row r="1004" spans="1:15" x14ac:dyDescent="0.45">
      <c r="A1004" s="1" t="s">
        <v>1192</v>
      </c>
      <c r="B1004" s="2">
        <v>45846.621527777781</v>
      </c>
      <c r="C1004" s="3">
        <v>85</v>
      </c>
      <c r="D1004" s="4">
        <v>137.88999999999999</v>
      </c>
      <c r="E1004" s="4">
        <v>171.2</v>
      </c>
      <c r="F1004" s="4">
        <v>174.2</v>
      </c>
      <c r="G1004" s="6">
        <v>0</v>
      </c>
      <c r="H1004" s="7">
        <v>0</v>
      </c>
      <c r="I1004" s="4">
        <v>29</v>
      </c>
      <c r="J1004" s="4">
        <v>147</v>
      </c>
      <c r="K1004" s="5">
        <v>0.72609999999999997</v>
      </c>
      <c r="L1004" s="26" t="b">
        <f t="shared" si="71"/>
        <v>1</v>
      </c>
      <c r="M1004" s="26" t="str">
        <f t="shared" si="68"/>
        <v>call</v>
      </c>
      <c r="N1004" s="28">
        <f t="shared" si="69"/>
        <v>46191</v>
      </c>
      <c r="O1004" s="29">
        <f t="shared" si="70"/>
        <v>256</v>
      </c>
    </row>
    <row r="1005" spans="1:15" x14ac:dyDescent="0.45">
      <c r="A1005" s="1" t="s">
        <v>1193</v>
      </c>
      <c r="B1005" s="2">
        <v>45667.546527777777</v>
      </c>
      <c r="C1005" s="3">
        <v>90</v>
      </c>
      <c r="D1005" s="4">
        <v>169.2</v>
      </c>
      <c r="E1005" s="4">
        <v>168.7</v>
      </c>
      <c r="F1005" s="4">
        <v>171.8</v>
      </c>
      <c r="G1005" s="8">
        <v>0</v>
      </c>
      <c r="H1005" s="9">
        <v>0</v>
      </c>
      <c r="I1005" s="4">
        <v>7</v>
      </c>
      <c r="J1005" s="10">
        <v>1727</v>
      </c>
      <c r="K1005" s="5">
        <v>0.7833</v>
      </c>
      <c r="L1005" s="26" t="b">
        <f t="shared" si="71"/>
        <v>1</v>
      </c>
      <c r="M1005" s="26" t="str">
        <f t="shared" si="68"/>
        <v>call</v>
      </c>
      <c r="N1005" s="28">
        <f t="shared" si="69"/>
        <v>46191</v>
      </c>
      <c r="O1005" s="29">
        <f t="shared" si="70"/>
        <v>256</v>
      </c>
    </row>
    <row r="1006" spans="1:15" x14ac:dyDescent="0.45">
      <c r="A1006" s="1" t="s">
        <v>1194</v>
      </c>
      <c r="B1006" s="2">
        <v>45726.45416666667</v>
      </c>
      <c r="C1006" s="3">
        <v>95</v>
      </c>
      <c r="D1006" s="4">
        <v>165.95</v>
      </c>
      <c r="E1006" s="4">
        <v>163.65</v>
      </c>
      <c r="F1006" s="4">
        <v>166.7</v>
      </c>
      <c r="G1006" s="6">
        <v>1.95</v>
      </c>
      <c r="H1006" s="7">
        <v>1.1900000000000001E-2</v>
      </c>
      <c r="I1006" s="4">
        <v>1</v>
      </c>
      <c r="J1006" s="4">
        <v>300</v>
      </c>
      <c r="K1006" s="5">
        <v>0.74109999999999998</v>
      </c>
      <c r="L1006" s="26" t="b">
        <f t="shared" si="71"/>
        <v>1</v>
      </c>
      <c r="M1006" s="26" t="str">
        <f t="shared" si="68"/>
        <v>call</v>
      </c>
      <c r="N1006" s="28">
        <f t="shared" si="69"/>
        <v>46191</v>
      </c>
      <c r="O1006" s="29">
        <f t="shared" si="70"/>
        <v>256</v>
      </c>
    </row>
    <row r="1007" spans="1:15" x14ac:dyDescent="0.45">
      <c r="A1007" s="1" t="s">
        <v>1195</v>
      </c>
      <c r="B1007" s="2">
        <v>45726.57708333333</v>
      </c>
      <c r="C1007" s="3">
        <v>100</v>
      </c>
      <c r="D1007" s="4">
        <v>160</v>
      </c>
      <c r="E1007" s="4">
        <v>160.05000000000001</v>
      </c>
      <c r="F1007" s="4">
        <v>161.9</v>
      </c>
      <c r="G1007" s="6">
        <v>2</v>
      </c>
      <c r="H1007" s="7">
        <v>1.2699999999999999E-2</v>
      </c>
      <c r="I1007" s="4">
        <v>10</v>
      </c>
      <c r="J1007" s="10">
        <v>2243</v>
      </c>
      <c r="K1007" s="5">
        <v>0.75780000000000003</v>
      </c>
      <c r="L1007" s="26" t="b">
        <f t="shared" si="71"/>
        <v>1</v>
      </c>
      <c r="M1007" s="26" t="str">
        <f t="shared" si="68"/>
        <v>call</v>
      </c>
      <c r="N1007" s="28">
        <f t="shared" si="69"/>
        <v>46191</v>
      </c>
      <c r="O1007" s="29">
        <f t="shared" si="70"/>
        <v>256</v>
      </c>
    </row>
    <row r="1008" spans="1:15" x14ac:dyDescent="0.45">
      <c r="A1008" s="1" t="s">
        <v>1196</v>
      </c>
      <c r="B1008" s="2">
        <v>45939.454861111109</v>
      </c>
      <c r="C1008" s="3">
        <v>105</v>
      </c>
      <c r="D1008" s="4">
        <v>126.45</v>
      </c>
      <c r="E1008" s="4">
        <v>155.30000000000001</v>
      </c>
      <c r="F1008" s="4">
        <v>156.85</v>
      </c>
      <c r="G1008" s="8">
        <v>0</v>
      </c>
      <c r="H1008" s="9">
        <v>0</v>
      </c>
      <c r="I1008" s="4">
        <v>5</v>
      </c>
      <c r="J1008" s="4">
        <v>199</v>
      </c>
      <c r="K1008" s="5">
        <v>0.72860000000000003</v>
      </c>
      <c r="L1008" s="26" t="b">
        <f t="shared" si="71"/>
        <v>1</v>
      </c>
      <c r="M1008" s="26" t="str">
        <f t="shared" si="68"/>
        <v>call</v>
      </c>
      <c r="N1008" s="28">
        <f t="shared" si="69"/>
        <v>46191</v>
      </c>
      <c r="O1008" s="29">
        <f t="shared" si="70"/>
        <v>256</v>
      </c>
    </row>
    <row r="1009" spans="1:15" x14ac:dyDescent="0.45">
      <c r="A1009" s="1" t="s">
        <v>1197</v>
      </c>
      <c r="B1009" s="4" t="s">
        <v>1198</v>
      </c>
      <c r="C1009" s="3">
        <v>110</v>
      </c>
      <c r="D1009" s="4">
        <v>137.03</v>
      </c>
      <c r="E1009" s="4">
        <v>149.85</v>
      </c>
      <c r="F1009" s="4">
        <v>152.05000000000001</v>
      </c>
      <c r="G1009" s="8">
        <v>0</v>
      </c>
      <c r="H1009" s="9">
        <v>0</v>
      </c>
      <c r="I1009" s="4">
        <v>1</v>
      </c>
      <c r="J1009" s="4">
        <v>189</v>
      </c>
      <c r="K1009" s="5">
        <v>0.68840000000000001</v>
      </c>
      <c r="L1009" s="26" t="b">
        <f t="shared" si="71"/>
        <v>1</v>
      </c>
      <c r="M1009" s="26" t="str">
        <f t="shared" si="68"/>
        <v>call</v>
      </c>
      <c r="N1009" s="28">
        <f t="shared" si="69"/>
        <v>46191</v>
      </c>
      <c r="O1009" s="29">
        <f t="shared" si="70"/>
        <v>256</v>
      </c>
    </row>
    <row r="1010" spans="1:15" x14ac:dyDescent="0.45">
      <c r="A1010" s="1" t="s">
        <v>1199</v>
      </c>
      <c r="B1010" s="4" t="s">
        <v>1200</v>
      </c>
      <c r="C1010" s="3">
        <v>115</v>
      </c>
      <c r="D1010" s="4">
        <v>145</v>
      </c>
      <c r="E1010" s="4">
        <v>144.69999999999999</v>
      </c>
      <c r="F1010" s="4">
        <v>147.25</v>
      </c>
      <c r="G1010" s="8">
        <v>0</v>
      </c>
      <c r="H1010" s="9">
        <v>0</v>
      </c>
      <c r="I1010" s="4">
        <v>1</v>
      </c>
      <c r="J1010" s="4">
        <v>231</v>
      </c>
      <c r="K1010" s="5">
        <v>0.65810000000000002</v>
      </c>
      <c r="L1010" s="26" t="b">
        <f t="shared" si="71"/>
        <v>1</v>
      </c>
      <c r="M1010" s="26" t="str">
        <f t="shared" si="68"/>
        <v>call</v>
      </c>
      <c r="N1010" s="28">
        <f t="shared" si="69"/>
        <v>46191</v>
      </c>
      <c r="O1010" s="29">
        <f t="shared" si="70"/>
        <v>256</v>
      </c>
    </row>
    <row r="1011" spans="1:15" x14ac:dyDescent="0.45">
      <c r="A1011" s="1" t="s">
        <v>1201</v>
      </c>
      <c r="B1011" s="4" t="s">
        <v>1202</v>
      </c>
      <c r="C1011" s="3">
        <v>120</v>
      </c>
      <c r="D1011" s="4">
        <v>130</v>
      </c>
      <c r="E1011" s="4">
        <v>140.80000000000001</v>
      </c>
      <c r="F1011" s="4">
        <v>142.9</v>
      </c>
      <c r="G1011" s="6">
        <v>0</v>
      </c>
      <c r="H1011" s="7">
        <v>0</v>
      </c>
      <c r="I1011" s="4">
        <v>4</v>
      </c>
      <c r="J1011" s="4">
        <v>424</v>
      </c>
      <c r="K1011" s="5">
        <v>0.6694</v>
      </c>
      <c r="L1011" s="26" t="b">
        <f t="shared" si="71"/>
        <v>1</v>
      </c>
      <c r="M1011" s="26" t="str">
        <f t="shared" si="68"/>
        <v>call</v>
      </c>
      <c r="N1011" s="28">
        <f t="shared" si="69"/>
        <v>46191</v>
      </c>
      <c r="O1011" s="29">
        <f t="shared" si="70"/>
        <v>256</v>
      </c>
    </row>
    <row r="1012" spans="1:15" x14ac:dyDescent="0.45">
      <c r="A1012" s="1" t="s">
        <v>1203</v>
      </c>
      <c r="B1012" s="4" t="s">
        <v>1204</v>
      </c>
      <c r="C1012" s="3">
        <v>125</v>
      </c>
      <c r="D1012" s="4">
        <v>133.59</v>
      </c>
      <c r="E1012" s="4">
        <v>135.30000000000001</v>
      </c>
      <c r="F1012" s="4">
        <v>137.9</v>
      </c>
      <c r="G1012" s="6">
        <v>0</v>
      </c>
      <c r="H1012" s="7">
        <v>0</v>
      </c>
      <c r="I1012" s="4">
        <v>4</v>
      </c>
      <c r="J1012" s="4">
        <v>171</v>
      </c>
      <c r="K1012" s="5">
        <v>0.62790000000000001</v>
      </c>
      <c r="L1012" s="26" t="b">
        <f t="shared" si="71"/>
        <v>1</v>
      </c>
      <c r="M1012" s="26" t="str">
        <f t="shared" si="68"/>
        <v>call</v>
      </c>
      <c r="N1012" s="28">
        <f t="shared" si="69"/>
        <v>46191</v>
      </c>
      <c r="O1012" s="29">
        <f t="shared" si="70"/>
        <v>256</v>
      </c>
    </row>
    <row r="1013" spans="1:15" x14ac:dyDescent="0.45">
      <c r="A1013" s="1" t="s">
        <v>1205</v>
      </c>
      <c r="B1013" s="2">
        <v>45698.475694444445</v>
      </c>
      <c r="C1013" s="3">
        <v>130</v>
      </c>
      <c r="D1013" s="4">
        <v>130.63999999999999</v>
      </c>
      <c r="E1013" s="4">
        <v>130.5</v>
      </c>
      <c r="F1013" s="4">
        <v>133.30000000000001</v>
      </c>
      <c r="G1013" s="6">
        <v>0</v>
      </c>
      <c r="H1013" s="7">
        <v>0</v>
      </c>
      <c r="I1013" s="4">
        <v>1</v>
      </c>
      <c r="J1013" s="4">
        <v>324</v>
      </c>
      <c r="K1013" s="5">
        <v>0.61150000000000004</v>
      </c>
      <c r="L1013" s="26" t="b">
        <f t="shared" si="71"/>
        <v>1</v>
      </c>
      <c r="M1013" s="26" t="str">
        <f t="shared" si="68"/>
        <v>call</v>
      </c>
      <c r="N1013" s="28">
        <f t="shared" si="69"/>
        <v>46191</v>
      </c>
      <c r="O1013" s="29">
        <f t="shared" si="70"/>
        <v>256</v>
      </c>
    </row>
    <row r="1014" spans="1:15" x14ac:dyDescent="0.45">
      <c r="A1014" s="1" t="s">
        <v>1206</v>
      </c>
      <c r="B1014" s="2">
        <v>45698.495833333334</v>
      </c>
      <c r="C1014" s="3">
        <v>135</v>
      </c>
      <c r="D1014" s="4">
        <v>126.42</v>
      </c>
      <c r="E1014" s="4">
        <v>125.5</v>
      </c>
      <c r="F1014" s="4">
        <v>128.25</v>
      </c>
      <c r="G1014" s="6">
        <v>0</v>
      </c>
      <c r="H1014" s="7">
        <v>0</v>
      </c>
      <c r="I1014" s="4">
        <v>5</v>
      </c>
      <c r="J1014" s="4">
        <v>568</v>
      </c>
      <c r="K1014" s="5">
        <v>0.58220000000000005</v>
      </c>
      <c r="L1014" s="26" t="b">
        <f t="shared" si="71"/>
        <v>1</v>
      </c>
      <c r="M1014" s="26" t="str">
        <f t="shared" si="68"/>
        <v>call</v>
      </c>
      <c r="N1014" s="28">
        <f t="shared" si="69"/>
        <v>46191</v>
      </c>
      <c r="O1014" s="29">
        <f t="shared" si="70"/>
        <v>256</v>
      </c>
    </row>
    <row r="1015" spans="1:15" x14ac:dyDescent="0.45">
      <c r="A1015" s="1" t="s">
        <v>1207</v>
      </c>
      <c r="B1015" s="4" t="s">
        <v>1208</v>
      </c>
      <c r="C1015" s="3">
        <v>140</v>
      </c>
      <c r="D1015" s="4">
        <v>118.51</v>
      </c>
      <c r="E1015" s="4">
        <v>121.75</v>
      </c>
      <c r="F1015" s="4">
        <v>123.6</v>
      </c>
      <c r="G1015" s="6">
        <v>0</v>
      </c>
      <c r="H1015" s="7">
        <v>0</v>
      </c>
      <c r="I1015" s="4">
        <v>8</v>
      </c>
      <c r="J1015" s="4">
        <v>416</v>
      </c>
      <c r="K1015" s="5">
        <v>0.58430000000000004</v>
      </c>
      <c r="L1015" s="26" t="b">
        <f t="shared" si="71"/>
        <v>1</v>
      </c>
      <c r="M1015" s="26" t="str">
        <f t="shared" si="68"/>
        <v>call</v>
      </c>
      <c r="N1015" s="28">
        <f t="shared" si="69"/>
        <v>46191</v>
      </c>
      <c r="O1015" s="29">
        <f t="shared" si="70"/>
        <v>256</v>
      </c>
    </row>
    <row r="1016" spans="1:15" x14ac:dyDescent="0.45">
      <c r="A1016" s="1" t="s">
        <v>1209</v>
      </c>
      <c r="B1016" s="4" t="s">
        <v>1210</v>
      </c>
      <c r="C1016" s="3">
        <v>145</v>
      </c>
      <c r="D1016" s="4">
        <v>113.9</v>
      </c>
      <c r="E1016" s="4">
        <v>117.3</v>
      </c>
      <c r="F1016" s="4">
        <v>118.9</v>
      </c>
      <c r="G1016" s="8">
        <v>0</v>
      </c>
      <c r="H1016" s="9">
        <v>0</v>
      </c>
      <c r="I1016" s="4">
        <v>1</v>
      </c>
      <c r="J1016" s="4">
        <v>223</v>
      </c>
      <c r="K1016" s="5">
        <v>0.57099999999999995</v>
      </c>
      <c r="L1016" s="26" t="b">
        <f t="shared" si="71"/>
        <v>1</v>
      </c>
      <c r="M1016" s="26" t="str">
        <f t="shared" si="68"/>
        <v>call</v>
      </c>
      <c r="N1016" s="28">
        <f t="shared" si="69"/>
        <v>46191</v>
      </c>
      <c r="O1016" s="29">
        <f t="shared" si="70"/>
        <v>256</v>
      </c>
    </row>
    <row r="1017" spans="1:15" x14ac:dyDescent="0.45">
      <c r="A1017" s="1" t="s">
        <v>1211</v>
      </c>
      <c r="B1017" s="4" t="s">
        <v>1212</v>
      </c>
      <c r="C1017" s="3">
        <v>150</v>
      </c>
      <c r="D1017" s="4">
        <v>108.52</v>
      </c>
      <c r="E1017" s="4">
        <v>112.6</v>
      </c>
      <c r="F1017" s="4">
        <v>113.9</v>
      </c>
      <c r="G1017" s="6">
        <v>0</v>
      </c>
      <c r="H1017" s="7">
        <v>0</v>
      </c>
      <c r="I1017" s="4">
        <v>2</v>
      </c>
      <c r="J1017" s="4">
        <v>876</v>
      </c>
      <c r="K1017" s="5">
        <v>0.54869999999999997</v>
      </c>
      <c r="L1017" s="26" t="b">
        <f t="shared" si="71"/>
        <v>1</v>
      </c>
      <c r="M1017" s="26" t="str">
        <f t="shared" si="68"/>
        <v>call</v>
      </c>
      <c r="N1017" s="28">
        <f t="shared" si="69"/>
        <v>46191</v>
      </c>
      <c r="O1017" s="29">
        <f t="shared" si="70"/>
        <v>256</v>
      </c>
    </row>
    <row r="1018" spans="1:15" x14ac:dyDescent="0.45">
      <c r="A1018" s="1" t="s">
        <v>1213</v>
      </c>
      <c r="B1018" s="4" t="s">
        <v>1214</v>
      </c>
      <c r="C1018" s="3">
        <v>155</v>
      </c>
      <c r="D1018" s="4">
        <v>104.3</v>
      </c>
      <c r="E1018" s="4">
        <v>107.85</v>
      </c>
      <c r="F1018" s="4">
        <v>109.25</v>
      </c>
      <c r="G1018" s="4">
        <v>0</v>
      </c>
      <c r="H1018" s="5">
        <v>0</v>
      </c>
      <c r="I1018" s="4">
        <v>10</v>
      </c>
      <c r="J1018" s="4">
        <v>517</v>
      </c>
      <c r="K1018" s="5">
        <v>0.53129999999999999</v>
      </c>
      <c r="L1018" s="26" t="b">
        <f t="shared" si="71"/>
        <v>1</v>
      </c>
      <c r="M1018" s="26" t="str">
        <f t="shared" si="68"/>
        <v>call</v>
      </c>
      <c r="N1018" s="28">
        <f t="shared" si="69"/>
        <v>46191</v>
      </c>
      <c r="O1018" s="29">
        <f t="shared" si="70"/>
        <v>256</v>
      </c>
    </row>
    <row r="1019" spans="1:15" x14ac:dyDescent="0.45">
      <c r="A1019" s="1" t="s">
        <v>1215</v>
      </c>
      <c r="B1019" s="4" t="s">
        <v>1216</v>
      </c>
      <c r="C1019" s="3">
        <v>160</v>
      </c>
      <c r="D1019" s="4">
        <v>103.62</v>
      </c>
      <c r="E1019" s="4">
        <v>101.75</v>
      </c>
      <c r="F1019" s="4">
        <v>104.15</v>
      </c>
      <c r="G1019" s="8">
        <v>4.62</v>
      </c>
      <c r="H1019" s="9">
        <v>4.6699999999999998E-2</v>
      </c>
      <c r="I1019" s="4">
        <v>3</v>
      </c>
      <c r="J1019" s="10">
        <v>1092</v>
      </c>
      <c r="K1019" s="5">
        <v>0.52200000000000002</v>
      </c>
      <c r="L1019" s="26" t="b">
        <f t="shared" si="71"/>
        <v>1</v>
      </c>
      <c r="M1019" s="26" t="str">
        <f t="shared" si="68"/>
        <v>call</v>
      </c>
      <c r="N1019" s="28">
        <f t="shared" si="69"/>
        <v>46191</v>
      </c>
      <c r="O1019" s="29">
        <f t="shared" si="70"/>
        <v>256</v>
      </c>
    </row>
    <row r="1020" spans="1:15" x14ac:dyDescent="0.45">
      <c r="A1020" s="1" t="s">
        <v>1217</v>
      </c>
      <c r="B1020" s="2">
        <v>45698.448611111111</v>
      </c>
      <c r="C1020" s="3">
        <v>165</v>
      </c>
      <c r="D1020" s="4">
        <v>97.75</v>
      </c>
      <c r="E1020" s="4">
        <v>98.5</v>
      </c>
      <c r="F1020" s="4">
        <v>100.15</v>
      </c>
      <c r="G1020" s="4">
        <v>0</v>
      </c>
      <c r="H1020" s="5">
        <v>0</v>
      </c>
      <c r="I1020" s="4">
        <v>1</v>
      </c>
      <c r="J1020" s="4">
        <v>643</v>
      </c>
      <c r="K1020" s="5">
        <v>0.50080000000000002</v>
      </c>
      <c r="L1020" s="26" t="b">
        <f t="shared" si="71"/>
        <v>1</v>
      </c>
      <c r="M1020" s="26" t="str">
        <f t="shared" si="68"/>
        <v>call</v>
      </c>
      <c r="N1020" s="28">
        <f t="shared" si="69"/>
        <v>46191</v>
      </c>
      <c r="O1020" s="29">
        <f t="shared" si="70"/>
        <v>256</v>
      </c>
    </row>
    <row r="1021" spans="1:15" x14ac:dyDescent="0.45">
      <c r="A1021" s="1" t="s">
        <v>1218</v>
      </c>
      <c r="B1021" s="2">
        <v>45726.586805555555</v>
      </c>
      <c r="C1021" s="3">
        <v>170</v>
      </c>
      <c r="D1021" s="4">
        <v>94</v>
      </c>
      <c r="E1021" s="4">
        <v>94</v>
      </c>
      <c r="F1021" s="4">
        <v>94.65</v>
      </c>
      <c r="G1021" s="8">
        <v>0.5</v>
      </c>
      <c r="H1021" s="9">
        <v>5.3E-3</v>
      </c>
      <c r="I1021" s="4">
        <v>13</v>
      </c>
      <c r="J1021" s="10">
        <v>2135</v>
      </c>
      <c r="K1021" s="5">
        <v>0.48359999999999997</v>
      </c>
      <c r="L1021" s="26" t="b">
        <f t="shared" si="71"/>
        <v>1</v>
      </c>
      <c r="M1021" s="26" t="str">
        <f t="shared" ref="M1021:M1084" si="72">IF(MID(A1021,11,1)="C","call","put")</f>
        <v>call</v>
      </c>
      <c r="N1021" s="28">
        <f t="shared" ref="N1021:N1084" si="73">DATE(MID(A1021,5,2)+2000,MID(A1021,7,2),MID(A1021,9,2))</f>
        <v>46191</v>
      </c>
      <c r="O1021" s="29">
        <f t="shared" si="70"/>
        <v>256</v>
      </c>
    </row>
    <row r="1022" spans="1:15" x14ac:dyDescent="0.45">
      <c r="A1022" s="1" t="s">
        <v>1219</v>
      </c>
      <c r="B1022" s="4" t="s">
        <v>299</v>
      </c>
      <c r="C1022" s="3">
        <v>175</v>
      </c>
      <c r="D1022" s="4">
        <v>86.15</v>
      </c>
      <c r="E1022" s="4">
        <v>88.05</v>
      </c>
      <c r="F1022" s="4">
        <v>90.75</v>
      </c>
      <c r="G1022" s="8">
        <v>0</v>
      </c>
      <c r="H1022" s="9">
        <v>0</v>
      </c>
      <c r="I1022" s="4">
        <v>1</v>
      </c>
      <c r="J1022" s="4">
        <v>474</v>
      </c>
      <c r="K1022" s="5">
        <v>0.48420000000000002</v>
      </c>
      <c r="L1022" s="26" t="b">
        <f t="shared" si="71"/>
        <v>1</v>
      </c>
      <c r="M1022" s="26" t="str">
        <f t="shared" si="72"/>
        <v>call</v>
      </c>
      <c r="N1022" s="28">
        <f t="shared" si="73"/>
        <v>46191</v>
      </c>
      <c r="O1022" s="29">
        <f t="shared" ref="O1022:O1085" si="74">N1022-DATE(2025,10,5)</f>
        <v>256</v>
      </c>
    </row>
    <row r="1023" spans="1:15" x14ac:dyDescent="0.45">
      <c r="A1023" s="1" t="s">
        <v>1220</v>
      </c>
      <c r="B1023" s="2">
        <v>45726.636111111111</v>
      </c>
      <c r="C1023" s="3">
        <v>180</v>
      </c>
      <c r="D1023" s="4">
        <v>85.2</v>
      </c>
      <c r="E1023" s="4">
        <v>84.9</v>
      </c>
      <c r="F1023" s="4">
        <v>85.55</v>
      </c>
      <c r="G1023" s="8">
        <v>0</v>
      </c>
      <c r="H1023" s="9">
        <v>0</v>
      </c>
      <c r="I1023" s="4">
        <v>14</v>
      </c>
      <c r="J1023" s="10">
        <v>2396</v>
      </c>
      <c r="K1023" s="5">
        <v>0.45450000000000002</v>
      </c>
      <c r="L1023" s="26" t="b">
        <f t="shared" si="71"/>
        <v>1</v>
      </c>
      <c r="M1023" s="26" t="str">
        <f t="shared" si="72"/>
        <v>call</v>
      </c>
      <c r="N1023" s="28">
        <f t="shared" si="73"/>
        <v>46191</v>
      </c>
      <c r="O1023" s="29">
        <f t="shared" si="74"/>
        <v>256</v>
      </c>
    </row>
    <row r="1024" spans="1:15" x14ac:dyDescent="0.45">
      <c r="A1024" s="1" t="s">
        <v>1221</v>
      </c>
      <c r="B1024" s="2">
        <v>45726.544444444444</v>
      </c>
      <c r="C1024" s="3">
        <v>185</v>
      </c>
      <c r="D1024" s="4">
        <v>80.150000000000006</v>
      </c>
      <c r="E1024" s="4">
        <v>80.45</v>
      </c>
      <c r="F1024" s="4">
        <v>81.05</v>
      </c>
      <c r="G1024" s="8">
        <v>-0.3</v>
      </c>
      <c r="H1024" s="9">
        <v>-3.7000000000000002E-3</v>
      </c>
      <c r="I1024" s="4">
        <v>7</v>
      </c>
      <c r="J1024" s="10">
        <v>1048</v>
      </c>
      <c r="K1024" s="5">
        <v>0.44040000000000001</v>
      </c>
      <c r="L1024" s="26" t="b">
        <f t="shared" ref="L1024:L1087" si="75">IF(M1024="call",C1024&lt;$P$1,C1024&gt;$P$1)</f>
        <v>1</v>
      </c>
      <c r="M1024" s="26" t="str">
        <f t="shared" si="72"/>
        <v>call</v>
      </c>
      <c r="N1024" s="28">
        <f t="shared" si="73"/>
        <v>46191</v>
      </c>
      <c r="O1024" s="29">
        <f t="shared" si="74"/>
        <v>256</v>
      </c>
    </row>
    <row r="1025" spans="1:15" x14ac:dyDescent="0.45">
      <c r="A1025" s="1" t="s">
        <v>1222</v>
      </c>
      <c r="B1025" s="2">
        <v>45698.564583333333</v>
      </c>
      <c r="C1025" s="3">
        <v>190</v>
      </c>
      <c r="D1025" s="4">
        <v>76.349999999999994</v>
      </c>
      <c r="E1025" s="4">
        <v>75.900000000000006</v>
      </c>
      <c r="F1025" s="4">
        <v>76.599999999999994</v>
      </c>
      <c r="G1025" s="8">
        <v>0.52</v>
      </c>
      <c r="H1025" s="9">
        <v>6.8999999999999999E-3</v>
      </c>
      <c r="I1025" s="4">
        <v>5</v>
      </c>
      <c r="J1025" s="10">
        <v>5230</v>
      </c>
      <c r="K1025" s="5">
        <v>0.4269</v>
      </c>
      <c r="L1025" s="26" t="b">
        <f t="shared" si="75"/>
        <v>1</v>
      </c>
      <c r="M1025" s="26" t="str">
        <f t="shared" si="72"/>
        <v>call</v>
      </c>
      <c r="N1025" s="28">
        <f t="shared" si="73"/>
        <v>46191</v>
      </c>
      <c r="O1025" s="29">
        <f t="shared" si="74"/>
        <v>256</v>
      </c>
    </row>
    <row r="1026" spans="1:15" x14ac:dyDescent="0.45">
      <c r="A1026" s="1" t="s">
        <v>1223</v>
      </c>
      <c r="B1026" s="2">
        <v>45726.612500000003</v>
      </c>
      <c r="C1026" s="3">
        <v>195</v>
      </c>
      <c r="D1026" s="4">
        <v>72.34</v>
      </c>
      <c r="E1026" s="4">
        <v>71.599999999999994</v>
      </c>
      <c r="F1026" s="4">
        <v>72.05</v>
      </c>
      <c r="G1026" s="8">
        <v>0.76</v>
      </c>
      <c r="H1026" s="9">
        <v>1.06E-2</v>
      </c>
      <c r="I1026" s="4">
        <v>4</v>
      </c>
      <c r="J1026" s="10">
        <v>2816</v>
      </c>
      <c r="K1026" s="5">
        <v>0.41089999999999999</v>
      </c>
      <c r="L1026" s="26" t="b">
        <f t="shared" si="75"/>
        <v>1</v>
      </c>
      <c r="M1026" s="26" t="str">
        <f t="shared" si="72"/>
        <v>call</v>
      </c>
      <c r="N1026" s="28">
        <f t="shared" si="73"/>
        <v>46191</v>
      </c>
      <c r="O1026" s="29">
        <f t="shared" si="74"/>
        <v>256</v>
      </c>
    </row>
    <row r="1027" spans="1:15" x14ac:dyDescent="0.45">
      <c r="A1027" s="1" t="s">
        <v>1224</v>
      </c>
      <c r="B1027" s="2">
        <v>45726.656944444447</v>
      </c>
      <c r="C1027" s="3">
        <v>200</v>
      </c>
      <c r="D1027" s="4">
        <v>67.5</v>
      </c>
      <c r="E1027" s="4">
        <v>67.349999999999994</v>
      </c>
      <c r="F1027" s="4">
        <v>67.75</v>
      </c>
      <c r="G1027" s="8">
        <v>0.34</v>
      </c>
      <c r="H1027" s="9">
        <v>5.1000000000000004E-3</v>
      </c>
      <c r="I1027" s="4">
        <v>44</v>
      </c>
      <c r="J1027" s="10">
        <v>7138</v>
      </c>
      <c r="K1027" s="5">
        <v>0.39910000000000001</v>
      </c>
      <c r="L1027" s="26" t="b">
        <f t="shared" si="75"/>
        <v>1</v>
      </c>
      <c r="M1027" s="26" t="str">
        <f t="shared" si="72"/>
        <v>call</v>
      </c>
      <c r="N1027" s="28">
        <f t="shared" si="73"/>
        <v>46191</v>
      </c>
      <c r="O1027" s="29">
        <f t="shared" si="74"/>
        <v>256</v>
      </c>
    </row>
    <row r="1028" spans="1:15" x14ac:dyDescent="0.45">
      <c r="A1028" s="1" t="s">
        <v>1225</v>
      </c>
      <c r="B1028" s="2">
        <v>45726.617361111108</v>
      </c>
      <c r="C1028" s="3">
        <v>205</v>
      </c>
      <c r="D1028" s="4">
        <v>63.86</v>
      </c>
      <c r="E1028" s="4">
        <v>63.15</v>
      </c>
      <c r="F1028" s="4">
        <v>63.55</v>
      </c>
      <c r="G1028" s="4">
        <v>0.79</v>
      </c>
      <c r="H1028" s="5">
        <v>1.2500000000000001E-2</v>
      </c>
      <c r="I1028" s="4">
        <v>19</v>
      </c>
      <c r="J1028" s="10">
        <v>4038</v>
      </c>
      <c r="K1028" s="5">
        <v>0.38829999999999998</v>
      </c>
      <c r="L1028" s="26" t="b">
        <f t="shared" si="75"/>
        <v>1</v>
      </c>
      <c r="M1028" s="26" t="str">
        <f t="shared" si="72"/>
        <v>call</v>
      </c>
      <c r="N1028" s="28">
        <f t="shared" si="73"/>
        <v>46191</v>
      </c>
      <c r="O1028" s="29">
        <f t="shared" si="74"/>
        <v>256</v>
      </c>
    </row>
    <row r="1029" spans="1:15" x14ac:dyDescent="0.45">
      <c r="A1029" s="1" t="s">
        <v>1226</v>
      </c>
      <c r="B1029" s="2">
        <v>45726.616666666669</v>
      </c>
      <c r="C1029" s="3">
        <v>210</v>
      </c>
      <c r="D1029" s="4">
        <v>59.62</v>
      </c>
      <c r="E1029" s="4">
        <v>59</v>
      </c>
      <c r="F1029" s="4">
        <v>59.35</v>
      </c>
      <c r="G1029" s="8">
        <v>0.31</v>
      </c>
      <c r="H1029" s="9">
        <v>5.1999999999999998E-3</v>
      </c>
      <c r="I1029" s="4">
        <v>96</v>
      </c>
      <c r="J1029" s="10">
        <v>5929</v>
      </c>
      <c r="K1029" s="5">
        <v>0.37659999999999999</v>
      </c>
      <c r="L1029" s="26" t="b">
        <f t="shared" si="75"/>
        <v>1</v>
      </c>
      <c r="M1029" s="26" t="str">
        <f t="shared" si="72"/>
        <v>call</v>
      </c>
      <c r="N1029" s="28">
        <f t="shared" si="73"/>
        <v>46191</v>
      </c>
      <c r="O1029" s="29">
        <f t="shared" si="74"/>
        <v>256</v>
      </c>
    </row>
    <row r="1030" spans="1:15" x14ac:dyDescent="0.45">
      <c r="A1030" s="1" t="s">
        <v>1227</v>
      </c>
      <c r="B1030" s="2">
        <v>45726.661111111112</v>
      </c>
      <c r="C1030" s="3">
        <v>215</v>
      </c>
      <c r="D1030" s="4">
        <v>54.85</v>
      </c>
      <c r="E1030" s="4">
        <v>54.95</v>
      </c>
      <c r="F1030" s="4">
        <v>55.3</v>
      </c>
      <c r="G1030" s="6">
        <v>-0.45</v>
      </c>
      <c r="H1030" s="7">
        <v>-8.0999999999999996E-3</v>
      </c>
      <c r="I1030" s="4">
        <v>21</v>
      </c>
      <c r="J1030" s="10">
        <v>4006</v>
      </c>
      <c r="K1030" s="5">
        <v>0.3664</v>
      </c>
      <c r="L1030" s="26" t="b">
        <f t="shared" si="75"/>
        <v>1</v>
      </c>
      <c r="M1030" s="26" t="str">
        <f t="shared" si="72"/>
        <v>call</v>
      </c>
      <c r="N1030" s="28">
        <f t="shared" si="73"/>
        <v>46191</v>
      </c>
      <c r="O1030" s="29">
        <f t="shared" si="74"/>
        <v>256</v>
      </c>
    </row>
    <row r="1031" spans="1:15" x14ac:dyDescent="0.45">
      <c r="A1031" s="1" t="s">
        <v>1228</v>
      </c>
      <c r="B1031" s="2">
        <v>45726.615972222222</v>
      </c>
      <c r="C1031" s="3">
        <v>220</v>
      </c>
      <c r="D1031" s="4">
        <v>51.65</v>
      </c>
      <c r="E1031" s="4">
        <v>51</v>
      </c>
      <c r="F1031" s="4">
        <v>51.35</v>
      </c>
      <c r="G1031" s="6">
        <v>1.05</v>
      </c>
      <c r="H1031" s="7">
        <v>2.0799999999999999E-2</v>
      </c>
      <c r="I1031" s="4">
        <v>33</v>
      </c>
      <c r="J1031" s="10">
        <v>6504</v>
      </c>
      <c r="K1031" s="5">
        <v>0.35659999999999997</v>
      </c>
      <c r="L1031" s="26" t="b">
        <f t="shared" si="75"/>
        <v>1</v>
      </c>
      <c r="M1031" s="26" t="str">
        <f t="shared" si="72"/>
        <v>call</v>
      </c>
      <c r="N1031" s="28">
        <f t="shared" si="73"/>
        <v>46191</v>
      </c>
      <c r="O1031" s="29">
        <f t="shared" si="74"/>
        <v>256</v>
      </c>
    </row>
    <row r="1032" spans="1:15" x14ac:dyDescent="0.45">
      <c r="A1032" s="1" t="s">
        <v>1229</v>
      </c>
      <c r="B1032" s="2">
        <v>45726.630555555559</v>
      </c>
      <c r="C1032" s="3">
        <v>225</v>
      </c>
      <c r="D1032" s="4">
        <v>47.37</v>
      </c>
      <c r="E1032" s="4">
        <v>47.15</v>
      </c>
      <c r="F1032" s="4">
        <v>47.5</v>
      </c>
      <c r="G1032" s="6">
        <v>0.14000000000000001</v>
      </c>
      <c r="H1032" s="7">
        <v>3.0000000000000001E-3</v>
      </c>
      <c r="I1032" s="4">
        <v>33</v>
      </c>
      <c r="J1032" s="10">
        <v>3854</v>
      </c>
      <c r="K1032" s="5">
        <v>0.34720000000000001</v>
      </c>
      <c r="L1032" s="26" t="b">
        <f t="shared" si="75"/>
        <v>1</v>
      </c>
      <c r="M1032" s="26" t="str">
        <f t="shared" si="72"/>
        <v>call</v>
      </c>
      <c r="N1032" s="28">
        <f t="shared" si="73"/>
        <v>46191</v>
      </c>
      <c r="O1032" s="29">
        <f t="shared" si="74"/>
        <v>256</v>
      </c>
    </row>
    <row r="1033" spans="1:15" x14ac:dyDescent="0.45">
      <c r="A1033" s="1" t="s">
        <v>1230</v>
      </c>
      <c r="B1033" s="2">
        <v>45726.648611111108</v>
      </c>
      <c r="C1033" s="3">
        <v>230</v>
      </c>
      <c r="D1033" s="4">
        <v>43.61</v>
      </c>
      <c r="E1033" s="4">
        <v>43.45</v>
      </c>
      <c r="F1033" s="4">
        <v>43.8</v>
      </c>
      <c r="G1033" s="6">
        <v>0.15</v>
      </c>
      <c r="H1033" s="7">
        <v>3.5000000000000001E-3</v>
      </c>
      <c r="I1033" s="4">
        <v>58</v>
      </c>
      <c r="J1033" s="10">
        <v>13011</v>
      </c>
      <c r="K1033" s="5">
        <v>0.3387</v>
      </c>
      <c r="L1033" s="26" t="b">
        <f t="shared" si="75"/>
        <v>1</v>
      </c>
      <c r="M1033" s="26" t="str">
        <f t="shared" si="72"/>
        <v>call</v>
      </c>
      <c r="N1033" s="28">
        <f t="shared" si="73"/>
        <v>46191</v>
      </c>
      <c r="O1033" s="29">
        <f t="shared" si="74"/>
        <v>256</v>
      </c>
    </row>
    <row r="1034" spans="1:15" x14ac:dyDescent="0.45">
      <c r="A1034" s="1" t="s">
        <v>1231</v>
      </c>
      <c r="B1034" s="2">
        <v>45726.630555555559</v>
      </c>
      <c r="C1034" s="3">
        <v>235</v>
      </c>
      <c r="D1034" s="4">
        <v>40.03</v>
      </c>
      <c r="E1034" s="4">
        <v>39.9</v>
      </c>
      <c r="F1034" s="4">
        <v>40.200000000000003</v>
      </c>
      <c r="G1034" s="8">
        <v>-0.32</v>
      </c>
      <c r="H1034" s="9">
        <v>-7.9000000000000008E-3</v>
      </c>
      <c r="I1034" s="4">
        <v>282</v>
      </c>
      <c r="J1034" s="10">
        <v>6671</v>
      </c>
      <c r="K1034" s="5">
        <v>0.33019999999999999</v>
      </c>
      <c r="L1034" s="26" t="b">
        <f t="shared" si="75"/>
        <v>1</v>
      </c>
      <c r="M1034" s="26" t="str">
        <f t="shared" si="72"/>
        <v>call</v>
      </c>
      <c r="N1034" s="28">
        <f t="shared" si="73"/>
        <v>46191</v>
      </c>
      <c r="O1034" s="29">
        <f t="shared" si="74"/>
        <v>256</v>
      </c>
    </row>
    <row r="1035" spans="1:15" x14ac:dyDescent="0.45">
      <c r="A1035" s="1" t="s">
        <v>1232</v>
      </c>
      <c r="B1035" s="2">
        <v>45726.629861111112</v>
      </c>
      <c r="C1035" s="3">
        <v>240</v>
      </c>
      <c r="D1035" s="4">
        <v>36.74</v>
      </c>
      <c r="E1035" s="4">
        <v>36.450000000000003</v>
      </c>
      <c r="F1035" s="4">
        <v>36.75</v>
      </c>
      <c r="G1035" s="6">
        <v>0.17</v>
      </c>
      <c r="H1035" s="7">
        <v>4.5999999999999999E-3</v>
      </c>
      <c r="I1035" s="4">
        <v>87</v>
      </c>
      <c r="J1035" s="10">
        <v>6508</v>
      </c>
      <c r="K1035" s="5">
        <v>0.32229999999999998</v>
      </c>
      <c r="L1035" s="26" t="b">
        <f t="shared" si="75"/>
        <v>1</v>
      </c>
      <c r="M1035" s="26" t="str">
        <f t="shared" si="72"/>
        <v>call</v>
      </c>
      <c r="N1035" s="28">
        <f t="shared" si="73"/>
        <v>46191</v>
      </c>
      <c r="O1035" s="29">
        <f t="shared" si="74"/>
        <v>256</v>
      </c>
    </row>
    <row r="1036" spans="1:15" x14ac:dyDescent="0.45">
      <c r="A1036" s="1" t="s">
        <v>1233</v>
      </c>
      <c r="B1036" s="2">
        <v>45726.654861111114</v>
      </c>
      <c r="C1036" s="3">
        <v>245</v>
      </c>
      <c r="D1036" s="4">
        <v>33.299999999999997</v>
      </c>
      <c r="E1036" s="4">
        <v>33.15</v>
      </c>
      <c r="F1036" s="4">
        <v>33.35</v>
      </c>
      <c r="G1036" s="8">
        <v>-0.05</v>
      </c>
      <c r="H1036" s="9">
        <v>-1.5E-3</v>
      </c>
      <c r="I1036" s="4">
        <v>77</v>
      </c>
      <c r="J1036" s="10">
        <v>2882</v>
      </c>
      <c r="K1036" s="5">
        <v>0.31359999999999999</v>
      </c>
      <c r="L1036" s="26" t="b">
        <f t="shared" si="75"/>
        <v>1</v>
      </c>
      <c r="M1036" s="26" t="str">
        <f t="shared" si="72"/>
        <v>call</v>
      </c>
      <c r="N1036" s="28">
        <f t="shared" si="73"/>
        <v>46191</v>
      </c>
      <c r="O1036" s="29">
        <f t="shared" si="74"/>
        <v>256</v>
      </c>
    </row>
    <row r="1037" spans="1:15" x14ac:dyDescent="0.45">
      <c r="A1037" s="1" t="s">
        <v>1234</v>
      </c>
      <c r="B1037" s="2">
        <v>45726.660416666666</v>
      </c>
      <c r="C1037" s="3">
        <v>250</v>
      </c>
      <c r="D1037" s="4">
        <v>29.98</v>
      </c>
      <c r="E1037" s="4">
        <v>30</v>
      </c>
      <c r="F1037" s="4">
        <v>30.2</v>
      </c>
      <c r="G1037" s="8">
        <v>-0.04</v>
      </c>
      <c r="H1037" s="9">
        <v>-1.2999999999999999E-3</v>
      </c>
      <c r="I1037" s="4">
        <v>641</v>
      </c>
      <c r="J1037" s="10">
        <v>19270</v>
      </c>
      <c r="K1037" s="5">
        <v>0.30649999999999999</v>
      </c>
      <c r="L1037" s="26" t="b">
        <f t="shared" si="75"/>
        <v>1</v>
      </c>
      <c r="M1037" s="26" t="str">
        <f t="shared" si="72"/>
        <v>call</v>
      </c>
      <c r="N1037" s="28">
        <f t="shared" si="73"/>
        <v>46191</v>
      </c>
      <c r="O1037" s="29">
        <f t="shared" si="74"/>
        <v>256</v>
      </c>
    </row>
    <row r="1038" spans="1:15" x14ac:dyDescent="0.45">
      <c r="A1038" s="1" t="s">
        <v>1235</v>
      </c>
      <c r="B1038" s="2">
        <v>45726.629861111112</v>
      </c>
      <c r="C1038" s="3">
        <v>255</v>
      </c>
      <c r="D1038" s="4">
        <v>27.1</v>
      </c>
      <c r="E1038" s="4">
        <v>27.05</v>
      </c>
      <c r="F1038" s="4">
        <v>27.25</v>
      </c>
      <c r="G1038" s="6">
        <v>0.09</v>
      </c>
      <c r="H1038" s="7">
        <v>3.3E-3</v>
      </c>
      <c r="I1038" s="4">
        <v>84</v>
      </c>
      <c r="J1038" s="10">
        <v>3255</v>
      </c>
      <c r="K1038" s="5">
        <v>0.30009999999999998</v>
      </c>
      <c r="L1038" s="26" t="b">
        <f t="shared" si="75"/>
        <v>1</v>
      </c>
      <c r="M1038" s="26" t="str">
        <f t="shared" si="72"/>
        <v>call</v>
      </c>
      <c r="N1038" s="28">
        <f t="shared" si="73"/>
        <v>46191</v>
      </c>
      <c r="O1038" s="29">
        <f t="shared" si="74"/>
        <v>256</v>
      </c>
    </row>
    <row r="1039" spans="1:15" x14ac:dyDescent="0.45">
      <c r="A1039" s="11" t="s">
        <v>1236</v>
      </c>
      <c r="B1039" s="12">
        <v>45726.665972222225</v>
      </c>
      <c r="C1039" s="13">
        <v>260</v>
      </c>
      <c r="D1039" s="14">
        <v>24.3</v>
      </c>
      <c r="E1039" s="14">
        <v>24.25</v>
      </c>
      <c r="F1039" s="14">
        <v>24.4</v>
      </c>
      <c r="G1039" s="19">
        <v>0.1</v>
      </c>
      <c r="H1039" s="20">
        <v>4.1000000000000003E-3</v>
      </c>
      <c r="I1039" s="14">
        <v>300</v>
      </c>
      <c r="J1039" s="17">
        <v>6565</v>
      </c>
      <c r="K1039" s="18">
        <v>0.29330000000000001</v>
      </c>
      <c r="L1039" s="26" t="b">
        <f t="shared" si="75"/>
        <v>0</v>
      </c>
      <c r="M1039" s="26" t="str">
        <f t="shared" si="72"/>
        <v>call</v>
      </c>
      <c r="N1039" s="28">
        <f t="shared" si="73"/>
        <v>46191</v>
      </c>
      <c r="O1039" s="29">
        <f t="shared" si="74"/>
        <v>256</v>
      </c>
    </row>
    <row r="1040" spans="1:15" x14ac:dyDescent="0.45">
      <c r="A1040" s="11" t="s">
        <v>1237</v>
      </c>
      <c r="B1040" s="12">
        <v>45726.6</v>
      </c>
      <c r="C1040" s="13">
        <v>265</v>
      </c>
      <c r="D1040" s="14">
        <v>21.75</v>
      </c>
      <c r="E1040" s="14">
        <v>21.65</v>
      </c>
      <c r="F1040" s="14">
        <v>21.8</v>
      </c>
      <c r="G1040" s="15">
        <v>-0.02</v>
      </c>
      <c r="H1040" s="16">
        <v>-8.9999999999999998E-4</v>
      </c>
      <c r="I1040" s="14">
        <v>55</v>
      </c>
      <c r="J1040" s="17">
        <v>5241</v>
      </c>
      <c r="K1040" s="18">
        <v>0.2878</v>
      </c>
      <c r="L1040" s="26" t="b">
        <f t="shared" si="75"/>
        <v>0</v>
      </c>
      <c r="M1040" s="26" t="str">
        <f t="shared" si="72"/>
        <v>call</v>
      </c>
      <c r="N1040" s="28">
        <f t="shared" si="73"/>
        <v>46191</v>
      </c>
      <c r="O1040" s="29">
        <f t="shared" si="74"/>
        <v>256</v>
      </c>
    </row>
    <row r="1041" spans="1:15" x14ac:dyDescent="0.45">
      <c r="A1041" s="11" t="s">
        <v>1238</v>
      </c>
      <c r="B1041" s="12">
        <v>45726.662499999999</v>
      </c>
      <c r="C1041" s="13">
        <v>270</v>
      </c>
      <c r="D1041" s="14">
        <v>19.149999999999999</v>
      </c>
      <c r="E1041" s="14">
        <v>19.2</v>
      </c>
      <c r="F1041" s="14">
        <v>19.399999999999999</v>
      </c>
      <c r="G1041" s="15">
        <v>-0.1</v>
      </c>
      <c r="H1041" s="16">
        <v>-5.1999999999999998E-3</v>
      </c>
      <c r="I1041" s="14">
        <v>39</v>
      </c>
      <c r="J1041" s="17">
        <v>10304</v>
      </c>
      <c r="K1041" s="18">
        <v>0.2828</v>
      </c>
      <c r="L1041" s="26" t="b">
        <f t="shared" si="75"/>
        <v>0</v>
      </c>
      <c r="M1041" s="26" t="str">
        <f t="shared" si="72"/>
        <v>call</v>
      </c>
      <c r="N1041" s="28">
        <f t="shared" si="73"/>
        <v>46191</v>
      </c>
      <c r="O1041" s="29">
        <f t="shared" si="74"/>
        <v>256</v>
      </c>
    </row>
    <row r="1042" spans="1:15" x14ac:dyDescent="0.45">
      <c r="A1042" s="11" t="s">
        <v>1239</v>
      </c>
      <c r="B1042" s="12">
        <v>45726.597916666666</v>
      </c>
      <c r="C1042" s="13">
        <v>275</v>
      </c>
      <c r="D1042" s="14">
        <v>17.100000000000001</v>
      </c>
      <c r="E1042" s="14">
        <v>17</v>
      </c>
      <c r="F1042" s="14">
        <v>17.149999999999999</v>
      </c>
      <c r="G1042" s="15">
        <v>-0.05</v>
      </c>
      <c r="H1042" s="16">
        <v>-2.8999999999999998E-3</v>
      </c>
      <c r="I1042" s="14">
        <v>57</v>
      </c>
      <c r="J1042" s="17">
        <v>3890</v>
      </c>
      <c r="K1042" s="18">
        <v>0.2777</v>
      </c>
      <c r="L1042" s="26" t="b">
        <f t="shared" si="75"/>
        <v>0</v>
      </c>
      <c r="M1042" s="26" t="str">
        <f t="shared" si="72"/>
        <v>call</v>
      </c>
      <c r="N1042" s="28">
        <f t="shared" si="73"/>
        <v>46191</v>
      </c>
      <c r="O1042" s="29">
        <f t="shared" si="74"/>
        <v>256</v>
      </c>
    </row>
    <row r="1043" spans="1:15" x14ac:dyDescent="0.45">
      <c r="A1043" s="11" t="s">
        <v>1240</v>
      </c>
      <c r="B1043" s="12">
        <v>45726.463194444441</v>
      </c>
      <c r="C1043" s="13">
        <v>280</v>
      </c>
      <c r="D1043" s="14">
        <v>14.84</v>
      </c>
      <c r="E1043" s="14">
        <v>14.95</v>
      </c>
      <c r="F1043" s="14">
        <v>15.15</v>
      </c>
      <c r="G1043" s="15">
        <v>-0.26</v>
      </c>
      <c r="H1043" s="16">
        <v>-1.72E-2</v>
      </c>
      <c r="I1043" s="14">
        <v>51</v>
      </c>
      <c r="J1043" s="17">
        <v>10951</v>
      </c>
      <c r="K1043" s="18">
        <v>0.27379999999999999</v>
      </c>
      <c r="L1043" s="26" t="b">
        <f t="shared" si="75"/>
        <v>0</v>
      </c>
      <c r="M1043" s="26" t="str">
        <f t="shared" si="72"/>
        <v>call</v>
      </c>
      <c r="N1043" s="28">
        <f t="shared" si="73"/>
        <v>46191</v>
      </c>
      <c r="O1043" s="29">
        <f t="shared" si="74"/>
        <v>256</v>
      </c>
    </row>
    <row r="1044" spans="1:15" x14ac:dyDescent="0.45">
      <c r="A1044" s="11" t="s">
        <v>1241</v>
      </c>
      <c r="B1044" s="12">
        <v>45726.584722222222</v>
      </c>
      <c r="C1044" s="13">
        <v>285</v>
      </c>
      <c r="D1044" s="14">
        <v>13.1</v>
      </c>
      <c r="E1044" s="14">
        <v>13.1</v>
      </c>
      <c r="F1044" s="14">
        <v>13.3</v>
      </c>
      <c r="G1044" s="15">
        <v>-0.34</v>
      </c>
      <c r="H1044" s="16">
        <v>-2.53E-2</v>
      </c>
      <c r="I1044" s="14">
        <v>69</v>
      </c>
      <c r="J1044" s="17">
        <v>2984</v>
      </c>
      <c r="K1044" s="18">
        <v>0.26979999999999998</v>
      </c>
      <c r="L1044" s="26" t="b">
        <f t="shared" si="75"/>
        <v>0</v>
      </c>
      <c r="M1044" s="26" t="str">
        <f t="shared" si="72"/>
        <v>call</v>
      </c>
      <c r="N1044" s="28">
        <f t="shared" si="73"/>
        <v>46191</v>
      </c>
      <c r="O1044" s="29">
        <f t="shared" si="74"/>
        <v>256</v>
      </c>
    </row>
    <row r="1045" spans="1:15" x14ac:dyDescent="0.45">
      <c r="A1045" s="11" t="s">
        <v>1242</v>
      </c>
      <c r="B1045" s="12">
        <v>45726.595833333333</v>
      </c>
      <c r="C1045" s="13">
        <v>290</v>
      </c>
      <c r="D1045" s="14">
        <v>11.47</v>
      </c>
      <c r="E1045" s="14">
        <v>11.45</v>
      </c>
      <c r="F1045" s="14">
        <v>11.65</v>
      </c>
      <c r="G1045" s="15">
        <v>-7.0000000000000007E-2</v>
      </c>
      <c r="H1045" s="16">
        <v>-6.1000000000000004E-3</v>
      </c>
      <c r="I1045" s="14">
        <v>162</v>
      </c>
      <c r="J1045" s="17">
        <v>3410</v>
      </c>
      <c r="K1045" s="18">
        <v>0.26650000000000001</v>
      </c>
      <c r="L1045" s="26" t="b">
        <f t="shared" si="75"/>
        <v>0</v>
      </c>
      <c r="M1045" s="26" t="str">
        <f t="shared" si="72"/>
        <v>call</v>
      </c>
      <c r="N1045" s="28">
        <f t="shared" si="73"/>
        <v>46191</v>
      </c>
      <c r="O1045" s="29">
        <f t="shared" si="74"/>
        <v>256</v>
      </c>
    </row>
    <row r="1046" spans="1:15" x14ac:dyDescent="0.45">
      <c r="A1046" s="11" t="s">
        <v>1243</v>
      </c>
      <c r="B1046" s="12">
        <v>45726.661805555559</v>
      </c>
      <c r="C1046" s="13">
        <v>300</v>
      </c>
      <c r="D1046" s="14">
        <v>8.69</v>
      </c>
      <c r="E1046" s="14">
        <v>8.6999999999999993</v>
      </c>
      <c r="F1046" s="14">
        <v>8.85</v>
      </c>
      <c r="G1046" s="15">
        <v>-0.06</v>
      </c>
      <c r="H1046" s="16">
        <v>-6.8999999999999999E-3</v>
      </c>
      <c r="I1046" s="14">
        <v>351</v>
      </c>
      <c r="J1046" s="17">
        <v>13637</v>
      </c>
      <c r="K1046" s="18">
        <v>0.26090000000000002</v>
      </c>
      <c r="L1046" s="26" t="b">
        <f t="shared" si="75"/>
        <v>0</v>
      </c>
      <c r="M1046" s="26" t="str">
        <f t="shared" si="72"/>
        <v>call</v>
      </c>
      <c r="N1046" s="28">
        <f t="shared" si="73"/>
        <v>46191</v>
      </c>
      <c r="O1046" s="29">
        <f t="shared" si="74"/>
        <v>256</v>
      </c>
    </row>
    <row r="1047" spans="1:15" x14ac:dyDescent="0.45">
      <c r="A1047" s="11" t="s">
        <v>1244</v>
      </c>
      <c r="B1047" s="12">
        <v>45726.662499999999</v>
      </c>
      <c r="C1047" s="13">
        <v>310</v>
      </c>
      <c r="D1047" s="14">
        <v>6.6</v>
      </c>
      <c r="E1047" s="14">
        <v>6.6</v>
      </c>
      <c r="F1047" s="14">
        <v>6.65</v>
      </c>
      <c r="G1047" s="15">
        <v>-0.01</v>
      </c>
      <c r="H1047" s="16">
        <v>-1.5E-3</v>
      </c>
      <c r="I1047" s="17">
        <v>1062</v>
      </c>
      <c r="J1047" s="17">
        <v>5227</v>
      </c>
      <c r="K1047" s="18">
        <v>0.25659999999999999</v>
      </c>
      <c r="L1047" s="26" t="b">
        <f t="shared" si="75"/>
        <v>0</v>
      </c>
      <c r="M1047" s="26" t="str">
        <f t="shared" si="72"/>
        <v>call</v>
      </c>
      <c r="N1047" s="28">
        <f t="shared" si="73"/>
        <v>46191</v>
      </c>
      <c r="O1047" s="29">
        <f t="shared" si="74"/>
        <v>256</v>
      </c>
    </row>
    <row r="1048" spans="1:15" x14ac:dyDescent="0.45">
      <c r="A1048" s="11" t="s">
        <v>1245</v>
      </c>
      <c r="B1048" s="12">
        <v>45726.6</v>
      </c>
      <c r="C1048" s="13">
        <v>320</v>
      </c>
      <c r="D1048" s="14">
        <v>4.97</v>
      </c>
      <c r="E1048" s="14">
        <v>4.8499999999999996</v>
      </c>
      <c r="F1048" s="14">
        <v>5</v>
      </c>
      <c r="G1048" s="19">
        <v>0.05</v>
      </c>
      <c r="H1048" s="20">
        <v>1.0200000000000001E-2</v>
      </c>
      <c r="I1048" s="14">
        <v>86</v>
      </c>
      <c r="J1048" s="17">
        <v>4120</v>
      </c>
      <c r="K1048" s="18">
        <v>0.25419999999999998</v>
      </c>
      <c r="L1048" s="26" t="b">
        <f t="shared" si="75"/>
        <v>0</v>
      </c>
      <c r="M1048" s="26" t="str">
        <f t="shared" si="72"/>
        <v>call</v>
      </c>
      <c r="N1048" s="28">
        <f t="shared" si="73"/>
        <v>46191</v>
      </c>
      <c r="O1048" s="29">
        <f t="shared" si="74"/>
        <v>256</v>
      </c>
    </row>
    <row r="1049" spans="1:15" x14ac:dyDescent="0.45">
      <c r="A1049" s="11" t="s">
        <v>1246</v>
      </c>
      <c r="B1049" s="12">
        <v>45726.429861111108</v>
      </c>
      <c r="C1049" s="13">
        <v>330</v>
      </c>
      <c r="D1049" s="14">
        <v>3.65</v>
      </c>
      <c r="E1049" s="14">
        <v>3.65</v>
      </c>
      <c r="F1049" s="14">
        <v>3.75</v>
      </c>
      <c r="G1049" s="15">
        <v>-0.15</v>
      </c>
      <c r="H1049" s="16">
        <v>-3.95E-2</v>
      </c>
      <c r="I1049" s="14">
        <v>3</v>
      </c>
      <c r="J1049" s="17">
        <v>2440</v>
      </c>
      <c r="K1049" s="18">
        <v>0.25269999999999998</v>
      </c>
      <c r="L1049" s="26" t="b">
        <f t="shared" si="75"/>
        <v>0</v>
      </c>
      <c r="M1049" s="26" t="str">
        <f t="shared" si="72"/>
        <v>call</v>
      </c>
      <c r="N1049" s="28">
        <f t="shared" si="73"/>
        <v>46191</v>
      </c>
      <c r="O1049" s="29">
        <f t="shared" si="74"/>
        <v>256</v>
      </c>
    </row>
    <row r="1050" spans="1:15" x14ac:dyDescent="0.45">
      <c r="A1050" s="11" t="s">
        <v>1247</v>
      </c>
      <c r="B1050" s="12">
        <v>45726.515277777777</v>
      </c>
      <c r="C1050" s="13">
        <v>340</v>
      </c>
      <c r="D1050" s="14">
        <v>2.86</v>
      </c>
      <c r="E1050" s="14">
        <v>2.74</v>
      </c>
      <c r="F1050" s="14">
        <v>2.8</v>
      </c>
      <c r="G1050" s="19">
        <v>0.06</v>
      </c>
      <c r="H1050" s="20">
        <v>2.1399999999999999E-2</v>
      </c>
      <c r="I1050" s="14">
        <v>74</v>
      </c>
      <c r="J1050" s="17">
        <v>9194</v>
      </c>
      <c r="K1050" s="18">
        <v>0.25169999999999998</v>
      </c>
      <c r="L1050" s="26" t="b">
        <f t="shared" si="75"/>
        <v>0</v>
      </c>
      <c r="M1050" s="26" t="str">
        <f t="shared" si="72"/>
        <v>call</v>
      </c>
      <c r="N1050" s="28">
        <f t="shared" si="73"/>
        <v>46191</v>
      </c>
      <c r="O1050" s="29">
        <f t="shared" si="74"/>
        <v>256</v>
      </c>
    </row>
    <row r="1051" spans="1:15" x14ac:dyDescent="0.45">
      <c r="A1051" s="11" t="s">
        <v>1248</v>
      </c>
      <c r="B1051" s="12">
        <v>45726.578472222223</v>
      </c>
      <c r="C1051" s="13">
        <v>350</v>
      </c>
      <c r="D1051" s="14">
        <v>2.04</v>
      </c>
      <c r="E1051" s="14">
        <v>2.0299999999999998</v>
      </c>
      <c r="F1051" s="14">
        <v>2.1</v>
      </c>
      <c r="G1051" s="15">
        <v>-7.0000000000000007E-2</v>
      </c>
      <c r="H1051" s="16">
        <v>-3.32E-2</v>
      </c>
      <c r="I1051" s="14">
        <v>45</v>
      </c>
      <c r="J1051" s="17">
        <v>1991</v>
      </c>
      <c r="K1051" s="18">
        <v>0.2515</v>
      </c>
      <c r="L1051" s="26" t="b">
        <f t="shared" si="75"/>
        <v>0</v>
      </c>
      <c r="M1051" s="26" t="str">
        <f t="shared" si="72"/>
        <v>call</v>
      </c>
      <c r="N1051" s="28">
        <f t="shared" si="73"/>
        <v>46191</v>
      </c>
      <c r="O1051" s="29">
        <f t="shared" si="74"/>
        <v>256</v>
      </c>
    </row>
    <row r="1052" spans="1:15" x14ac:dyDescent="0.45">
      <c r="A1052" s="11" t="s">
        <v>1249</v>
      </c>
      <c r="B1052" s="12">
        <v>45726.652083333334</v>
      </c>
      <c r="C1052" s="13">
        <v>360</v>
      </c>
      <c r="D1052" s="14">
        <v>1.55</v>
      </c>
      <c r="E1052" s="14">
        <v>1.52</v>
      </c>
      <c r="F1052" s="14">
        <v>1.58</v>
      </c>
      <c r="G1052" s="15">
        <v>-7.0000000000000007E-2</v>
      </c>
      <c r="H1052" s="16">
        <v>-4.3200000000000002E-2</v>
      </c>
      <c r="I1052" s="14">
        <v>18</v>
      </c>
      <c r="J1052" s="17">
        <v>1749</v>
      </c>
      <c r="K1052" s="18">
        <v>0.25190000000000001</v>
      </c>
      <c r="L1052" s="26" t="b">
        <f t="shared" si="75"/>
        <v>0</v>
      </c>
      <c r="M1052" s="26" t="str">
        <f t="shared" si="72"/>
        <v>call</v>
      </c>
      <c r="N1052" s="28">
        <f t="shared" si="73"/>
        <v>46191</v>
      </c>
      <c r="O1052" s="29">
        <f t="shared" si="74"/>
        <v>256</v>
      </c>
    </row>
    <row r="1053" spans="1:15" x14ac:dyDescent="0.45">
      <c r="A1053" s="11" t="s">
        <v>1250</v>
      </c>
      <c r="B1053" s="12">
        <v>45726.456944444442</v>
      </c>
      <c r="C1053" s="13">
        <v>370</v>
      </c>
      <c r="D1053" s="14">
        <v>1.2</v>
      </c>
      <c r="E1053" s="14">
        <v>1.1399999999999999</v>
      </c>
      <c r="F1053" s="14">
        <v>1.2</v>
      </c>
      <c r="G1053" s="19">
        <v>0.11</v>
      </c>
      <c r="H1053" s="20">
        <v>0.1009</v>
      </c>
      <c r="I1053" s="14">
        <v>2</v>
      </c>
      <c r="J1053" s="14">
        <v>361</v>
      </c>
      <c r="K1053" s="18">
        <v>0.25290000000000001</v>
      </c>
      <c r="L1053" s="26" t="b">
        <f t="shared" si="75"/>
        <v>0</v>
      </c>
      <c r="M1053" s="26" t="str">
        <f t="shared" si="72"/>
        <v>call</v>
      </c>
      <c r="N1053" s="28">
        <f t="shared" si="73"/>
        <v>46191</v>
      </c>
      <c r="O1053" s="29">
        <f t="shared" si="74"/>
        <v>256</v>
      </c>
    </row>
    <row r="1054" spans="1:15" x14ac:dyDescent="0.45">
      <c r="A1054" s="11" t="s">
        <v>1251</v>
      </c>
      <c r="B1054" s="12">
        <v>45726.559027777781</v>
      </c>
      <c r="C1054" s="13">
        <v>380</v>
      </c>
      <c r="D1054" s="14">
        <v>0.9</v>
      </c>
      <c r="E1054" s="14">
        <v>0.85</v>
      </c>
      <c r="F1054" s="14">
        <v>0.91</v>
      </c>
      <c r="G1054" s="19">
        <v>0.03</v>
      </c>
      <c r="H1054" s="20">
        <v>3.4500000000000003E-2</v>
      </c>
      <c r="I1054" s="14">
        <v>7</v>
      </c>
      <c r="J1054" s="14">
        <v>572</v>
      </c>
      <c r="K1054" s="18">
        <v>0.25390000000000001</v>
      </c>
      <c r="L1054" s="26" t="b">
        <f t="shared" si="75"/>
        <v>0</v>
      </c>
      <c r="M1054" s="26" t="str">
        <f t="shared" si="72"/>
        <v>call</v>
      </c>
      <c r="N1054" s="28">
        <f t="shared" si="73"/>
        <v>46191</v>
      </c>
      <c r="O1054" s="29">
        <f t="shared" si="74"/>
        <v>256</v>
      </c>
    </row>
    <row r="1055" spans="1:15" x14ac:dyDescent="0.45">
      <c r="A1055" s="11" t="s">
        <v>1252</v>
      </c>
      <c r="B1055" s="12">
        <v>45726.650694444441</v>
      </c>
      <c r="C1055" s="13">
        <v>390</v>
      </c>
      <c r="D1055" s="14">
        <v>0.67</v>
      </c>
      <c r="E1055" s="14">
        <v>0.65</v>
      </c>
      <c r="F1055" s="14">
        <v>0.7</v>
      </c>
      <c r="G1055" s="15">
        <v>-0.03</v>
      </c>
      <c r="H1055" s="16">
        <v>-4.2900000000000001E-2</v>
      </c>
      <c r="I1055" s="14">
        <v>58</v>
      </c>
      <c r="J1055" s="17">
        <v>4997</v>
      </c>
      <c r="K1055" s="18">
        <v>0.25559999999999999</v>
      </c>
      <c r="L1055" s="26" t="b">
        <f t="shared" si="75"/>
        <v>0</v>
      </c>
      <c r="M1055" s="26" t="str">
        <f t="shared" si="72"/>
        <v>call</v>
      </c>
      <c r="N1055" s="28">
        <f t="shared" si="73"/>
        <v>46191</v>
      </c>
      <c r="O1055" s="29">
        <f t="shared" si="74"/>
        <v>256</v>
      </c>
    </row>
    <row r="1056" spans="1:15" x14ac:dyDescent="0.45">
      <c r="A1056" s="11" t="s">
        <v>1253</v>
      </c>
      <c r="B1056" s="12">
        <v>45726.558333333334</v>
      </c>
      <c r="C1056" s="13">
        <v>5</v>
      </c>
      <c r="D1056" s="14">
        <v>0.01</v>
      </c>
      <c r="E1056" s="14">
        <v>0</v>
      </c>
      <c r="F1056" s="14">
        <v>0.23</v>
      </c>
      <c r="G1056" s="14">
        <v>0</v>
      </c>
      <c r="H1056" s="18">
        <v>0</v>
      </c>
      <c r="I1056" s="14">
        <v>1</v>
      </c>
      <c r="J1056" s="17">
        <v>4500</v>
      </c>
      <c r="K1056" s="18">
        <v>1.9453</v>
      </c>
      <c r="L1056" s="26" t="b">
        <f t="shared" si="75"/>
        <v>0</v>
      </c>
      <c r="M1056" s="26" t="str">
        <f t="shared" si="72"/>
        <v>put</v>
      </c>
      <c r="N1056" s="28">
        <f t="shared" si="73"/>
        <v>46191</v>
      </c>
      <c r="O1056" s="29">
        <f t="shared" si="74"/>
        <v>256</v>
      </c>
    </row>
    <row r="1057" spans="1:15" x14ac:dyDescent="0.45">
      <c r="A1057" s="11" t="s">
        <v>1254</v>
      </c>
      <c r="B1057" s="12">
        <v>45909.414583333331</v>
      </c>
      <c r="C1057" s="13">
        <v>10</v>
      </c>
      <c r="D1057" s="14">
        <v>0.01</v>
      </c>
      <c r="E1057" s="14">
        <v>0</v>
      </c>
      <c r="F1057" s="14">
        <v>0.3</v>
      </c>
      <c r="G1057" s="14">
        <v>0</v>
      </c>
      <c r="H1057" s="18">
        <v>0</v>
      </c>
      <c r="I1057" s="14">
        <v>1</v>
      </c>
      <c r="J1057" s="14">
        <v>34</v>
      </c>
      <c r="K1057" s="18">
        <v>1.6073999999999999</v>
      </c>
      <c r="L1057" s="26" t="b">
        <f t="shared" si="75"/>
        <v>0</v>
      </c>
      <c r="M1057" s="26" t="str">
        <f t="shared" si="72"/>
        <v>put</v>
      </c>
      <c r="N1057" s="28">
        <f t="shared" si="73"/>
        <v>46191</v>
      </c>
      <c r="O1057" s="29">
        <f t="shared" si="74"/>
        <v>256</v>
      </c>
    </row>
    <row r="1058" spans="1:15" x14ac:dyDescent="0.45">
      <c r="A1058" s="11" t="s">
        <v>1255</v>
      </c>
      <c r="B1058" s="12">
        <v>45878.561111111114</v>
      </c>
      <c r="C1058" s="13">
        <v>15</v>
      </c>
      <c r="D1058" s="14">
        <v>0.03</v>
      </c>
      <c r="E1058" s="14">
        <v>0</v>
      </c>
      <c r="F1058" s="14">
        <v>0.3</v>
      </c>
      <c r="G1058" s="14">
        <v>0</v>
      </c>
      <c r="H1058" s="18">
        <v>0</v>
      </c>
      <c r="I1058" s="14">
        <v>2</v>
      </c>
      <c r="J1058" s="14">
        <v>81</v>
      </c>
      <c r="K1058" s="18">
        <v>1.3867</v>
      </c>
      <c r="L1058" s="26" t="b">
        <f t="shared" si="75"/>
        <v>0</v>
      </c>
      <c r="M1058" s="26" t="str">
        <f t="shared" si="72"/>
        <v>put</v>
      </c>
      <c r="N1058" s="28">
        <f t="shared" si="73"/>
        <v>46191</v>
      </c>
      <c r="O1058" s="29">
        <f t="shared" si="74"/>
        <v>256</v>
      </c>
    </row>
    <row r="1059" spans="1:15" x14ac:dyDescent="0.45">
      <c r="A1059" s="11" t="s">
        <v>1256</v>
      </c>
      <c r="B1059" s="12">
        <v>45909.634722222225</v>
      </c>
      <c r="C1059" s="13">
        <v>20</v>
      </c>
      <c r="D1059" s="14">
        <v>0.01</v>
      </c>
      <c r="E1059" s="14">
        <v>0</v>
      </c>
      <c r="F1059" s="14">
        <v>0.3</v>
      </c>
      <c r="G1059" s="14">
        <v>0</v>
      </c>
      <c r="H1059" s="18">
        <v>0</v>
      </c>
      <c r="I1059" s="14">
        <v>10</v>
      </c>
      <c r="J1059" s="14">
        <v>56</v>
      </c>
      <c r="K1059" s="18">
        <v>1.2383</v>
      </c>
      <c r="L1059" s="26" t="b">
        <f t="shared" si="75"/>
        <v>0</v>
      </c>
      <c r="M1059" s="26" t="str">
        <f t="shared" si="72"/>
        <v>put</v>
      </c>
      <c r="N1059" s="28">
        <f t="shared" si="73"/>
        <v>46191</v>
      </c>
      <c r="O1059" s="29">
        <f t="shared" si="74"/>
        <v>256</v>
      </c>
    </row>
    <row r="1060" spans="1:15" x14ac:dyDescent="0.45">
      <c r="A1060" s="11" t="s">
        <v>1257</v>
      </c>
      <c r="B1060" s="12">
        <v>45726.447222222225</v>
      </c>
      <c r="C1060" s="13">
        <v>25</v>
      </c>
      <c r="D1060" s="14">
        <v>0.02</v>
      </c>
      <c r="E1060" s="14">
        <v>0</v>
      </c>
      <c r="F1060" s="14">
        <v>0.23</v>
      </c>
      <c r="G1060" s="14">
        <v>0.01</v>
      </c>
      <c r="H1060" s="18">
        <v>1</v>
      </c>
      <c r="I1060" s="14">
        <v>1</v>
      </c>
      <c r="J1060" s="17">
        <v>5758</v>
      </c>
      <c r="K1060" s="18">
        <v>1.0898000000000001</v>
      </c>
      <c r="L1060" s="26" t="b">
        <f t="shared" si="75"/>
        <v>0</v>
      </c>
      <c r="M1060" s="26" t="str">
        <f t="shared" si="72"/>
        <v>put</v>
      </c>
      <c r="N1060" s="28">
        <f t="shared" si="73"/>
        <v>46191</v>
      </c>
      <c r="O1060" s="29">
        <f t="shared" si="74"/>
        <v>256</v>
      </c>
    </row>
    <row r="1061" spans="1:15" x14ac:dyDescent="0.45">
      <c r="A1061" s="11" t="s">
        <v>1258</v>
      </c>
      <c r="B1061" s="12">
        <v>45726.558333333334</v>
      </c>
      <c r="C1061" s="13">
        <v>30</v>
      </c>
      <c r="D1061" s="14">
        <v>0.01</v>
      </c>
      <c r="E1061" s="14">
        <v>0</v>
      </c>
      <c r="F1061" s="14">
        <v>0.03</v>
      </c>
      <c r="G1061" s="15">
        <v>-0.02</v>
      </c>
      <c r="H1061" s="16">
        <v>-0.66669999999999996</v>
      </c>
      <c r="I1061" s="14">
        <v>1</v>
      </c>
      <c r="J1061" s="14">
        <v>452</v>
      </c>
      <c r="K1061" s="18">
        <v>0.82809999999999995</v>
      </c>
      <c r="L1061" s="26" t="b">
        <f t="shared" si="75"/>
        <v>0</v>
      </c>
      <c r="M1061" s="26" t="str">
        <f t="shared" si="72"/>
        <v>put</v>
      </c>
      <c r="N1061" s="28">
        <f t="shared" si="73"/>
        <v>46191</v>
      </c>
      <c r="O1061" s="29">
        <f t="shared" si="74"/>
        <v>256</v>
      </c>
    </row>
    <row r="1062" spans="1:15" x14ac:dyDescent="0.45">
      <c r="A1062" s="11" t="s">
        <v>1259</v>
      </c>
      <c r="B1062" s="12">
        <v>45878.421527777777</v>
      </c>
      <c r="C1062" s="13">
        <v>35</v>
      </c>
      <c r="D1062" s="14">
        <v>0.01</v>
      </c>
      <c r="E1062" s="14">
        <v>0</v>
      </c>
      <c r="F1062" s="14">
        <v>0.04</v>
      </c>
      <c r="G1062" s="14">
        <v>-0.03</v>
      </c>
      <c r="H1062" s="18">
        <v>-0.75</v>
      </c>
      <c r="I1062" s="14">
        <v>1</v>
      </c>
      <c r="J1062" s="17">
        <v>1634</v>
      </c>
      <c r="K1062" s="18">
        <v>0.78129999999999999</v>
      </c>
      <c r="L1062" s="26" t="b">
        <f t="shared" si="75"/>
        <v>0</v>
      </c>
      <c r="M1062" s="26" t="str">
        <f t="shared" si="72"/>
        <v>put</v>
      </c>
      <c r="N1062" s="28">
        <f t="shared" si="73"/>
        <v>46191</v>
      </c>
      <c r="O1062" s="29">
        <f t="shared" si="74"/>
        <v>256</v>
      </c>
    </row>
    <row r="1063" spans="1:15" x14ac:dyDescent="0.45">
      <c r="A1063" s="11" t="s">
        <v>1260</v>
      </c>
      <c r="B1063" s="12">
        <v>45698.589583333334</v>
      </c>
      <c r="C1063" s="13">
        <v>40</v>
      </c>
      <c r="D1063" s="14">
        <v>0.03</v>
      </c>
      <c r="E1063" s="14">
        <v>0</v>
      </c>
      <c r="F1063" s="14">
        <v>0.04</v>
      </c>
      <c r="G1063" s="14">
        <v>0.02</v>
      </c>
      <c r="H1063" s="18">
        <v>2</v>
      </c>
      <c r="I1063" s="14">
        <v>1</v>
      </c>
      <c r="J1063" s="14">
        <v>91</v>
      </c>
      <c r="K1063" s="18">
        <v>0.73440000000000005</v>
      </c>
      <c r="L1063" s="26" t="b">
        <f t="shared" si="75"/>
        <v>0</v>
      </c>
      <c r="M1063" s="26" t="str">
        <f t="shared" si="72"/>
        <v>put</v>
      </c>
      <c r="N1063" s="28">
        <f t="shared" si="73"/>
        <v>46191</v>
      </c>
      <c r="O1063" s="29">
        <f t="shared" si="74"/>
        <v>256</v>
      </c>
    </row>
    <row r="1064" spans="1:15" x14ac:dyDescent="0.45">
      <c r="A1064" s="11" t="s">
        <v>1261</v>
      </c>
      <c r="B1064" s="12">
        <v>45726.557638888888</v>
      </c>
      <c r="C1064" s="13">
        <v>45</v>
      </c>
      <c r="D1064" s="14">
        <v>0.01</v>
      </c>
      <c r="E1064" s="14">
        <v>0</v>
      </c>
      <c r="F1064" s="14">
        <v>0.05</v>
      </c>
      <c r="G1064" s="14">
        <v>-0.03</v>
      </c>
      <c r="H1064" s="18">
        <v>-0.75</v>
      </c>
      <c r="I1064" s="14">
        <v>1</v>
      </c>
      <c r="J1064" s="17">
        <v>2481</v>
      </c>
      <c r="K1064" s="18">
        <v>0.69920000000000004</v>
      </c>
      <c r="L1064" s="26" t="b">
        <f t="shared" si="75"/>
        <v>0</v>
      </c>
      <c r="M1064" s="26" t="str">
        <f t="shared" si="72"/>
        <v>put</v>
      </c>
      <c r="N1064" s="28">
        <f t="shared" si="73"/>
        <v>46191</v>
      </c>
      <c r="O1064" s="29">
        <f t="shared" si="74"/>
        <v>256</v>
      </c>
    </row>
    <row r="1065" spans="1:15" x14ac:dyDescent="0.45">
      <c r="A1065" s="11" t="s">
        <v>1262</v>
      </c>
      <c r="B1065" s="12">
        <v>45667.594444444447</v>
      </c>
      <c r="C1065" s="13">
        <v>50</v>
      </c>
      <c r="D1065" s="14">
        <v>0.05</v>
      </c>
      <c r="E1065" s="14">
        <v>0.01</v>
      </c>
      <c r="F1065" s="14">
        <v>0.05</v>
      </c>
      <c r="G1065" s="19">
        <v>0</v>
      </c>
      <c r="H1065" s="20">
        <v>0</v>
      </c>
      <c r="I1065" s="14">
        <v>1</v>
      </c>
      <c r="J1065" s="17">
        <v>2473</v>
      </c>
      <c r="K1065" s="18">
        <v>0.66800000000000004</v>
      </c>
      <c r="L1065" s="26" t="b">
        <f t="shared" si="75"/>
        <v>0</v>
      </c>
      <c r="M1065" s="26" t="str">
        <f t="shared" si="72"/>
        <v>put</v>
      </c>
      <c r="N1065" s="28">
        <f t="shared" si="73"/>
        <v>46191</v>
      </c>
      <c r="O1065" s="29">
        <f t="shared" si="74"/>
        <v>256</v>
      </c>
    </row>
    <row r="1066" spans="1:15" x14ac:dyDescent="0.45">
      <c r="A1066" s="11" t="s">
        <v>1263</v>
      </c>
      <c r="B1066" s="12">
        <v>45698.588888888888</v>
      </c>
      <c r="C1066" s="13">
        <v>55</v>
      </c>
      <c r="D1066" s="14">
        <v>0.04</v>
      </c>
      <c r="E1066" s="14">
        <v>0</v>
      </c>
      <c r="F1066" s="14">
        <v>0.06</v>
      </c>
      <c r="G1066" s="19">
        <v>0.03</v>
      </c>
      <c r="H1066" s="20">
        <v>3</v>
      </c>
      <c r="I1066" s="14">
        <v>1</v>
      </c>
      <c r="J1066" s="17">
        <v>1569</v>
      </c>
      <c r="K1066" s="18">
        <v>0.62890000000000001</v>
      </c>
      <c r="L1066" s="26" t="b">
        <f t="shared" si="75"/>
        <v>0</v>
      </c>
      <c r="M1066" s="26" t="str">
        <f t="shared" si="72"/>
        <v>put</v>
      </c>
      <c r="N1066" s="28">
        <f t="shared" si="73"/>
        <v>46191</v>
      </c>
      <c r="O1066" s="29">
        <f t="shared" si="74"/>
        <v>256</v>
      </c>
    </row>
    <row r="1067" spans="1:15" x14ac:dyDescent="0.45">
      <c r="A1067" s="11" t="s">
        <v>1264</v>
      </c>
      <c r="B1067" s="14" t="s">
        <v>1265</v>
      </c>
      <c r="C1067" s="13">
        <v>60</v>
      </c>
      <c r="D1067" s="14">
        <v>0.02</v>
      </c>
      <c r="E1067" s="14">
        <v>0.01</v>
      </c>
      <c r="F1067" s="14">
        <v>7.0000000000000007E-2</v>
      </c>
      <c r="G1067" s="14">
        <v>0</v>
      </c>
      <c r="H1067" s="18">
        <v>0</v>
      </c>
      <c r="I1067" s="14">
        <v>1</v>
      </c>
      <c r="J1067" s="14">
        <v>87</v>
      </c>
      <c r="K1067" s="18">
        <v>0.60940000000000005</v>
      </c>
      <c r="L1067" s="26" t="b">
        <f t="shared" si="75"/>
        <v>0</v>
      </c>
      <c r="M1067" s="26" t="str">
        <f t="shared" si="72"/>
        <v>put</v>
      </c>
      <c r="N1067" s="28">
        <f t="shared" si="73"/>
        <v>46191</v>
      </c>
      <c r="O1067" s="29">
        <f t="shared" si="74"/>
        <v>256</v>
      </c>
    </row>
    <row r="1068" spans="1:15" x14ac:dyDescent="0.45">
      <c r="A1068" s="11" t="s">
        <v>1266</v>
      </c>
      <c r="B1068" s="12">
        <v>45726.63958333333</v>
      </c>
      <c r="C1068" s="13">
        <v>65</v>
      </c>
      <c r="D1068" s="14">
        <v>0.03</v>
      </c>
      <c r="E1068" s="14">
        <v>0.03</v>
      </c>
      <c r="F1068" s="14">
        <v>0.08</v>
      </c>
      <c r="G1068" s="15">
        <v>-0.03</v>
      </c>
      <c r="H1068" s="16">
        <v>-0.5</v>
      </c>
      <c r="I1068" s="14">
        <v>2</v>
      </c>
      <c r="J1068" s="14">
        <v>73</v>
      </c>
      <c r="K1068" s="18">
        <v>0.59570000000000001</v>
      </c>
      <c r="L1068" s="26" t="b">
        <f t="shared" si="75"/>
        <v>0</v>
      </c>
      <c r="M1068" s="26" t="str">
        <f t="shared" si="72"/>
        <v>put</v>
      </c>
      <c r="N1068" s="28">
        <f t="shared" si="73"/>
        <v>46191</v>
      </c>
      <c r="O1068" s="29">
        <f t="shared" si="74"/>
        <v>256</v>
      </c>
    </row>
    <row r="1069" spans="1:15" x14ac:dyDescent="0.45">
      <c r="A1069" s="11" t="s">
        <v>1267</v>
      </c>
      <c r="B1069" s="12">
        <v>45877.395833333336</v>
      </c>
      <c r="C1069" s="13">
        <v>70</v>
      </c>
      <c r="D1069" s="14">
        <v>0.1</v>
      </c>
      <c r="E1069" s="14">
        <v>0.05</v>
      </c>
      <c r="F1069" s="14">
        <v>0.1</v>
      </c>
      <c r="G1069" s="15">
        <v>0</v>
      </c>
      <c r="H1069" s="16">
        <v>0</v>
      </c>
      <c r="I1069" s="14">
        <v>3</v>
      </c>
      <c r="J1069" s="14">
        <v>74</v>
      </c>
      <c r="K1069" s="18">
        <v>0.58199999999999996</v>
      </c>
      <c r="L1069" s="26" t="b">
        <f t="shared" si="75"/>
        <v>0</v>
      </c>
      <c r="M1069" s="26" t="str">
        <f t="shared" si="72"/>
        <v>put</v>
      </c>
      <c r="N1069" s="28">
        <f t="shared" si="73"/>
        <v>46191</v>
      </c>
      <c r="O1069" s="29">
        <f t="shared" si="74"/>
        <v>256</v>
      </c>
    </row>
    <row r="1070" spans="1:15" x14ac:dyDescent="0.45">
      <c r="A1070" s="11" t="s">
        <v>1268</v>
      </c>
      <c r="B1070" s="14" t="s">
        <v>1269</v>
      </c>
      <c r="C1070" s="13">
        <v>75</v>
      </c>
      <c r="D1070" s="14">
        <v>0.1</v>
      </c>
      <c r="E1070" s="14">
        <v>7.0000000000000007E-2</v>
      </c>
      <c r="F1070" s="14">
        <v>0.12</v>
      </c>
      <c r="G1070" s="15">
        <v>0</v>
      </c>
      <c r="H1070" s="16">
        <v>0</v>
      </c>
      <c r="I1070" s="14">
        <v>3</v>
      </c>
      <c r="J1070" s="14">
        <v>116</v>
      </c>
      <c r="K1070" s="18">
        <v>0.56640000000000001</v>
      </c>
      <c r="L1070" s="26" t="b">
        <f t="shared" si="75"/>
        <v>0</v>
      </c>
      <c r="M1070" s="26" t="str">
        <f t="shared" si="72"/>
        <v>put</v>
      </c>
      <c r="N1070" s="28">
        <f t="shared" si="73"/>
        <v>46191</v>
      </c>
      <c r="O1070" s="29">
        <f t="shared" si="74"/>
        <v>256</v>
      </c>
    </row>
    <row r="1071" spans="1:15" x14ac:dyDescent="0.45">
      <c r="A1071" s="11" t="s">
        <v>1270</v>
      </c>
      <c r="B1071" s="12">
        <v>45726.428472222222</v>
      </c>
      <c r="C1071" s="13">
        <v>80</v>
      </c>
      <c r="D1071" s="14">
        <v>0.12</v>
      </c>
      <c r="E1071" s="14">
        <v>0.1</v>
      </c>
      <c r="F1071" s="14">
        <v>0.13</v>
      </c>
      <c r="G1071" s="14">
        <v>0.02</v>
      </c>
      <c r="H1071" s="18">
        <v>0.2</v>
      </c>
      <c r="I1071" s="14">
        <v>3</v>
      </c>
      <c r="J1071" s="14">
        <v>618</v>
      </c>
      <c r="K1071" s="18">
        <v>0.54979999999999996</v>
      </c>
      <c r="L1071" s="26" t="b">
        <f t="shared" si="75"/>
        <v>0</v>
      </c>
      <c r="M1071" s="26" t="str">
        <f t="shared" si="72"/>
        <v>put</v>
      </c>
      <c r="N1071" s="28">
        <f t="shared" si="73"/>
        <v>46191</v>
      </c>
      <c r="O1071" s="29">
        <f t="shared" si="74"/>
        <v>256</v>
      </c>
    </row>
    <row r="1072" spans="1:15" x14ac:dyDescent="0.45">
      <c r="A1072" s="11" t="s">
        <v>1271</v>
      </c>
      <c r="B1072" s="14" t="s">
        <v>1272</v>
      </c>
      <c r="C1072" s="13">
        <v>85</v>
      </c>
      <c r="D1072" s="14">
        <v>0.14000000000000001</v>
      </c>
      <c r="E1072" s="14">
        <v>0.1</v>
      </c>
      <c r="F1072" s="14">
        <v>0.15</v>
      </c>
      <c r="G1072" s="15">
        <v>0</v>
      </c>
      <c r="H1072" s="16">
        <v>0</v>
      </c>
      <c r="I1072" s="14">
        <v>5</v>
      </c>
      <c r="J1072" s="14">
        <v>930</v>
      </c>
      <c r="K1072" s="18">
        <v>0.52729999999999999</v>
      </c>
      <c r="L1072" s="26" t="b">
        <f t="shared" si="75"/>
        <v>0</v>
      </c>
      <c r="M1072" s="26" t="str">
        <f t="shared" si="72"/>
        <v>put</v>
      </c>
      <c r="N1072" s="28">
        <f t="shared" si="73"/>
        <v>46191</v>
      </c>
      <c r="O1072" s="29">
        <f t="shared" si="74"/>
        <v>256</v>
      </c>
    </row>
    <row r="1073" spans="1:15" x14ac:dyDescent="0.45">
      <c r="A1073" s="11" t="s">
        <v>1273</v>
      </c>
      <c r="B1073" s="14" t="s">
        <v>1274</v>
      </c>
      <c r="C1073" s="13">
        <v>90</v>
      </c>
      <c r="D1073" s="14">
        <v>0.21</v>
      </c>
      <c r="E1073" s="14">
        <v>0.14000000000000001</v>
      </c>
      <c r="F1073" s="14">
        <v>0.19</v>
      </c>
      <c r="G1073" s="19">
        <v>0</v>
      </c>
      <c r="H1073" s="20">
        <v>0</v>
      </c>
      <c r="I1073" s="14">
        <v>1</v>
      </c>
      <c r="J1073" s="14">
        <v>665</v>
      </c>
      <c r="K1073" s="18">
        <v>0.5181</v>
      </c>
      <c r="L1073" s="26" t="b">
        <f t="shared" si="75"/>
        <v>0</v>
      </c>
      <c r="M1073" s="26" t="str">
        <f t="shared" si="72"/>
        <v>put</v>
      </c>
      <c r="N1073" s="28">
        <f t="shared" si="73"/>
        <v>46191</v>
      </c>
      <c r="O1073" s="29">
        <f t="shared" si="74"/>
        <v>256</v>
      </c>
    </row>
    <row r="1074" spans="1:15" x14ac:dyDescent="0.45">
      <c r="A1074" s="11" t="s">
        <v>1275</v>
      </c>
      <c r="B1074" s="14" t="s">
        <v>1276</v>
      </c>
      <c r="C1074" s="13">
        <v>95</v>
      </c>
      <c r="D1074" s="14">
        <v>0.19</v>
      </c>
      <c r="E1074" s="14">
        <v>0.16</v>
      </c>
      <c r="F1074" s="14">
        <v>0.21</v>
      </c>
      <c r="G1074" s="15">
        <v>0</v>
      </c>
      <c r="H1074" s="16">
        <v>0</v>
      </c>
      <c r="I1074" s="14">
        <v>8</v>
      </c>
      <c r="J1074" s="14">
        <v>714</v>
      </c>
      <c r="K1074" s="18">
        <v>0.5</v>
      </c>
      <c r="L1074" s="26" t="b">
        <f t="shared" si="75"/>
        <v>0</v>
      </c>
      <c r="M1074" s="26" t="str">
        <f t="shared" si="72"/>
        <v>put</v>
      </c>
      <c r="N1074" s="28">
        <f t="shared" si="73"/>
        <v>46191</v>
      </c>
      <c r="O1074" s="29">
        <f t="shared" si="74"/>
        <v>256</v>
      </c>
    </row>
    <row r="1075" spans="1:15" x14ac:dyDescent="0.45">
      <c r="A1075" s="11" t="s">
        <v>1277</v>
      </c>
      <c r="B1075" s="12">
        <v>45726.545138888891</v>
      </c>
      <c r="C1075" s="13">
        <v>100</v>
      </c>
      <c r="D1075" s="14">
        <v>0.24</v>
      </c>
      <c r="E1075" s="14">
        <v>0.19</v>
      </c>
      <c r="F1075" s="14">
        <v>0.24</v>
      </c>
      <c r="G1075" s="15">
        <v>0</v>
      </c>
      <c r="H1075" s="16">
        <v>0</v>
      </c>
      <c r="I1075" s="14">
        <v>212</v>
      </c>
      <c r="J1075" s="17">
        <v>1834</v>
      </c>
      <c r="K1075" s="18">
        <v>0.49170000000000003</v>
      </c>
      <c r="L1075" s="26" t="b">
        <f t="shared" si="75"/>
        <v>0</v>
      </c>
      <c r="M1075" s="26" t="str">
        <f t="shared" si="72"/>
        <v>put</v>
      </c>
      <c r="N1075" s="28">
        <f t="shared" si="73"/>
        <v>46191</v>
      </c>
      <c r="O1075" s="29">
        <f t="shared" si="74"/>
        <v>256</v>
      </c>
    </row>
    <row r="1076" spans="1:15" x14ac:dyDescent="0.45">
      <c r="A1076" s="11" t="s">
        <v>1278</v>
      </c>
      <c r="B1076" s="12">
        <v>45726.658333333333</v>
      </c>
      <c r="C1076" s="13">
        <v>105</v>
      </c>
      <c r="D1076" s="14">
        <v>0.26</v>
      </c>
      <c r="E1076" s="14">
        <v>0.22</v>
      </c>
      <c r="F1076" s="14">
        <v>0.28000000000000003</v>
      </c>
      <c r="G1076" s="15">
        <v>-0.02</v>
      </c>
      <c r="H1076" s="16">
        <v>-7.1400000000000005E-2</v>
      </c>
      <c r="I1076" s="14">
        <v>2</v>
      </c>
      <c r="J1076" s="17">
        <v>1511</v>
      </c>
      <c r="K1076" s="18">
        <v>0.47749999999999998</v>
      </c>
      <c r="L1076" s="26" t="b">
        <f t="shared" si="75"/>
        <v>0</v>
      </c>
      <c r="M1076" s="26" t="str">
        <f t="shared" si="72"/>
        <v>put</v>
      </c>
      <c r="N1076" s="28">
        <f t="shared" si="73"/>
        <v>46191</v>
      </c>
      <c r="O1076" s="29">
        <f t="shared" si="74"/>
        <v>256</v>
      </c>
    </row>
    <row r="1077" spans="1:15" x14ac:dyDescent="0.45">
      <c r="A1077" s="11" t="s">
        <v>1279</v>
      </c>
      <c r="B1077" s="14" t="s">
        <v>1280</v>
      </c>
      <c r="C1077" s="13">
        <v>110</v>
      </c>
      <c r="D1077" s="14">
        <v>0.32</v>
      </c>
      <c r="E1077" s="14">
        <v>0.27</v>
      </c>
      <c r="F1077" s="14">
        <v>0.32</v>
      </c>
      <c r="G1077" s="15">
        <v>0</v>
      </c>
      <c r="H1077" s="16">
        <v>0</v>
      </c>
      <c r="I1077" s="14">
        <v>5</v>
      </c>
      <c r="J1077" s="17">
        <v>1971</v>
      </c>
      <c r="K1077" s="18">
        <v>0.46289999999999998</v>
      </c>
      <c r="L1077" s="26" t="b">
        <f t="shared" si="75"/>
        <v>0</v>
      </c>
      <c r="M1077" s="26" t="str">
        <f t="shared" si="72"/>
        <v>put</v>
      </c>
      <c r="N1077" s="28">
        <f t="shared" si="73"/>
        <v>46191</v>
      </c>
      <c r="O1077" s="29">
        <f t="shared" si="74"/>
        <v>256</v>
      </c>
    </row>
    <row r="1078" spans="1:15" x14ac:dyDescent="0.45">
      <c r="A1078" s="11" t="s">
        <v>1281</v>
      </c>
      <c r="B1078" s="14" t="s">
        <v>1282</v>
      </c>
      <c r="C1078" s="13">
        <v>115</v>
      </c>
      <c r="D1078" s="14">
        <v>0.45</v>
      </c>
      <c r="E1078" s="14">
        <v>0.32</v>
      </c>
      <c r="F1078" s="14">
        <v>0.37</v>
      </c>
      <c r="G1078" s="15">
        <v>0</v>
      </c>
      <c r="H1078" s="16">
        <v>0</v>
      </c>
      <c r="I1078" s="14">
        <v>250</v>
      </c>
      <c r="J1078" s="17">
        <v>1440</v>
      </c>
      <c r="K1078" s="18">
        <v>0.44969999999999999</v>
      </c>
      <c r="L1078" s="26" t="b">
        <f t="shared" si="75"/>
        <v>0</v>
      </c>
      <c r="M1078" s="26" t="str">
        <f t="shared" si="72"/>
        <v>put</v>
      </c>
      <c r="N1078" s="28">
        <f t="shared" si="73"/>
        <v>46191</v>
      </c>
      <c r="O1078" s="29">
        <f t="shared" si="74"/>
        <v>256</v>
      </c>
    </row>
    <row r="1079" spans="1:15" x14ac:dyDescent="0.45">
      <c r="A1079" s="11" t="s">
        <v>1283</v>
      </c>
      <c r="B1079" s="12">
        <v>45667.442361111112</v>
      </c>
      <c r="C1079" s="13">
        <v>120</v>
      </c>
      <c r="D1079" s="14">
        <v>0.42</v>
      </c>
      <c r="E1079" s="14">
        <v>0.41</v>
      </c>
      <c r="F1079" s="14">
        <v>0.43</v>
      </c>
      <c r="G1079" s="15">
        <v>0</v>
      </c>
      <c r="H1079" s="16">
        <v>0</v>
      </c>
      <c r="I1079" s="14">
        <v>1</v>
      </c>
      <c r="J1079" s="17">
        <v>2398</v>
      </c>
      <c r="K1079" s="18">
        <v>0.4375</v>
      </c>
      <c r="L1079" s="26" t="b">
        <f t="shared" si="75"/>
        <v>0</v>
      </c>
      <c r="M1079" s="26" t="str">
        <f t="shared" si="72"/>
        <v>put</v>
      </c>
      <c r="N1079" s="28">
        <f t="shared" si="73"/>
        <v>46191</v>
      </c>
      <c r="O1079" s="29">
        <f t="shared" si="74"/>
        <v>256</v>
      </c>
    </row>
    <row r="1080" spans="1:15" x14ac:dyDescent="0.45">
      <c r="A1080" s="11" t="s">
        <v>1284</v>
      </c>
      <c r="B1080" s="12">
        <v>45726.488194444442</v>
      </c>
      <c r="C1080" s="13">
        <v>125</v>
      </c>
      <c r="D1080" s="14">
        <v>0.49</v>
      </c>
      <c r="E1080" s="14">
        <v>0.45</v>
      </c>
      <c r="F1080" s="14">
        <v>0.5</v>
      </c>
      <c r="G1080" s="15">
        <v>-0.04</v>
      </c>
      <c r="H1080" s="16">
        <v>-7.5499999999999998E-2</v>
      </c>
      <c r="I1080" s="14">
        <v>4</v>
      </c>
      <c r="J1080" s="17">
        <v>1627</v>
      </c>
      <c r="K1080" s="18">
        <v>0.42599999999999999</v>
      </c>
      <c r="L1080" s="26" t="b">
        <f t="shared" si="75"/>
        <v>0</v>
      </c>
      <c r="M1080" s="26" t="str">
        <f t="shared" si="72"/>
        <v>put</v>
      </c>
      <c r="N1080" s="28">
        <f t="shared" si="73"/>
        <v>46191</v>
      </c>
      <c r="O1080" s="29">
        <f t="shared" si="74"/>
        <v>256</v>
      </c>
    </row>
    <row r="1081" spans="1:15" x14ac:dyDescent="0.45">
      <c r="A1081" s="11" t="s">
        <v>1285</v>
      </c>
      <c r="B1081" s="12">
        <v>45726.395833333336</v>
      </c>
      <c r="C1081" s="13">
        <v>130</v>
      </c>
      <c r="D1081" s="14">
        <v>0.62</v>
      </c>
      <c r="E1081" s="14">
        <v>0.53</v>
      </c>
      <c r="F1081" s="14">
        <v>0.57999999999999996</v>
      </c>
      <c r="G1081" s="15">
        <v>0.03</v>
      </c>
      <c r="H1081" s="16">
        <v>5.0799999999999998E-2</v>
      </c>
      <c r="I1081" s="14">
        <v>1</v>
      </c>
      <c r="J1081" s="17">
        <v>1400</v>
      </c>
      <c r="K1081" s="18">
        <v>0.4148</v>
      </c>
      <c r="L1081" s="26" t="b">
        <f t="shared" si="75"/>
        <v>0</v>
      </c>
      <c r="M1081" s="26" t="str">
        <f t="shared" si="72"/>
        <v>put</v>
      </c>
      <c r="N1081" s="28">
        <f t="shared" si="73"/>
        <v>46191</v>
      </c>
      <c r="O1081" s="29">
        <f t="shared" si="74"/>
        <v>256</v>
      </c>
    </row>
    <row r="1082" spans="1:15" x14ac:dyDescent="0.45">
      <c r="A1082" s="11" t="s">
        <v>1286</v>
      </c>
      <c r="B1082" s="12">
        <v>45698.481249999997</v>
      </c>
      <c r="C1082" s="13">
        <v>135</v>
      </c>
      <c r="D1082" s="14">
        <v>0.64</v>
      </c>
      <c r="E1082" s="14">
        <v>0.62</v>
      </c>
      <c r="F1082" s="14">
        <v>0.67</v>
      </c>
      <c r="G1082" s="15">
        <v>0</v>
      </c>
      <c r="H1082" s="16">
        <v>0</v>
      </c>
      <c r="I1082" s="14">
        <v>2</v>
      </c>
      <c r="J1082" s="17">
        <v>1434</v>
      </c>
      <c r="K1082" s="18">
        <v>0.40379999999999999</v>
      </c>
      <c r="L1082" s="26" t="b">
        <f t="shared" si="75"/>
        <v>0</v>
      </c>
      <c r="M1082" s="26" t="str">
        <f t="shared" si="72"/>
        <v>put</v>
      </c>
      <c r="N1082" s="28">
        <f t="shared" si="73"/>
        <v>46191</v>
      </c>
      <c r="O1082" s="29">
        <f t="shared" si="74"/>
        <v>256</v>
      </c>
    </row>
    <row r="1083" spans="1:15" x14ac:dyDescent="0.45">
      <c r="A1083" s="11" t="s">
        <v>1287</v>
      </c>
      <c r="B1083" s="12">
        <v>45698.482638888891</v>
      </c>
      <c r="C1083" s="13">
        <v>140</v>
      </c>
      <c r="D1083" s="14">
        <v>0.75</v>
      </c>
      <c r="E1083" s="14">
        <v>0.73</v>
      </c>
      <c r="F1083" s="14">
        <v>0.78</v>
      </c>
      <c r="G1083" s="15">
        <v>0</v>
      </c>
      <c r="H1083" s="16">
        <v>0</v>
      </c>
      <c r="I1083" s="14">
        <v>1</v>
      </c>
      <c r="J1083" s="17">
        <v>3420</v>
      </c>
      <c r="K1083" s="18">
        <v>0.39379999999999998</v>
      </c>
      <c r="L1083" s="26" t="b">
        <f t="shared" si="75"/>
        <v>0</v>
      </c>
      <c r="M1083" s="26" t="str">
        <f t="shared" si="72"/>
        <v>put</v>
      </c>
      <c r="N1083" s="28">
        <f t="shared" si="73"/>
        <v>46191</v>
      </c>
      <c r="O1083" s="29">
        <f t="shared" si="74"/>
        <v>256</v>
      </c>
    </row>
    <row r="1084" spans="1:15" x14ac:dyDescent="0.45">
      <c r="A1084" s="11" t="s">
        <v>1288</v>
      </c>
      <c r="B1084" s="12">
        <v>45667.65902777778</v>
      </c>
      <c r="C1084" s="13">
        <v>145</v>
      </c>
      <c r="D1084" s="14">
        <v>0.9</v>
      </c>
      <c r="E1084" s="14">
        <v>0.86</v>
      </c>
      <c r="F1084" s="14">
        <v>0.9</v>
      </c>
      <c r="G1084" s="15">
        <v>0</v>
      </c>
      <c r="H1084" s="16">
        <v>0</v>
      </c>
      <c r="I1084" s="14">
        <v>5</v>
      </c>
      <c r="J1084" s="17">
        <v>1747</v>
      </c>
      <c r="K1084" s="18">
        <v>0.3836</v>
      </c>
      <c r="L1084" s="26" t="b">
        <f t="shared" si="75"/>
        <v>0</v>
      </c>
      <c r="M1084" s="26" t="str">
        <f t="shared" si="72"/>
        <v>put</v>
      </c>
      <c r="N1084" s="28">
        <f t="shared" si="73"/>
        <v>46191</v>
      </c>
      <c r="O1084" s="29">
        <f t="shared" si="74"/>
        <v>256</v>
      </c>
    </row>
    <row r="1085" spans="1:15" x14ac:dyDescent="0.45">
      <c r="A1085" s="11" t="s">
        <v>1289</v>
      </c>
      <c r="B1085" s="12">
        <v>45726.665277777778</v>
      </c>
      <c r="C1085" s="13">
        <v>150</v>
      </c>
      <c r="D1085" s="14">
        <v>1.02</v>
      </c>
      <c r="E1085" s="14">
        <v>1</v>
      </c>
      <c r="F1085" s="14">
        <v>1.05</v>
      </c>
      <c r="G1085" s="15">
        <v>-0.03</v>
      </c>
      <c r="H1085" s="16">
        <v>-2.86E-2</v>
      </c>
      <c r="I1085" s="14">
        <v>34</v>
      </c>
      <c r="J1085" s="17">
        <v>11676</v>
      </c>
      <c r="K1085" s="18">
        <v>0.3745</v>
      </c>
      <c r="L1085" s="26" t="b">
        <f t="shared" si="75"/>
        <v>0</v>
      </c>
      <c r="M1085" s="26" t="str">
        <f t="shared" ref="M1085:M1148" si="76">IF(MID(A1085,11,1)="C","call","put")</f>
        <v>put</v>
      </c>
      <c r="N1085" s="28">
        <f t="shared" ref="N1085:N1148" si="77">DATE(MID(A1085,5,2)+2000,MID(A1085,7,2),MID(A1085,9,2))</f>
        <v>46191</v>
      </c>
      <c r="O1085" s="29">
        <f t="shared" si="74"/>
        <v>256</v>
      </c>
    </row>
    <row r="1086" spans="1:15" x14ac:dyDescent="0.45">
      <c r="A1086" s="11" t="s">
        <v>1290</v>
      </c>
      <c r="B1086" s="12">
        <v>45726.584027777775</v>
      </c>
      <c r="C1086" s="13">
        <v>155</v>
      </c>
      <c r="D1086" s="14">
        <v>1.18</v>
      </c>
      <c r="E1086" s="14">
        <v>1.1499999999999999</v>
      </c>
      <c r="F1086" s="14">
        <v>1.21</v>
      </c>
      <c r="G1086" s="15">
        <v>-0.01</v>
      </c>
      <c r="H1086" s="16">
        <v>-8.3999999999999995E-3</v>
      </c>
      <c r="I1086" s="14">
        <v>52</v>
      </c>
      <c r="J1086" s="17">
        <v>3713</v>
      </c>
      <c r="K1086" s="18">
        <v>0.3649</v>
      </c>
      <c r="L1086" s="26" t="b">
        <f t="shared" si="75"/>
        <v>0</v>
      </c>
      <c r="M1086" s="26" t="str">
        <f t="shared" si="76"/>
        <v>put</v>
      </c>
      <c r="N1086" s="28">
        <f t="shared" si="77"/>
        <v>46191</v>
      </c>
      <c r="O1086" s="29">
        <f t="shared" ref="O1086:O1149" si="78">N1086-DATE(2025,10,5)</f>
        <v>256</v>
      </c>
    </row>
    <row r="1087" spans="1:15" x14ac:dyDescent="0.45">
      <c r="A1087" s="11" t="s">
        <v>1291</v>
      </c>
      <c r="B1087" s="12">
        <v>45726.636111111111</v>
      </c>
      <c r="C1087" s="13">
        <v>160</v>
      </c>
      <c r="D1087" s="14">
        <v>1.37</v>
      </c>
      <c r="E1087" s="14">
        <v>1.34</v>
      </c>
      <c r="F1087" s="14">
        <v>1.41</v>
      </c>
      <c r="G1087" s="15">
        <v>0.01</v>
      </c>
      <c r="H1087" s="16">
        <v>7.4000000000000003E-3</v>
      </c>
      <c r="I1087" s="14">
        <v>183</v>
      </c>
      <c r="J1087" s="17">
        <v>10806</v>
      </c>
      <c r="K1087" s="18">
        <v>0.35659999999999997</v>
      </c>
      <c r="L1087" s="26" t="b">
        <f t="shared" si="75"/>
        <v>0</v>
      </c>
      <c r="M1087" s="26" t="str">
        <f t="shared" si="76"/>
        <v>put</v>
      </c>
      <c r="N1087" s="28">
        <f t="shared" si="77"/>
        <v>46191</v>
      </c>
      <c r="O1087" s="29">
        <f t="shared" si="78"/>
        <v>256</v>
      </c>
    </row>
    <row r="1088" spans="1:15" x14ac:dyDescent="0.45">
      <c r="A1088" s="11" t="s">
        <v>1292</v>
      </c>
      <c r="B1088" s="12">
        <v>45726.584027777775</v>
      </c>
      <c r="C1088" s="13">
        <v>165</v>
      </c>
      <c r="D1088" s="14">
        <v>1.58</v>
      </c>
      <c r="E1088" s="14">
        <v>1.56</v>
      </c>
      <c r="F1088" s="14">
        <v>1.63</v>
      </c>
      <c r="G1088" s="15">
        <v>0.03</v>
      </c>
      <c r="H1088" s="16">
        <v>1.9400000000000001E-2</v>
      </c>
      <c r="I1088" s="14">
        <v>84</v>
      </c>
      <c r="J1088" s="17">
        <v>6339</v>
      </c>
      <c r="K1088" s="18">
        <v>0.34799999999999998</v>
      </c>
      <c r="L1088" s="26" t="b">
        <f t="shared" ref="L1088:L1151" si="79">IF(M1088="call",C1088&lt;$P$1,C1088&gt;$P$1)</f>
        <v>0</v>
      </c>
      <c r="M1088" s="26" t="str">
        <f t="shared" si="76"/>
        <v>put</v>
      </c>
      <c r="N1088" s="28">
        <f t="shared" si="77"/>
        <v>46191</v>
      </c>
      <c r="O1088" s="29">
        <f t="shared" si="78"/>
        <v>256</v>
      </c>
    </row>
    <row r="1089" spans="1:15" x14ac:dyDescent="0.45">
      <c r="A1089" s="11" t="s">
        <v>1293</v>
      </c>
      <c r="B1089" s="12">
        <v>45726.598611111112</v>
      </c>
      <c r="C1089" s="13">
        <v>170</v>
      </c>
      <c r="D1089" s="14">
        <v>1.84</v>
      </c>
      <c r="E1089" s="14">
        <v>1.83</v>
      </c>
      <c r="F1089" s="14">
        <v>1.88</v>
      </c>
      <c r="G1089" s="15">
        <v>0</v>
      </c>
      <c r="H1089" s="16">
        <v>0</v>
      </c>
      <c r="I1089" s="14">
        <v>60</v>
      </c>
      <c r="J1089" s="17">
        <v>7291</v>
      </c>
      <c r="K1089" s="18">
        <v>0.33950000000000002</v>
      </c>
      <c r="L1089" s="26" t="b">
        <f t="shared" si="79"/>
        <v>0</v>
      </c>
      <c r="M1089" s="26" t="str">
        <f t="shared" si="76"/>
        <v>put</v>
      </c>
      <c r="N1089" s="28">
        <f t="shared" si="77"/>
        <v>46191</v>
      </c>
      <c r="O1089" s="29">
        <f t="shared" si="78"/>
        <v>256</v>
      </c>
    </row>
    <row r="1090" spans="1:15" x14ac:dyDescent="0.45">
      <c r="A1090" s="11" t="s">
        <v>1294</v>
      </c>
      <c r="B1090" s="12">
        <v>45726.618055555555</v>
      </c>
      <c r="C1090" s="13">
        <v>175</v>
      </c>
      <c r="D1090" s="14">
        <v>2.1</v>
      </c>
      <c r="E1090" s="14">
        <v>2.11</v>
      </c>
      <c r="F1090" s="14">
        <v>2.17</v>
      </c>
      <c r="G1090" s="15">
        <v>-7.0000000000000007E-2</v>
      </c>
      <c r="H1090" s="16">
        <v>-3.2300000000000002E-2</v>
      </c>
      <c r="I1090" s="14">
        <v>5</v>
      </c>
      <c r="J1090" s="17">
        <v>5553</v>
      </c>
      <c r="K1090" s="18">
        <v>0.33139999999999997</v>
      </c>
      <c r="L1090" s="26" t="b">
        <f t="shared" si="79"/>
        <v>0</v>
      </c>
      <c r="M1090" s="26" t="str">
        <f t="shared" si="76"/>
        <v>put</v>
      </c>
      <c r="N1090" s="28">
        <f t="shared" si="77"/>
        <v>46191</v>
      </c>
      <c r="O1090" s="29">
        <f t="shared" si="78"/>
        <v>256</v>
      </c>
    </row>
    <row r="1091" spans="1:15" x14ac:dyDescent="0.45">
      <c r="A1091" s="11" t="s">
        <v>1295</v>
      </c>
      <c r="B1091" s="12">
        <v>45726.523611111108</v>
      </c>
      <c r="C1091" s="13">
        <v>180</v>
      </c>
      <c r="D1091" s="14">
        <v>2.38</v>
      </c>
      <c r="E1091" s="14">
        <v>2.44</v>
      </c>
      <c r="F1091" s="14">
        <v>2.5</v>
      </c>
      <c r="G1091" s="15">
        <v>-0.09</v>
      </c>
      <c r="H1091" s="16">
        <v>-3.6400000000000002E-2</v>
      </c>
      <c r="I1091" s="14">
        <v>17</v>
      </c>
      <c r="J1091" s="17">
        <v>5225</v>
      </c>
      <c r="K1091" s="18">
        <v>0.32350000000000001</v>
      </c>
      <c r="L1091" s="26" t="b">
        <f t="shared" si="79"/>
        <v>0</v>
      </c>
      <c r="M1091" s="26" t="str">
        <f t="shared" si="76"/>
        <v>put</v>
      </c>
      <c r="N1091" s="28">
        <f t="shared" si="77"/>
        <v>46191</v>
      </c>
      <c r="O1091" s="29">
        <f t="shared" si="78"/>
        <v>256</v>
      </c>
    </row>
    <row r="1092" spans="1:15" x14ac:dyDescent="0.45">
      <c r="A1092" s="11" t="s">
        <v>1296</v>
      </c>
      <c r="B1092" s="12">
        <v>45726.654166666667</v>
      </c>
      <c r="C1092" s="13">
        <v>185</v>
      </c>
      <c r="D1092" s="14">
        <v>2.86</v>
      </c>
      <c r="E1092" s="14">
        <v>2.8</v>
      </c>
      <c r="F1092" s="14">
        <v>2.87</v>
      </c>
      <c r="G1092" s="15">
        <v>0.02</v>
      </c>
      <c r="H1092" s="16">
        <v>7.0000000000000001E-3</v>
      </c>
      <c r="I1092" s="14">
        <v>37</v>
      </c>
      <c r="J1092" s="17">
        <v>7420</v>
      </c>
      <c r="K1092" s="18">
        <v>0.31559999999999999</v>
      </c>
      <c r="L1092" s="26" t="b">
        <f t="shared" si="79"/>
        <v>0</v>
      </c>
      <c r="M1092" s="26" t="str">
        <f t="shared" si="76"/>
        <v>put</v>
      </c>
      <c r="N1092" s="28">
        <f t="shared" si="77"/>
        <v>46191</v>
      </c>
      <c r="O1092" s="29">
        <f t="shared" si="78"/>
        <v>256</v>
      </c>
    </row>
    <row r="1093" spans="1:15" x14ac:dyDescent="0.45">
      <c r="A1093" s="11" t="s">
        <v>1297</v>
      </c>
      <c r="B1093" s="12">
        <v>45726.654166666667</v>
      </c>
      <c r="C1093" s="13">
        <v>190</v>
      </c>
      <c r="D1093" s="14">
        <v>3.3</v>
      </c>
      <c r="E1093" s="14">
        <v>3.25</v>
      </c>
      <c r="F1093" s="14">
        <v>3.35</v>
      </c>
      <c r="G1093" s="15">
        <v>0.02</v>
      </c>
      <c r="H1093" s="16">
        <v>6.1000000000000004E-3</v>
      </c>
      <c r="I1093" s="14">
        <v>112</v>
      </c>
      <c r="J1093" s="17">
        <v>9702</v>
      </c>
      <c r="K1093" s="18">
        <v>0.3095</v>
      </c>
      <c r="L1093" s="26" t="b">
        <f t="shared" si="79"/>
        <v>0</v>
      </c>
      <c r="M1093" s="26" t="str">
        <f t="shared" si="76"/>
        <v>put</v>
      </c>
      <c r="N1093" s="28">
        <f t="shared" si="77"/>
        <v>46191</v>
      </c>
      <c r="O1093" s="29">
        <f t="shared" si="78"/>
        <v>256</v>
      </c>
    </row>
    <row r="1094" spans="1:15" x14ac:dyDescent="0.45">
      <c r="A1094" s="11" t="s">
        <v>1298</v>
      </c>
      <c r="B1094" s="12">
        <v>45726.654166666667</v>
      </c>
      <c r="C1094" s="13">
        <v>195</v>
      </c>
      <c r="D1094" s="14">
        <v>3.8</v>
      </c>
      <c r="E1094" s="14">
        <v>3.7</v>
      </c>
      <c r="F1094" s="14">
        <v>3.8</v>
      </c>
      <c r="G1094" s="15">
        <v>0.01</v>
      </c>
      <c r="H1094" s="16">
        <v>2.5999999999999999E-3</v>
      </c>
      <c r="I1094" s="14">
        <v>55</v>
      </c>
      <c r="J1094" s="17">
        <v>11268</v>
      </c>
      <c r="K1094" s="18">
        <v>0.30099999999999999</v>
      </c>
      <c r="L1094" s="26" t="b">
        <f t="shared" si="79"/>
        <v>0</v>
      </c>
      <c r="M1094" s="26" t="str">
        <f t="shared" si="76"/>
        <v>put</v>
      </c>
      <c r="N1094" s="28">
        <f t="shared" si="77"/>
        <v>46191</v>
      </c>
      <c r="O1094" s="29">
        <f t="shared" si="78"/>
        <v>256</v>
      </c>
    </row>
    <row r="1095" spans="1:15" x14ac:dyDescent="0.45">
      <c r="A1095" s="11" t="s">
        <v>1299</v>
      </c>
      <c r="B1095" s="12">
        <v>45726.654166666667</v>
      </c>
      <c r="C1095" s="13">
        <v>200</v>
      </c>
      <c r="D1095" s="14">
        <v>4.3499999999999996</v>
      </c>
      <c r="E1095" s="14">
        <v>4.25</v>
      </c>
      <c r="F1095" s="14">
        <v>4.4000000000000004</v>
      </c>
      <c r="G1095" s="15">
        <v>-0.05</v>
      </c>
      <c r="H1095" s="16">
        <v>-1.14E-2</v>
      </c>
      <c r="I1095" s="14">
        <v>97</v>
      </c>
      <c r="J1095" s="17">
        <v>7659</v>
      </c>
      <c r="K1095" s="18">
        <v>0.29480000000000001</v>
      </c>
      <c r="L1095" s="26" t="b">
        <f t="shared" si="79"/>
        <v>0</v>
      </c>
      <c r="M1095" s="26" t="str">
        <f t="shared" si="76"/>
        <v>put</v>
      </c>
      <c r="N1095" s="28">
        <f t="shared" si="77"/>
        <v>46191</v>
      </c>
      <c r="O1095" s="29">
        <f t="shared" si="78"/>
        <v>256</v>
      </c>
    </row>
    <row r="1096" spans="1:15" x14ac:dyDescent="0.45">
      <c r="A1096" s="11" t="s">
        <v>1300</v>
      </c>
      <c r="B1096" s="12">
        <v>45726.654166666667</v>
      </c>
      <c r="C1096" s="13">
        <v>205</v>
      </c>
      <c r="D1096" s="14">
        <v>5</v>
      </c>
      <c r="E1096" s="14">
        <v>4.9000000000000004</v>
      </c>
      <c r="F1096" s="14">
        <v>5.05</v>
      </c>
      <c r="G1096" s="15">
        <v>-0.05</v>
      </c>
      <c r="H1096" s="16">
        <v>-9.9000000000000008E-3</v>
      </c>
      <c r="I1096" s="14">
        <v>12</v>
      </c>
      <c r="J1096" s="17">
        <v>3655</v>
      </c>
      <c r="K1096" s="18">
        <v>0.28810000000000002</v>
      </c>
      <c r="L1096" s="26" t="b">
        <f t="shared" si="79"/>
        <v>0</v>
      </c>
      <c r="M1096" s="26" t="str">
        <f t="shared" si="76"/>
        <v>put</v>
      </c>
      <c r="N1096" s="28">
        <f t="shared" si="77"/>
        <v>46191</v>
      </c>
      <c r="O1096" s="29">
        <f t="shared" si="78"/>
        <v>256</v>
      </c>
    </row>
    <row r="1097" spans="1:15" x14ac:dyDescent="0.45">
      <c r="A1097" s="11" t="s">
        <v>1301</v>
      </c>
      <c r="B1097" s="12">
        <v>45726.654166666667</v>
      </c>
      <c r="C1097" s="13">
        <v>210</v>
      </c>
      <c r="D1097" s="14">
        <v>5.75</v>
      </c>
      <c r="E1097" s="14">
        <v>5.65</v>
      </c>
      <c r="F1097" s="14">
        <v>5.75</v>
      </c>
      <c r="G1097" s="14">
        <v>0</v>
      </c>
      <c r="H1097" s="18">
        <v>0</v>
      </c>
      <c r="I1097" s="14">
        <v>76</v>
      </c>
      <c r="J1097" s="17">
        <v>7614</v>
      </c>
      <c r="K1097" s="18">
        <v>0.28079999999999999</v>
      </c>
      <c r="L1097" s="26" t="b">
        <f t="shared" si="79"/>
        <v>0</v>
      </c>
      <c r="M1097" s="26" t="str">
        <f t="shared" si="76"/>
        <v>put</v>
      </c>
      <c r="N1097" s="28">
        <f t="shared" si="77"/>
        <v>46191</v>
      </c>
      <c r="O1097" s="29">
        <f t="shared" si="78"/>
        <v>256</v>
      </c>
    </row>
    <row r="1098" spans="1:15" x14ac:dyDescent="0.45">
      <c r="A1098" s="11" t="s">
        <v>1302</v>
      </c>
      <c r="B1098" s="12">
        <v>45726.662499999999</v>
      </c>
      <c r="C1098" s="13">
        <v>215</v>
      </c>
      <c r="D1098" s="14">
        <v>6.6</v>
      </c>
      <c r="E1098" s="14">
        <v>6.45</v>
      </c>
      <c r="F1098" s="14">
        <v>6.6</v>
      </c>
      <c r="G1098" s="14">
        <v>0</v>
      </c>
      <c r="H1098" s="18">
        <v>0</v>
      </c>
      <c r="I1098" s="14">
        <v>274</v>
      </c>
      <c r="J1098" s="17">
        <v>2504</v>
      </c>
      <c r="K1098" s="18">
        <v>0.27479999999999999</v>
      </c>
      <c r="L1098" s="26" t="b">
        <f t="shared" si="79"/>
        <v>0</v>
      </c>
      <c r="M1098" s="26" t="str">
        <f t="shared" si="76"/>
        <v>put</v>
      </c>
      <c r="N1098" s="28">
        <f t="shared" si="77"/>
        <v>46191</v>
      </c>
      <c r="O1098" s="29">
        <f t="shared" si="78"/>
        <v>256</v>
      </c>
    </row>
    <row r="1099" spans="1:15" x14ac:dyDescent="0.45">
      <c r="A1099" s="11" t="s">
        <v>1303</v>
      </c>
      <c r="B1099" s="12">
        <v>45726.654166666667</v>
      </c>
      <c r="C1099" s="13">
        <v>220</v>
      </c>
      <c r="D1099" s="14">
        <v>7.5</v>
      </c>
      <c r="E1099" s="14">
        <v>7.35</v>
      </c>
      <c r="F1099" s="14">
        <v>7.5</v>
      </c>
      <c r="G1099" s="14">
        <v>0.01</v>
      </c>
      <c r="H1099" s="18">
        <v>1.2999999999999999E-3</v>
      </c>
      <c r="I1099" s="14">
        <v>84</v>
      </c>
      <c r="J1099" s="17">
        <v>5229</v>
      </c>
      <c r="K1099" s="18">
        <v>0.26779999999999998</v>
      </c>
      <c r="L1099" s="26" t="b">
        <f t="shared" si="79"/>
        <v>0</v>
      </c>
      <c r="M1099" s="26" t="str">
        <f t="shared" si="76"/>
        <v>put</v>
      </c>
      <c r="N1099" s="28">
        <f t="shared" si="77"/>
        <v>46191</v>
      </c>
      <c r="O1099" s="29">
        <f t="shared" si="78"/>
        <v>256</v>
      </c>
    </row>
    <row r="1100" spans="1:15" x14ac:dyDescent="0.45">
      <c r="A1100" s="11" t="s">
        <v>1304</v>
      </c>
      <c r="B1100" s="12">
        <v>45726.654166666667</v>
      </c>
      <c r="C1100" s="13">
        <v>225</v>
      </c>
      <c r="D1100" s="14">
        <v>8.5500000000000007</v>
      </c>
      <c r="E1100" s="14">
        <v>8.4</v>
      </c>
      <c r="F1100" s="14">
        <v>8.5500000000000007</v>
      </c>
      <c r="G1100" s="14">
        <v>-0.1</v>
      </c>
      <c r="H1100" s="18">
        <v>-1.1599999999999999E-2</v>
      </c>
      <c r="I1100" s="14">
        <v>18</v>
      </c>
      <c r="J1100" s="17">
        <v>2505</v>
      </c>
      <c r="K1100" s="18">
        <v>0.2616</v>
      </c>
      <c r="L1100" s="26" t="b">
        <f t="shared" si="79"/>
        <v>0</v>
      </c>
      <c r="M1100" s="26" t="str">
        <f t="shared" si="76"/>
        <v>put</v>
      </c>
      <c r="N1100" s="28">
        <f t="shared" si="77"/>
        <v>46191</v>
      </c>
      <c r="O1100" s="29">
        <f t="shared" si="78"/>
        <v>256</v>
      </c>
    </row>
    <row r="1101" spans="1:15" x14ac:dyDescent="0.45">
      <c r="A1101" s="11" t="s">
        <v>1305</v>
      </c>
      <c r="B1101" s="12">
        <v>45726.654166666667</v>
      </c>
      <c r="C1101" s="13">
        <v>230</v>
      </c>
      <c r="D1101" s="14">
        <v>9.6999999999999993</v>
      </c>
      <c r="E1101" s="14">
        <v>9.6</v>
      </c>
      <c r="F1101" s="14">
        <v>9.75</v>
      </c>
      <c r="G1101" s="15">
        <v>-0.1</v>
      </c>
      <c r="H1101" s="16">
        <v>-1.0200000000000001E-2</v>
      </c>
      <c r="I1101" s="14">
        <v>42</v>
      </c>
      <c r="J1101" s="17">
        <v>5787</v>
      </c>
      <c r="K1101" s="18">
        <v>0.25590000000000002</v>
      </c>
      <c r="L1101" s="26" t="b">
        <f t="shared" si="79"/>
        <v>0</v>
      </c>
      <c r="M1101" s="26" t="str">
        <f t="shared" si="76"/>
        <v>put</v>
      </c>
      <c r="N1101" s="28">
        <f t="shared" si="77"/>
        <v>46191</v>
      </c>
      <c r="O1101" s="29">
        <f t="shared" si="78"/>
        <v>256</v>
      </c>
    </row>
    <row r="1102" spans="1:15" x14ac:dyDescent="0.45">
      <c r="A1102" s="11" t="s">
        <v>1306</v>
      </c>
      <c r="B1102" s="12">
        <v>45726.625694444447</v>
      </c>
      <c r="C1102" s="13">
        <v>235</v>
      </c>
      <c r="D1102" s="14">
        <v>10.86</v>
      </c>
      <c r="E1102" s="14">
        <v>10.9</v>
      </c>
      <c r="F1102" s="14">
        <v>11.05</v>
      </c>
      <c r="G1102" s="15">
        <v>-0.14000000000000001</v>
      </c>
      <c r="H1102" s="16">
        <v>-1.2699999999999999E-2</v>
      </c>
      <c r="I1102" s="14">
        <v>78</v>
      </c>
      <c r="J1102" s="17">
        <v>2962</v>
      </c>
      <c r="K1102" s="18">
        <v>0.24959999999999999</v>
      </c>
      <c r="L1102" s="26" t="b">
        <f t="shared" si="79"/>
        <v>0</v>
      </c>
      <c r="M1102" s="26" t="str">
        <f t="shared" si="76"/>
        <v>put</v>
      </c>
      <c r="N1102" s="28">
        <f t="shared" si="77"/>
        <v>46191</v>
      </c>
      <c r="O1102" s="29">
        <f t="shared" si="78"/>
        <v>256</v>
      </c>
    </row>
    <row r="1103" spans="1:15" x14ac:dyDescent="0.45">
      <c r="A1103" s="11" t="s">
        <v>1307</v>
      </c>
      <c r="B1103" s="12">
        <v>45726.606249999997</v>
      </c>
      <c r="C1103" s="13">
        <v>240</v>
      </c>
      <c r="D1103" s="14">
        <v>12.41</v>
      </c>
      <c r="E1103" s="14">
        <v>12.35</v>
      </c>
      <c r="F1103" s="14">
        <v>12.5</v>
      </c>
      <c r="G1103" s="15">
        <v>-0.14000000000000001</v>
      </c>
      <c r="H1103" s="16">
        <v>-1.12E-2</v>
      </c>
      <c r="I1103" s="14">
        <v>20</v>
      </c>
      <c r="J1103" s="17">
        <v>1774</v>
      </c>
      <c r="K1103" s="18">
        <v>0.24349999999999999</v>
      </c>
      <c r="L1103" s="26" t="b">
        <f t="shared" si="79"/>
        <v>0</v>
      </c>
      <c r="M1103" s="26" t="str">
        <f t="shared" si="76"/>
        <v>put</v>
      </c>
      <c r="N1103" s="28">
        <f t="shared" si="77"/>
        <v>46191</v>
      </c>
      <c r="O1103" s="29">
        <f t="shared" si="78"/>
        <v>256</v>
      </c>
    </row>
    <row r="1104" spans="1:15" x14ac:dyDescent="0.45">
      <c r="A1104" s="11" t="s">
        <v>1308</v>
      </c>
      <c r="B1104" s="12">
        <v>45698.584722222222</v>
      </c>
      <c r="C1104" s="13">
        <v>245</v>
      </c>
      <c r="D1104" s="14">
        <v>14.4</v>
      </c>
      <c r="E1104" s="14">
        <v>13.95</v>
      </c>
      <c r="F1104" s="14">
        <v>14.15</v>
      </c>
      <c r="G1104" s="14">
        <v>0</v>
      </c>
      <c r="H1104" s="18">
        <v>0</v>
      </c>
      <c r="I1104" s="14">
        <v>18</v>
      </c>
      <c r="J1104" s="17">
        <v>1083</v>
      </c>
      <c r="K1104" s="18">
        <v>0.23799999999999999</v>
      </c>
      <c r="L1104" s="26" t="b">
        <f t="shared" si="79"/>
        <v>0</v>
      </c>
      <c r="M1104" s="26" t="str">
        <f t="shared" si="76"/>
        <v>put</v>
      </c>
      <c r="N1104" s="28">
        <f t="shared" si="77"/>
        <v>46191</v>
      </c>
      <c r="O1104" s="29">
        <f t="shared" si="78"/>
        <v>256</v>
      </c>
    </row>
    <row r="1105" spans="1:15" x14ac:dyDescent="0.45">
      <c r="A1105" s="11" t="s">
        <v>1309</v>
      </c>
      <c r="B1105" s="12">
        <v>45726.629861111112</v>
      </c>
      <c r="C1105" s="13">
        <v>250</v>
      </c>
      <c r="D1105" s="14">
        <v>15.89</v>
      </c>
      <c r="E1105" s="14">
        <v>15.8</v>
      </c>
      <c r="F1105" s="14">
        <v>15.95</v>
      </c>
      <c r="G1105" s="15">
        <v>-0.08</v>
      </c>
      <c r="H1105" s="16">
        <v>-5.0000000000000001E-3</v>
      </c>
      <c r="I1105" s="14">
        <v>47</v>
      </c>
      <c r="J1105" s="17">
        <v>1981</v>
      </c>
      <c r="K1105" s="18">
        <v>0.23219999999999999</v>
      </c>
      <c r="L1105" s="26" t="b">
        <f t="shared" si="79"/>
        <v>0</v>
      </c>
      <c r="M1105" s="26" t="str">
        <f t="shared" si="76"/>
        <v>put</v>
      </c>
      <c r="N1105" s="28">
        <f t="shared" si="77"/>
        <v>46191</v>
      </c>
      <c r="O1105" s="29">
        <f t="shared" si="78"/>
        <v>256</v>
      </c>
    </row>
    <row r="1106" spans="1:15" x14ac:dyDescent="0.45">
      <c r="A1106" s="11" t="s">
        <v>1310</v>
      </c>
      <c r="B1106" s="12">
        <v>45726.656944444447</v>
      </c>
      <c r="C1106" s="13">
        <v>255</v>
      </c>
      <c r="D1106" s="14">
        <v>17.850000000000001</v>
      </c>
      <c r="E1106" s="14">
        <v>17.7</v>
      </c>
      <c r="F1106" s="14">
        <v>17.899999999999999</v>
      </c>
      <c r="G1106" s="15">
        <v>-0.38</v>
      </c>
      <c r="H1106" s="16">
        <v>-2.0799999999999999E-2</v>
      </c>
      <c r="I1106" s="14">
        <v>75</v>
      </c>
      <c r="J1106" s="17">
        <v>1211</v>
      </c>
      <c r="K1106" s="18">
        <v>0.2261</v>
      </c>
      <c r="L1106" s="26" t="b">
        <f t="shared" si="79"/>
        <v>0</v>
      </c>
      <c r="M1106" s="26" t="str">
        <f t="shared" si="76"/>
        <v>put</v>
      </c>
      <c r="N1106" s="28">
        <f t="shared" si="77"/>
        <v>46191</v>
      </c>
      <c r="O1106" s="29">
        <f t="shared" si="78"/>
        <v>256</v>
      </c>
    </row>
    <row r="1107" spans="1:15" x14ac:dyDescent="0.45">
      <c r="A1107" s="1" t="s">
        <v>1311</v>
      </c>
      <c r="B1107" s="2">
        <v>45726.638888888891</v>
      </c>
      <c r="C1107" s="3">
        <v>260</v>
      </c>
      <c r="D1107" s="4">
        <v>20</v>
      </c>
      <c r="E1107" s="4">
        <v>19.850000000000001</v>
      </c>
      <c r="F1107" s="4">
        <v>20.05</v>
      </c>
      <c r="G1107" s="8">
        <v>-0.25</v>
      </c>
      <c r="H1107" s="9">
        <v>-1.23E-2</v>
      </c>
      <c r="I1107" s="4">
        <v>21</v>
      </c>
      <c r="J1107" s="10">
        <v>1175</v>
      </c>
      <c r="K1107" s="5">
        <v>0.22009999999999999</v>
      </c>
      <c r="L1107" s="26" t="b">
        <f t="shared" si="79"/>
        <v>1</v>
      </c>
      <c r="M1107" s="26" t="str">
        <f t="shared" si="76"/>
        <v>put</v>
      </c>
      <c r="N1107" s="28">
        <f t="shared" si="77"/>
        <v>46191</v>
      </c>
      <c r="O1107" s="29">
        <f t="shared" si="78"/>
        <v>256</v>
      </c>
    </row>
    <row r="1108" spans="1:15" x14ac:dyDescent="0.45">
      <c r="A1108" s="1" t="s">
        <v>1312</v>
      </c>
      <c r="B1108" s="2">
        <v>45726.629861111112</v>
      </c>
      <c r="C1108" s="3">
        <v>265</v>
      </c>
      <c r="D1108" s="4">
        <v>22.21</v>
      </c>
      <c r="E1108" s="4">
        <v>22.2</v>
      </c>
      <c r="F1108" s="4">
        <v>22.45</v>
      </c>
      <c r="G1108" s="8">
        <v>-0.54</v>
      </c>
      <c r="H1108" s="9">
        <v>-2.3699999999999999E-2</v>
      </c>
      <c r="I1108" s="4">
        <v>10</v>
      </c>
      <c r="J1108" s="4">
        <v>302</v>
      </c>
      <c r="K1108" s="5">
        <v>0.2147</v>
      </c>
      <c r="L1108" s="26" t="b">
        <f t="shared" si="79"/>
        <v>1</v>
      </c>
      <c r="M1108" s="26" t="str">
        <f t="shared" si="76"/>
        <v>put</v>
      </c>
      <c r="N1108" s="28">
        <f t="shared" si="77"/>
        <v>46191</v>
      </c>
      <c r="O1108" s="29">
        <f t="shared" si="78"/>
        <v>256</v>
      </c>
    </row>
    <row r="1109" spans="1:15" x14ac:dyDescent="0.45">
      <c r="A1109" s="1" t="s">
        <v>1313</v>
      </c>
      <c r="B1109" s="2">
        <v>45726.629861111112</v>
      </c>
      <c r="C1109" s="3">
        <v>270</v>
      </c>
      <c r="D1109" s="4">
        <v>24.98</v>
      </c>
      <c r="E1109" s="4">
        <v>24.8</v>
      </c>
      <c r="F1109" s="4">
        <v>25.05</v>
      </c>
      <c r="G1109" s="8">
        <v>-0.15</v>
      </c>
      <c r="H1109" s="9">
        <v>-6.0000000000000001E-3</v>
      </c>
      <c r="I1109" s="4">
        <v>43</v>
      </c>
      <c r="J1109" s="4">
        <v>188</v>
      </c>
      <c r="K1109" s="5">
        <v>0.20910000000000001</v>
      </c>
      <c r="L1109" s="26" t="b">
        <f t="shared" si="79"/>
        <v>1</v>
      </c>
      <c r="M1109" s="26" t="str">
        <f t="shared" si="76"/>
        <v>put</v>
      </c>
      <c r="N1109" s="28">
        <f t="shared" si="77"/>
        <v>46191</v>
      </c>
      <c r="O1109" s="29">
        <f t="shared" si="78"/>
        <v>256</v>
      </c>
    </row>
    <row r="1110" spans="1:15" x14ac:dyDescent="0.45">
      <c r="A1110" s="1" t="s">
        <v>1314</v>
      </c>
      <c r="B1110" s="2">
        <v>45726.629861111112</v>
      </c>
      <c r="C1110" s="3">
        <v>275</v>
      </c>
      <c r="D1110" s="4">
        <v>27.56</v>
      </c>
      <c r="E1110" s="4">
        <v>27.4</v>
      </c>
      <c r="F1110" s="4">
        <v>27.85</v>
      </c>
      <c r="G1110" s="8">
        <v>-0.53</v>
      </c>
      <c r="H1110" s="9">
        <v>-1.89E-2</v>
      </c>
      <c r="I1110" s="4">
        <v>36</v>
      </c>
      <c r="J1110" s="4">
        <v>42</v>
      </c>
      <c r="K1110" s="5">
        <v>0.2034</v>
      </c>
      <c r="L1110" s="26" t="b">
        <f t="shared" si="79"/>
        <v>1</v>
      </c>
      <c r="M1110" s="26" t="str">
        <f t="shared" si="76"/>
        <v>put</v>
      </c>
      <c r="N1110" s="28">
        <f t="shared" si="77"/>
        <v>46191</v>
      </c>
      <c r="O1110" s="29">
        <f t="shared" si="78"/>
        <v>256</v>
      </c>
    </row>
    <row r="1111" spans="1:15" x14ac:dyDescent="0.45">
      <c r="A1111" s="1" t="s">
        <v>1315</v>
      </c>
      <c r="B1111" s="2">
        <v>45726.629861111112</v>
      </c>
      <c r="C1111" s="3">
        <v>280</v>
      </c>
      <c r="D1111" s="4">
        <v>30.8</v>
      </c>
      <c r="E1111" s="4">
        <v>30.6</v>
      </c>
      <c r="F1111" s="4">
        <v>30.9</v>
      </c>
      <c r="G1111" s="8">
        <v>-0.16</v>
      </c>
      <c r="H1111" s="9">
        <v>-5.1999999999999998E-3</v>
      </c>
      <c r="I1111" s="4">
        <v>29</v>
      </c>
      <c r="J1111" s="4">
        <v>42</v>
      </c>
      <c r="K1111" s="5">
        <v>0.1981</v>
      </c>
      <c r="L1111" s="26" t="b">
        <f t="shared" si="79"/>
        <v>1</v>
      </c>
      <c r="M1111" s="26" t="str">
        <f t="shared" si="76"/>
        <v>put</v>
      </c>
      <c r="N1111" s="28">
        <f t="shared" si="77"/>
        <v>46191</v>
      </c>
      <c r="O1111" s="29">
        <f t="shared" si="78"/>
        <v>256</v>
      </c>
    </row>
    <row r="1112" spans="1:15" x14ac:dyDescent="0.45">
      <c r="A1112" s="1" t="s">
        <v>1316</v>
      </c>
      <c r="B1112" s="2">
        <v>45726.62222222222</v>
      </c>
      <c r="C1112" s="3">
        <v>285</v>
      </c>
      <c r="D1112" s="4">
        <v>33.82</v>
      </c>
      <c r="E1112" s="4">
        <v>33.85</v>
      </c>
      <c r="F1112" s="4">
        <v>34.15</v>
      </c>
      <c r="G1112" s="8">
        <v>-0.57999999999999996</v>
      </c>
      <c r="H1112" s="9">
        <v>-1.6899999999999998E-2</v>
      </c>
      <c r="I1112" s="4">
        <v>10</v>
      </c>
      <c r="J1112" s="4">
        <v>42</v>
      </c>
      <c r="K1112" s="5">
        <v>0.1925</v>
      </c>
      <c r="L1112" s="26" t="b">
        <f t="shared" si="79"/>
        <v>1</v>
      </c>
      <c r="M1112" s="26" t="str">
        <f t="shared" si="76"/>
        <v>put</v>
      </c>
      <c r="N1112" s="28">
        <f t="shared" si="77"/>
        <v>46191</v>
      </c>
      <c r="O1112" s="29">
        <f t="shared" si="78"/>
        <v>256</v>
      </c>
    </row>
    <row r="1113" spans="1:15" x14ac:dyDescent="0.45">
      <c r="A1113" s="1" t="s">
        <v>1317</v>
      </c>
      <c r="B1113" s="2">
        <v>45726.609027777777</v>
      </c>
      <c r="C1113" s="3">
        <v>290</v>
      </c>
      <c r="D1113" s="4">
        <v>37.409999999999997</v>
      </c>
      <c r="E1113" s="4">
        <v>37.299999999999997</v>
      </c>
      <c r="F1113" s="4">
        <v>38.35</v>
      </c>
      <c r="G1113" s="8">
        <v>-0.39</v>
      </c>
      <c r="H1113" s="9">
        <v>-1.03E-2</v>
      </c>
      <c r="I1113" s="4">
        <v>14</v>
      </c>
      <c r="J1113" s="4">
        <v>18</v>
      </c>
      <c r="K1113" s="5">
        <v>0.19719999999999999</v>
      </c>
      <c r="L1113" s="26" t="b">
        <f t="shared" si="79"/>
        <v>1</v>
      </c>
      <c r="M1113" s="26" t="str">
        <f t="shared" si="76"/>
        <v>put</v>
      </c>
      <c r="N1113" s="28">
        <f t="shared" si="77"/>
        <v>46191</v>
      </c>
      <c r="O1113" s="29">
        <f t="shared" si="78"/>
        <v>256</v>
      </c>
    </row>
    <row r="1114" spans="1:15" x14ac:dyDescent="0.45">
      <c r="A1114" s="1" t="s">
        <v>1318</v>
      </c>
      <c r="B1114" s="2">
        <v>45726.490972222222</v>
      </c>
      <c r="C1114" s="3">
        <v>300</v>
      </c>
      <c r="D1114" s="4">
        <v>44.74</v>
      </c>
      <c r="E1114" s="4">
        <v>44.5</v>
      </c>
      <c r="F1114" s="4">
        <v>45.45</v>
      </c>
      <c r="G1114" s="8">
        <v>-3.65</v>
      </c>
      <c r="H1114" s="9">
        <v>-7.5399999999999995E-2</v>
      </c>
      <c r="I1114" s="4">
        <v>7</v>
      </c>
      <c r="J1114" s="4">
        <v>42</v>
      </c>
      <c r="K1114" s="5">
        <v>0.17960000000000001</v>
      </c>
      <c r="L1114" s="26" t="b">
        <f t="shared" si="79"/>
        <v>1</v>
      </c>
      <c r="M1114" s="26" t="str">
        <f t="shared" si="76"/>
        <v>put</v>
      </c>
      <c r="N1114" s="28">
        <f t="shared" si="77"/>
        <v>46191</v>
      </c>
      <c r="O1114" s="29">
        <f t="shared" si="78"/>
        <v>256</v>
      </c>
    </row>
    <row r="1115" spans="1:15" x14ac:dyDescent="0.45">
      <c r="A1115" s="1" t="s">
        <v>1319</v>
      </c>
      <c r="B1115" s="2">
        <v>45667.633333333331</v>
      </c>
      <c r="C1115" s="3">
        <v>310</v>
      </c>
      <c r="D1115" s="4">
        <v>54.54</v>
      </c>
      <c r="E1115" s="4">
        <v>52.95</v>
      </c>
      <c r="F1115" s="4">
        <v>53.8</v>
      </c>
      <c r="G1115" s="4">
        <v>0</v>
      </c>
      <c r="H1115" s="5">
        <v>0</v>
      </c>
      <c r="I1115" s="4">
        <v>4</v>
      </c>
      <c r="J1115" s="4">
        <v>74</v>
      </c>
      <c r="K1115" s="5">
        <v>0.16889999999999999</v>
      </c>
      <c r="L1115" s="26" t="b">
        <f t="shared" si="79"/>
        <v>1</v>
      </c>
      <c r="M1115" s="26" t="str">
        <f t="shared" si="76"/>
        <v>put</v>
      </c>
      <c r="N1115" s="28">
        <f t="shared" si="77"/>
        <v>46191</v>
      </c>
      <c r="O1115" s="29">
        <f t="shared" si="78"/>
        <v>256</v>
      </c>
    </row>
    <row r="1116" spans="1:15" x14ac:dyDescent="0.45">
      <c r="A1116" s="1" t="s">
        <v>1320</v>
      </c>
      <c r="B1116" s="2">
        <v>45667.634027777778</v>
      </c>
      <c r="C1116" s="3">
        <v>320</v>
      </c>
      <c r="D1116" s="4">
        <v>63.61</v>
      </c>
      <c r="E1116" s="4">
        <v>61.85</v>
      </c>
      <c r="F1116" s="4">
        <v>63.05</v>
      </c>
      <c r="G1116" s="4">
        <v>0</v>
      </c>
      <c r="H1116" s="5">
        <v>0</v>
      </c>
      <c r="I1116" s="4">
        <v>4</v>
      </c>
      <c r="J1116" s="4">
        <v>5</v>
      </c>
      <c r="K1116" s="5">
        <v>0.16719999999999999</v>
      </c>
      <c r="L1116" s="26" t="b">
        <f t="shared" si="79"/>
        <v>1</v>
      </c>
      <c r="M1116" s="26" t="str">
        <f t="shared" si="76"/>
        <v>put</v>
      </c>
      <c r="N1116" s="28">
        <f t="shared" si="77"/>
        <v>46191</v>
      </c>
      <c r="O1116" s="29">
        <f t="shared" si="78"/>
        <v>256</v>
      </c>
    </row>
    <row r="1117" spans="1:15" x14ac:dyDescent="0.45">
      <c r="A1117" s="1" t="s">
        <v>1321</v>
      </c>
      <c r="B1117" s="4" t="s">
        <v>1322</v>
      </c>
      <c r="C1117" s="3">
        <v>330</v>
      </c>
      <c r="D1117" s="4">
        <v>120.54</v>
      </c>
      <c r="E1117" s="4">
        <v>73.650000000000006</v>
      </c>
      <c r="F1117" s="4">
        <v>75.55</v>
      </c>
      <c r="G1117" s="4">
        <v>0</v>
      </c>
      <c r="H1117" s="5">
        <v>0</v>
      </c>
      <c r="I1117" s="4">
        <v>0</v>
      </c>
      <c r="J1117" s="4">
        <v>0</v>
      </c>
      <c r="K1117" s="5">
        <v>0.2495</v>
      </c>
      <c r="L1117" s="26" t="b">
        <f t="shared" si="79"/>
        <v>1</v>
      </c>
      <c r="M1117" s="26" t="str">
        <f t="shared" si="76"/>
        <v>put</v>
      </c>
      <c r="N1117" s="28">
        <f t="shared" si="77"/>
        <v>46191</v>
      </c>
      <c r="O1117" s="29">
        <f t="shared" si="78"/>
        <v>256</v>
      </c>
    </row>
    <row r="1118" spans="1:15" x14ac:dyDescent="0.45">
      <c r="A1118" s="1" t="s">
        <v>1323</v>
      </c>
      <c r="B1118" s="2">
        <v>45723.438888888886</v>
      </c>
      <c r="C1118" s="3">
        <v>340</v>
      </c>
      <c r="D1118" s="4">
        <v>126</v>
      </c>
      <c r="E1118" s="4">
        <v>83.65</v>
      </c>
      <c r="F1118" s="4">
        <v>85.6</v>
      </c>
      <c r="G1118" s="4">
        <v>0</v>
      </c>
      <c r="H1118" s="5">
        <v>0</v>
      </c>
      <c r="I1118" s="4">
        <v>20</v>
      </c>
      <c r="J1118" s="4">
        <v>0</v>
      </c>
      <c r="K1118" s="5">
        <v>0.27060000000000001</v>
      </c>
      <c r="L1118" s="26" t="b">
        <f t="shared" si="79"/>
        <v>1</v>
      </c>
      <c r="M1118" s="26" t="str">
        <f t="shared" si="76"/>
        <v>put</v>
      </c>
      <c r="N1118" s="28">
        <f t="shared" si="77"/>
        <v>46191</v>
      </c>
      <c r="O1118" s="29">
        <f t="shared" si="78"/>
        <v>256</v>
      </c>
    </row>
    <row r="1119" spans="1:15" x14ac:dyDescent="0.45">
      <c r="A1119" s="1" t="s">
        <v>1324</v>
      </c>
      <c r="B1119" s="4" t="s">
        <v>1325</v>
      </c>
      <c r="C1119" s="3">
        <v>350</v>
      </c>
      <c r="D1119" s="4">
        <v>113.76</v>
      </c>
      <c r="E1119" s="4">
        <v>0</v>
      </c>
      <c r="F1119" s="4">
        <v>0</v>
      </c>
      <c r="G1119" s="4">
        <v>0</v>
      </c>
      <c r="H1119" s="5">
        <v>0</v>
      </c>
      <c r="I1119" s="4">
        <v>2</v>
      </c>
      <c r="J1119" s="4">
        <v>0</v>
      </c>
      <c r="K1119" s="5">
        <v>0</v>
      </c>
      <c r="L1119" s="26" t="b">
        <f t="shared" si="79"/>
        <v>1</v>
      </c>
      <c r="M1119" s="26" t="str">
        <f t="shared" si="76"/>
        <v>put</v>
      </c>
      <c r="N1119" s="28">
        <f t="shared" si="77"/>
        <v>46191</v>
      </c>
      <c r="O1119" s="29">
        <f t="shared" si="78"/>
        <v>256</v>
      </c>
    </row>
    <row r="1120" spans="1:15" x14ac:dyDescent="0.45">
      <c r="A1120" s="1" t="s">
        <v>1326</v>
      </c>
      <c r="B1120" s="4" t="s">
        <v>1327</v>
      </c>
      <c r="C1120" s="3">
        <v>360</v>
      </c>
      <c r="D1120" s="4">
        <v>147.54</v>
      </c>
      <c r="E1120" s="4">
        <v>155.9</v>
      </c>
      <c r="F1120" s="4">
        <v>159.15</v>
      </c>
      <c r="G1120" s="4">
        <v>0</v>
      </c>
      <c r="H1120" s="5">
        <v>0</v>
      </c>
      <c r="I1120" s="4">
        <v>0</v>
      </c>
      <c r="J1120" s="4">
        <v>0</v>
      </c>
      <c r="K1120" s="5">
        <v>0.9859</v>
      </c>
      <c r="L1120" s="26" t="b">
        <f t="shared" si="79"/>
        <v>1</v>
      </c>
      <c r="M1120" s="26" t="str">
        <f t="shared" si="76"/>
        <v>put</v>
      </c>
      <c r="N1120" s="28">
        <f t="shared" si="77"/>
        <v>46191</v>
      </c>
      <c r="O1120" s="29">
        <f t="shared" si="78"/>
        <v>256</v>
      </c>
    </row>
    <row r="1121" spans="1:15" x14ac:dyDescent="0.45">
      <c r="A1121" s="1" t="s">
        <v>1328</v>
      </c>
      <c r="B1121" s="2">
        <v>45809.428472222222</v>
      </c>
      <c r="C1121" s="3">
        <v>370</v>
      </c>
      <c r="D1121" s="4">
        <v>124</v>
      </c>
      <c r="E1121" s="4">
        <v>140.69999999999999</v>
      </c>
      <c r="F1121" s="4">
        <v>144.35</v>
      </c>
      <c r="G1121" s="4">
        <v>0</v>
      </c>
      <c r="H1121" s="5">
        <v>0</v>
      </c>
      <c r="I1121" s="4">
        <v>1</v>
      </c>
      <c r="J1121" s="4">
        <v>0</v>
      </c>
      <c r="K1121" s="5">
        <v>0.71599999999999997</v>
      </c>
      <c r="L1121" s="26" t="b">
        <f t="shared" si="79"/>
        <v>1</v>
      </c>
      <c r="M1121" s="26" t="str">
        <f t="shared" si="76"/>
        <v>put</v>
      </c>
      <c r="N1121" s="28">
        <f t="shared" si="77"/>
        <v>46191</v>
      </c>
      <c r="O1121" s="29">
        <f t="shared" si="78"/>
        <v>256</v>
      </c>
    </row>
    <row r="1122" spans="1:15" x14ac:dyDescent="0.45">
      <c r="A1122" s="21" t="s">
        <v>1329</v>
      </c>
      <c r="B1122" s="30">
        <v>45845.526388888888</v>
      </c>
      <c r="C1122" s="23">
        <v>380</v>
      </c>
      <c r="D1122" s="22">
        <v>168.89</v>
      </c>
      <c r="E1122" s="22">
        <v>123.6</v>
      </c>
      <c r="F1122" s="22">
        <v>125.6</v>
      </c>
      <c r="G1122" s="22">
        <v>0</v>
      </c>
      <c r="H1122" s="24">
        <v>0</v>
      </c>
      <c r="I1122" s="22">
        <v>0</v>
      </c>
      <c r="J1122" s="22">
        <v>0</v>
      </c>
      <c r="K1122" s="24">
        <v>0.3417</v>
      </c>
      <c r="L1122" s="26" t="b">
        <f t="shared" si="79"/>
        <v>1</v>
      </c>
      <c r="M1122" s="26" t="str">
        <f t="shared" si="76"/>
        <v>put</v>
      </c>
      <c r="N1122" s="28">
        <f t="shared" si="77"/>
        <v>46191</v>
      </c>
      <c r="O1122" s="29">
        <f t="shared" si="78"/>
        <v>256</v>
      </c>
    </row>
    <row r="1123" spans="1:15" x14ac:dyDescent="0.45">
      <c r="A1123" s="1" t="s">
        <v>1330</v>
      </c>
      <c r="B1123" s="2">
        <v>45845.529166666667</v>
      </c>
      <c r="C1123" s="3">
        <v>390</v>
      </c>
      <c r="D1123" s="4">
        <v>179.79</v>
      </c>
      <c r="E1123" s="4">
        <v>133.6</v>
      </c>
      <c r="F1123" s="4">
        <v>135.6</v>
      </c>
      <c r="G1123" s="4">
        <v>0</v>
      </c>
      <c r="H1123" s="5">
        <v>0</v>
      </c>
      <c r="I1123" s="4">
        <v>4</v>
      </c>
      <c r="J1123" s="4">
        <v>0</v>
      </c>
      <c r="K1123" s="5">
        <v>0.35759999999999997</v>
      </c>
      <c r="L1123" s="26" t="b">
        <f t="shared" si="79"/>
        <v>1</v>
      </c>
      <c r="M1123" s="26" t="str">
        <f t="shared" si="76"/>
        <v>put</v>
      </c>
      <c r="N1123" s="28">
        <f t="shared" si="77"/>
        <v>46191</v>
      </c>
      <c r="O1123" s="29">
        <f t="shared" si="78"/>
        <v>256</v>
      </c>
    </row>
    <row r="1124" spans="1:15" x14ac:dyDescent="0.45">
      <c r="A1124" s="1" t="s">
        <v>1331</v>
      </c>
      <c r="B1124" s="2">
        <v>45999.633333333331</v>
      </c>
      <c r="C1124" s="3">
        <v>115</v>
      </c>
      <c r="D1124" s="4">
        <v>118.75</v>
      </c>
      <c r="E1124" s="4">
        <v>143.44999999999999</v>
      </c>
      <c r="F1124" s="4">
        <v>145.75</v>
      </c>
      <c r="G1124" s="4">
        <v>0</v>
      </c>
      <c r="H1124" s="5">
        <v>0</v>
      </c>
      <c r="I1124" s="4">
        <v>0</v>
      </c>
      <c r="J1124" s="4">
        <v>116</v>
      </c>
      <c r="K1124" s="5">
        <v>0.51380000000000003</v>
      </c>
      <c r="L1124" s="26" t="b">
        <f t="shared" si="79"/>
        <v>1</v>
      </c>
      <c r="M1124" s="26" t="str">
        <f t="shared" si="76"/>
        <v>call</v>
      </c>
      <c r="N1124" s="28">
        <f t="shared" si="77"/>
        <v>46255</v>
      </c>
      <c r="O1124" s="29">
        <f t="shared" si="78"/>
        <v>320</v>
      </c>
    </row>
    <row r="1125" spans="1:15" x14ac:dyDescent="0.45">
      <c r="A1125" s="1" t="s">
        <v>1332</v>
      </c>
      <c r="B1125" s="4" t="s">
        <v>1333</v>
      </c>
      <c r="C1125" s="3">
        <v>120</v>
      </c>
      <c r="D1125" s="4">
        <v>138.75</v>
      </c>
      <c r="E1125" s="4">
        <v>141.19999999999999</v>
      </c>
      <c r="F1125" s="4">
        <v>143.15</v>
      </c>
      <c r="G1125" s="4">
        <v>0</v>
      </c>
      <c r="H1125" s="5">
        <v>0</v>
      </c>
      <c r="I1125" s="4">
        <v>1</v>
      </c>
      <c r="J1125" s="4">
        <v>5</v>
      </c>
      <c r="K1125" s="5">
        <v>0.61160000000000003</v>
      </c>
      <c r="L1125" s="26" t="b">
        <f t="shared" si="79"/>
        <v>1</v>
      </c>
      <c r="M1125" s="26" t="str">
        <f t="shared" si="76"/>
        <v>call</v>
      </c>
      <c r="N1125" s="28">
        <f t="shared" si="77"/>
        <v>46255</v>
      </c>
      <c r="O1125" s="29">
        <f t="shared" si="78"/>
        <v>320</v>
      </c>
    </row>
    <row r="1126" spans="1:15" x14ac:dyDescent="0.45">
      <c r="A1126" s="1" t="s">
        <v>1334</v>
      </c>
      <c r="B1126" s="4" t="s">
        <v>208</v>
      </c>
      <c r="C1126" s="3">
        <v>125</v>
      </c>
      <c r="D1126" s="4">
        <v>135.12</v>
      </c>
      <c r="E1126" s="4">
        <v>136.69999999999999</v>
      </c>
      <c r="F1126" s="4">
        <v>138.55000000000001</v>
      </c>
      <c r="G1126" s="4">
        <v>0</v>
      </c>
      <c r="H1126" s="5">
        <v>0</v>
      </c>
      <c r="I1126" s="4">
        <v>1</v>
      </c>
      <c r="J1126" s="4">
        <v>2</v>
      </c>
      <c r="K1126" s="5">
        <v>0.60009999999999997</v>
      </c>
      <c r="L1126" s="26" t="b">
        <f t="shared" si="79"/>
        <v>1</v>
      </c>
      <c r="M1126" s="26" t="str">
        <f t="shared" si="76"/>
        <v>call</v>
      </c>
      <c r="N1126" s="28">
        <f t="shared" si="77"/>
        <v>46255</v>
      </c>
      <c r="O1126" s="29">
        <f t="shared" si="78"/>
        <v>320</v>
      </c>
    </row>
    <row r="1127" spans="1:15" x14ac:dyDescent="0.45">
      <c r="A1127" s="1" t="s">
        <v>1335</v>
      </c>
      <c r="B1127" s="4" t="s">
        <v>1336</v>
      </c>
      <c r="C1127" s="3">
        <v>130</v>
      </c>
      <c r="D1127" s="4">
        <v>129.25</v>
      </c>
      <c r="E1127" s="4">
        <v>131.80000000000001</v>
      </c>
      <c r="F1127" s="4">
        <v>133.69999999999999</v>
      </c>
      <c r="G1127" s="6">
        <v>0</v>
      </c>
      <c r="H1127" s="7">
        <v>0</v>
      </c>
      <c r="I1127" s="4">
        <v>15</v>
      </c>
      <c r="J1127" s="4">
        <v>15</v>
      </c>
      <c r="K1127" s="5">
        <v>0.57699999999999996</v>
      </c>
      <c r="L1127" s="26" t="b">
        <f t="shared" si="79"/>
        <v>1</v>
      </c>
      <c r="M1127" s="26" t="str">
        <f t="shared" si="76"/>
        <v>call</v>
      </c>
      <c r="N1127" s="28">
        <f t="shared" si="77"/>
        <v>46255</v>
      </c>
      <c r="O1127" s="29">
        <f t="shared" si="78"/>
        <v>320</v>
      </c>
    </row>
    <row r="1128" spans="1:15" x14ac:dyDescent="0.45">
      <c r="A1128" s="1" t="s">
        <v>1337</v>
      </c>
      <c r="B1128" s="2">
        <v>45726.512499999997</v>
      </c>
      <c r="C1128" s="3">
        <v>135</v>
      </c>
      <c r="D1128" s="4">
        <v>128.66999999999999</v>
      </c>
      <c r="E1128" s="4">
        <v>127.55</v>
      </c>
      <c r="F1128" s="4">
        <v>129.15</v>
      </c>
      <c r="G1128" s="4">
        <v>0.75</v>
      </c>
      <c r="H1128" s="5">
        <v>5.8999999999999999E-3</v>
      </c>
      <c r="I1128" s="4">
        <v>5</v>
      </c>
      <c r="J1128" s="4">
        <v>6</v>
      </c>
      <c r="K1128" s="5">
        <v>0.5696</v>
      </c>
      <c r="L1128" s="26" t="b">
        <f t="shared" si="79"/>
        <v>1</v>
      </c>
      <c r="M1128" s="26" t="str">
        <f t="shared" si="76"/>
        <v>call</v>
      </c>
      <c r="N1128" s="28">
        <f t="shared" si="77"/>
        <v>46255</v>
      </c>
      <c r="O1128" s="29">
        <f t="shared" si="78"/>
        <v>320</v>
      </c>
    </row>
    <row r="1129" spans="1:15" x14ac:dyDescent="0.45">
      <c r="A1129" s="1" t="s">
        <v>1338</v>
      </c>
      <c r="B1129" s="4" t="s">
        <v>1339</v>
      </c>
      <c r="C1129" s="3">
        <v>140</v>
      </c>
      <c r="D1129" s="4">
        <v>119.91</v>
      </c>
      <c r="E1129" s="4">
        <v>122.8</v>
      </c>
      <c r="F1129" s="4">
        <v>124.35</v>
      </c>
      <c r="G1129" s="4">
        <v>0</v>
      </c>
      <c r="H1129" s="5">
        <v>0</v>
      </c>
      <c r="I1129" s="4">
        <v>0</v>
      </c>
      <c r="J1129" s="4">
        <v>8</v>
      </c>
      <c r="K1129" s="5">
        <v>0.55010000000000003</v>
      </c>
      <c r="L1129" s="26" t="b">
        <f t="shared" si="79"/>
        <v>1</v>
      </c>
      <c r="M1129" s="26" t="str">
        <f t="shared" si="76"/>
        <v>call</v>
      </c>
      <c r="N1129" s="28">
        <f t="shared" si="77"/>
        <v>46255</v>
      </c>
      <c r="O1129" s="29">
        <f t="shared" si="78"/>
        <v>320</v>
      </c>
    </row>
    <row r="1130" spans="1:15" x14ac:dyDescent="0.45">
      <c r="A1130" s="1" t="s">
        <v>1340</v>
      </c>
      <c r="B1130" s="4" t="s">
        <v>1190</v>
      </c>
      <c r="C1130" s="3">
        <v>145</v>
      </c>
      <c r="D1130" s="4">
        <v>102.51</v>
      </c>
      <c r="E1130" s="4">
        <v>117.65</v>
      </c>
      <c r="F1130" s="4">
        <v>119.7</v>
      </c>
      <c r="G1130" s="6">
        <v>0</v>
      </c>
      <c r="H1130" s="7">
        <v>0</v>
      </c>
      <c r="I1130" s="4">
        <v>9</v>
      </c>
      <c r="J1130" s="4">
        <v>39</v>
      </c>
      <c r="K1130" s="5">
        <v>0.52739999999999998</v>
      </c>
      <c r="L1130" s="26" t="b">
        <f t="shared" si="79"/>
        <v>1</v>
      </c>
      <c r="M1130" s="26" t="str">
        <f t="shared" si="76"/>
        <v>call</v>
      </c>
      <c r="N1130" s="28">
        <f t="shared" si="77"/>
        <v>46255</v>
      </c>
      <c r="O1130" s="29">
        <f t="shared" si="78"/>
        <v>320</v>
      </c>
    </row>
    <row r="1131" spans="1:15" x14ac:dyDescent="0.45">
      <c r="A1131" s="1" t="s">
        <v>1341</v>
      </c>
      <c r="B1131" s="4" t="s">
        <v>1342</v>
      </c>
      <c r="C1131" s="3">
        <v>150</v>
      </c>
      <c r="D1131" s="4">
        <v>109.58</v>
      </c>
      <c r="E1131" s="4">
        <v>113.15</v>
      </c>
      <c r="F1131" s="4">
        <v>114.9</v>
      </c>
      <c r="G1131" s="4">
        <v>0</v>
      </c>
      <c r="H1131" s="5">
        <v>0</v>
      </c>
      <c r="I1131" s="4">
        <v>1</v>
      </c>
      <c r="J1131" s="4">
        <v>37</v>
      </c>
      <c r="K1131" s="5">
        <v>0.51200000000000001</v>
      </c>
      <c r="L1131" s="26" t="b">
        <f t="shared" si="79"/>
        <v>1</v>
      </c>
      <c r="M1131" s="26" t="str">
        <f t="shared" si="76"/>
        <v>call</v>
      </c>
      <c r="N1131" s="28">
        <f t="shared" si="77"/>
        <v>46255</v>
      </c>
      <c r="O1131" s="29">
        <f t="shared" si="78"/>
        <v>320</v>
      </c>
    </row>
    <row r="1132" spans="1:15" x14ac:dyDescent="0.45">
      <c r="A1132" s="1" t="s">
        <v>1343</v>
      </c>
      <c r="B1132" s="4" t="s">
        <v>1344</v>
      </c>
      <c r="C1132" s="3">
        <v>155</v>
      </c>
      <c r="D1132" s="4">
        <v>107.44</v>
      </c>
      <c r="E1132" s="4">
        <v>109</v>
      </c>
      <c r="F1132" s="4">
        <v>110.3</v>
      </c>
      <c r="G1132" s="6">
        <v>0</v>
      </c>
      <c r="H1132" s="7">
        <v>0</v>
      </c>
      <c r="I1132" s="4">
        <v>1</v>
      </c>
      <c r="J1132" s="4">
        <v>35</v>
      </c>
      <c r="K1132" s="5">
        <v>0.50329999999999997</v>
      </c>
      <c r="L1132" s="26" t="b">
        <f t="shared" si="79"/>
        <v>1</v>
      </c>
      <c r="M1132" s="26" t="str">
        <f t="shared" si="76"/>
        <v>call</v>
      </c>
      <c r="N1132" s="28">
        <f t="shared" si="77"/>
        <v>46255</v>
      </c>
      <c r="O1132" s="29">
        <f t="shared" si="78"/>
        <v>320</v>
      </c>
    </row>
    <row r="1133" spans="1:15" x14ac:dyDescent="0.45">
      <c r="A1133" s="1" t="s">
        <v>1345</v>
      </c>
      <c r="B1133" s="4" t="s">
        <v>1346</v>
      </c>
      <c r="C1133" s="3">
        <v>160</v>
      </c>
      <c r="D1133" s="4">
        <v>103.72</v>
      </c>
      <c r="E1133" s="4">
        <v>104.3</v>
      </c>
      <c r="F1133" s="4">
        <v>105.7</v>
      </c>
      <c r="G1133" s="6">
        <v>0</v>
      </c>
      <c r="H1133" s="7">
        <v>0</v>
      </c>
      <c r="I1133" s="4">
        <v>9</v>
      </c>
      <c r="J1133" s="4">
        <v>127</v>
      </c>
      <c r="K1133" s="5">
        <v>0.50339999999999996</v>
      </c>
      <c r="L1133" s="26" t="b">
        <f t="shared" si="79"/>
        <v>1</v>
      </c>
      <c r="M1133" s="26" t="str">
        <f t="shared" si="76"/>
        <v>call</v>
      </c>
      <c r="N1133" s="28">
        <f t="shared" si="77"/>
        <v>46255</v>
      </c>
      <c r="O1133" s="29">
        <f t="shared" si="78"/>
        <v>320</v>
      </c>
    </row>
    <row r="1134" spans="1:15" x14ac:dyDescent="0.45">
      <c r="A1134" s="1" t="s">
        <v>1347</v>
      </c>
      <c r="B1134" s="2">
        <v>45698.418749999997</v>
      </c>
      <c r="C1134" s="3">
        <v>165</v>
      </c>
      <c r="D1134" s="4">
        <v>98.62</v>
      </c>
      <c r="E1134" s="4">
        <v>99.85</v>
      </c>
      <c r="F1134" s="4">
        <v>101.15</v>
      </c>
      <c r="G1134" s="6">
        <v>0</v>
      </c>
      <c r="H1134" s="7">
        <v>0</v>
      </c>
      <c r="I1134" s="4">
        <v>1</v>
      </c>
      <c r="J1134" s="4">
        <v>40</v>
      </c>
      <c r="K1134" s="5">
        <v>0.48870000000000002</v>
      </c>
      <c r="L1134" s="26" t="b">
        <f t="shared" si="79"/>
        <v>1</v>
      </c>
      <c r="M1134" s="26" t="str">
        <f t="shared" si="76"/>
        <v>call</v>
      </c>
      <c r="N1134" s="28">
        <f t="shared" si="77"/>
        <v>46255</v>
      </c>
      <c r="O1134" s="29">
        <f t="shared" si="78"/>
        <v>320</v>
      </c>
    </row>
    <row r="1135" spans="1:15" x14ac:dyDescent="0.45">
      <c r="A1135" s="1" t="s">
        <v>1348</v>
      </c>
      <c r="B1135" s="4" t="s">
        <v>1349</v>
      </c>
      <c r="C1135" s="3">
        <v>170</v>
      </c>
      <c r="D1135" s="4">
        <v>89.87</v>
      </c>
      <c r="E1135" s="4">
        <v>95.45</v>
      </c>
      <c r="F1135" s="4">
        <v>96.2</v>
      </c>
      <c r="G1135" s="6">
        <v>0</v>
      </c>
      <c r="H1135" s="7">
        <v>0</v>
      </c>
      <c r="I1135" s="4">
        <v>8</v>
      </c>
      <c r="J1135" s="4">
        <v>31</v>
      </c>
      <c r="K1135" s="5">
        <v>0.4657</v>
      </c>
      <c r="L1135" s="26" t="b">
        <f t="shared" si="79"/>
        <v>1</v>
      </c>
      <c r="M1135" s="26" t="str">
        <f t="shared" si="76"/>
        <v>call</v>
      </c>
      <c r="N1135" s="28">
        <f t="shared" si="77"/>
        <v>46255</v>
      </c>
      <c r="O1135" s="29">
        <f t="shared" si="78"/>
        <v>320</v>
      </c>
    </row>
    <row r="1136" spans="1:15" x14ac:dyDescent="0.45">
      <c r="A1136" s="1" t="s">
        <v>1350</v>
      </c>
      <c r="B1136" s="4" t="s">
        <v>1351</v>
      </c>
      <c r="C1136" s="3">
        <v>175</v>
      </c>
      <c r="D1136" s="4">
        <v>85.51</v>
      </c>
      <c r="E1136" s="4">
        <v>90.95</v>
      </c>
      <c r="F1136" s="4">
        <v>91.7</v>
      </c>
      <c r="G1136" s="6">
        <v>0</v>
      </c>
      <c r="H1136" s="7">
        <v>0</v>
      </c>
      <c r="I1136" s="4">
        <v>10</v>
      </c>
      <c r="J1136" s="4">
        <v>17</v>
      </c>
      <c r="K1136" s="5">
        <v>0.4521</v>
      </c>
      <c r="L1136" s="26" t="b">
        <f t="shared" si="79"/>
        <v>1</v>
      </c>
      <c r="M1136" s="26" t="str">
        <f t="shared" si="76"/>
        <v>call</v>
      </c>
      <c r="N1136" s="28">
        <f t="shared" si="77"/>
        <v>46255</v>
      </c>
      <c r="O1136" s="29">
        <f t="shared" si="78"/>
        <v>320</v>
      </c>
    </row>
    <row r="1137" spans="1:15" x14ac:dyDescent="0.45">
      <c r="A1137" s="1" t="s">
        <v>1352</v>
      </c>
      <c r="B1137" s="2">
        <v>45667.599305555559</v>
      </c>
      <c r="C1137" s="3">
        <v>180</v>
      </c>
      <c r="D1137" s="4">
        <v>85.76</v>
      </c>
      <c r="E1137" s="4">
        <v>86.6</v>
      </c>
      <c r="F1137" s="4">
        <v>87.25</v>
      </c>
      <c r="G1137" s="6">
        <v>0</v>
      </c>
      <c r="H1137" s="7">
        <v>0</v>
      </c>
      <c r="I1137" s="4">
        <v>2</v>
      </c>
      <c r="J1137" s="4">
        <v>25</v>
      </c>
      <c r="K1137" s="5">
        <v>0.43909999999999999</v>
      </c>
      <c r="L1137" s="26" t="b">
        <f t="shared" si="79"/>
        <v>1</v>
      </c>
      <c r="M1137" s="26" t="str">
        <f t="shared" si="76"/>
        <v>call</v>
      </c>
      <c r="N1137" s="28">
        <f t="shared" si="77"/>
        <v>46255</v>
      </c>
      <c r="O1137" s="29">
        <f t="shared" si="78"/>
        <v>320</v>
      </c>
    </row>
    <row r="1138" spans="1:15" x14ac:dyDescent="0.45">
      <c r="A1138" s="1" t="s">
        <v>1353</v>
      </c>
      <c r="B1138" s="2">
        <v>45667.602777777778</v>
      </c>
      <c r="C1138" s="3">
        <v>185</v>
      </c>
      <c r="D1138" s="4">
        <v>81.459999999999994</v>
      </c>
      <c r="E1138" s="4">
        <v>82.2</v>
      </c>
      <c r="F1138" s="4">
        <v>82.85</v>
      </c>
      <c r="G1138" s="6">
        <v>0</v>
      </c>
      <c r="H1138" s="7">
        <v>0</v>
      </c>
      <c r="I1138" s="4">
        <v>4</v>
      </c>
      <c r="J1138" s="4">
        <v>24</v>
      </c>
      <c r="K1138" s="5">
        <v>0.42659999999999998</v>
      </c>
      <c r="L1138" s="26" t="b">
        <f t="shared" si="79"/>
        <v>1</v>
      </c>
      <c r="M1138" s="26" t="str">
        <f t="shared" si="76"/>
        <v>call</v>
      </c>
      <c r="N1138" s="28">
        <f t="shared" si="77"/>
        <v>46255</v>
      </c>
      <c r="O1138" s="29">
        <f t="shared" si="78"/>
        <v>320</v>
      </c>
    </row>
    <row r="1139" spans="1:15" x14ac:dyDescent="0.45">
      <c r="A1139" s="1" t="s">
        <v>1354</v>
      </c>
      <c r="B1139" s="2">
        <v>45667.597222222219</v>
      </c>
      <c r="C1139" s="3">
        <v>190</v>
      </c>
      <c r="D1139" s="4">
        <v>77.17</v>
      </c>
      <c r="E1139" s="4">
        <v>77.95</v>
      </c>
      <c r="F1139" s="4">
        <v>78.5</v>
      </c>
      <c r="G1139" s="6">
        <v>0</v>
      </c>
      <c r="H1139" s="7">
        <v>0</v>
      </c>
      <c r="I1139" s="4">
        <v>2</v>
      </c>
      <c r="J1139" s="4">
        <v>34</v>
      </c>
      <c r="K1139" s="5">
        <v>0.41460000000000002</v>
      </c>
      <c r="L1139" s="26" t="b">
        <f t="shared" si="79"/>
        <v>1</v>
      </c>
      <c r="M1139" s="26" t="str">
        <f t="shared" si="76"/>
        <v>call</v>
      </c>
      <c r="N1139" s="28">
        <f t="shared" si="77"/>
        <v>46255</v>
      </c>
      <c r="O1139" s="29">
        <f t="shared" si="78"/>
        <v>320</v>
      </c>
    </row>
    <row r="1140" spans="1:15" x14ac:dyDescent="0.45">
      <c r="A1140" s="1" t="s">
        <v>1355</v>
      </c>
      <c r="B1140" s="2">
        <v>45726.620833333334</v>
      </c>
      <c r="C1140" s="3">
        <v>195</v>
      </c>
      <c r="D1140" s="4">
        <v>74.44</v>
      </c>
      <c r="E1140" s="4">
        <v>73.75</v>
      </c>
      <c r="F1140" s="4">
        <v>74.2</v>
      </c>
      <c r="G1140" s="6">
        <v>0.81</v>
      </c>
      <c r="H1140" s="7">
        <v>1.0999999999999999E-2</v>
      </c>
      <c r="I1140" s="4">
        <v>4</v>
      </c>
      <c r="J1140" s="4">
        <v>59</v>
      </c>
      <c r="K1140" s="5">
        <v>0.40279999999999999</v>
      </c>
      <c r="L1140" s="26" t="b">
        <f t="shared" si="79"/>
        <v>1</v>
      </c>
      <c r="M1140" s="26" t="str">
        <f t="shared" si="76"/>
        <v>call</v>
      </c>
      <c r="N1140" s="28">
        <f t="shared" si="77"/>
        <v>46255</v>
      </c>
      <c r="O1140" s="29">
        <f t="shared" si="78"/>
        <v>320</v>
      </c>
    </row>
    <row r="1141" spans="1:15" x14ac:dyDescent="0.45">
      <c r="A1141" s="1" t="s">
        <v>1356</v>
      </c>
      <c r="B1141" s="2">
        <v>45726.620138888888</v>
      </c>
      <c r="C1141" s="3">
        <v>200</v>
      </c>
      <c r="D1141" s="4">
        <v>70.27</v>
      </c>
      <c r="E1141" s="4">
        <v>69.55</v>
      </c>
      <c r="F1141" s="4">
        <v>70.05</v>
      </c>
      <c r="G1141" s="8">
        <v>0.54</v>
      </c>
      <c r="H1141" s="9">
        <v>7.7000000000000002E-3</v>
      </c>
      <c r="I1141" s="4">
        <v>19</v>
      </c>
      <c r="J1141" s="4">
        <v>131</v>
      </c>
      <c r="K1141" s="5">
        <v>0.39290000000000003</v>
      </c>
      <c r="L1141" s="26" t="b">
        <f t="shared" si="79"/>
        <v>1</v>
      </c>
      <c r="M1141" s="26" t="str">
        <f t="shared" si="76"/>
        <v>call</v>
      </c>
      <c r="N1141" s="28">
        <f t="shared" si="77"/>
        <v>46255</v>
      </c>
      <c r="O1141" s="29">
        <f t="shared" si="78"/>
        <v>320</v>
      </c>
    </row>
    <row r="1142" spans="1:15" x14ac:dyDescent="0.45">
      <c r="A1142" s="1" t="s">
        <v>1357</v>
      </c>
      <c r="B1142" s="2">
        <v>45726.474999999999</v>
      </c>
      <c r="C1142" s="3">
        <v>210</v>
      </c>
      <c r="D1142" s="4">
        <v>62</v>
      </c>
      <c r="E1142" s="4">
        <v>61.5</v>
      </c>
      <c r="F1142" s="4">
        <v>61.9</v>
      </c>
      <c r="G1142" s="6">
        <v>0.13</v>
      </c>
      <c r="H1142" s="7">
        <v>2.0999999999999999E-3</v>
      </c>
      <c r="I1142" s="4">
        <v>8</v>
      </c>
      <c r="J1142" s="4">
        <v>46</v>
      </c>
      <c r="K1142" s="5">
        <v>0.37290000000000001</v>
      </c>
      <c r="L1142" s="26" t="b">
        <f t="shared" si="79"/>
        <v>1</v>
      </c>
      <c r="M1142" s="26" t="str">
        <f t="shared" si="76"/>
        <v>call</v>
      </c>
      <c r="N1142" s="28">
        <f t="shared" si="77"/>
        <v>46255</v>
      </c>
      <c r="O1142" s="29">
        <f t="shared" si="78"/>
        <v>320</v>
      </c>
    </row>
    <row r="1143" spans="1:15" x14ac:dyDescent="0.45">
      <c r="A1143" s="1" t="s">
        <v>1358</v>
      </c>
      <c r="B1143" s="2">
        <v>45726.45416666667</v>
      </c>
      <c r="C1143" s="3">
        <v>220</v>
      </c>
      <c r="D1143" s="4">
        <v>54.2</v>
      </c>
      <c r="E1143" s="4">
        <v>53.8</v>
      </c>
      <c r="F1143" s="4">
        <v>54.2</v>
      </c>
      <c r="G1143" s="6">
        <v>0.48</v>
      </c>
      <c r="H1143" s="7">
        <v>8.8999999999999999E-3</v>
      </c>
      <c r="I1143" s="4">
        <v>4</v>
      </c>
      <c r="J1143" s="4">
        <v>150</v>
      </c>
      <c r="K1143" s="5">
        <v>0.35589999999999999</v>
      </c>
      <c r="L1143" s="26" t="b">
        <f t="shared" si="79"/>
        <v>1</v>
      </c>
      <c r="M1143" s="26" t="str">
        <f t="shared" si="76"/>
        <v>call</v>
      </c>
      <c r="N1143" s="28">
        <f t="shared" si="77"/>
        <v>46255</v>
      </c>
      <c r="O1143" s="29">
        <f t="shared" si="78"/>
        <v>320</v>
      </c>
    </row>
    <row r="1144" spans="1:15" x14ac:dyDescent="0.45">
      <c r="A1144" s="1" t="s">
        <v>1359</v>
      </c>
      <c r="B1144" s="2">
        <v>45726.6</v>
      </c>
      <c r="C1144" s="3">
        <v>230</v>
      </c>
      <c r="D1144" s="4">
        <v>46.98</v>
      </c>
      <c r="E1144" s="4">
        <v>46.5</v>
      </c>
      <c r="F1144" s="4">
        <v>46.9</v>
      </c>
      <c r="G1144" s="8">
        <v>0.2</v>
      </c>
      <c r="H1144" s="9">
        <v>4.3E-3</v>
      </c>
      <c r="I1144" s="4">
        <v>2</v>
      </c>
      <c r="J1144" s="4">
        <v>634</v>
      </c>
      <c r="K1144" s="5">
        <v>0.34</v>
      </c>
      <c r="L1144" s="26" t="b">
        <f t="shared" si="79"/>
        <v>1</v>
      </c>
      <c r="M1144" s="26" t="str">
        <f t="shared" si="76"/>
        <v>call</v>
      </c>
      <c r="N1144" s="28">
        <f t="shared" si="77"/>
        <v>46255</v>
      </c>
      <c r="O1144" s="29">
        <f t="shared" si="78"/>
        <v>320</v>
      </c>
    </row>
    <row r="1145" spans="1:15" x14ac:dyDescent="0.45">
      <c r="A1145" s="1" t="s">
        <v>1360</v>
      </c>
      <c r="B1145" s="2">
        <v>45726.619444444441</v>
      </c>
      <c r="C1145" s="3">
        <v>240</v>
      </c>
      <c r="D1145" s="4">
        <v>40.229999999999997</v>
      </c>
      <c r="E1145" s="4">
        <v>39.65</v>
      </c>
      <c r="F1145" s="4">
        <v>40.049999999999997</v>
      </c>
      <c r="G1145" s="8">
        <v>0.66</v>
      </c>
      <c r="H1145" s="9">
        <v>1.67E-2</v>
      </c>
      <c r="I1145" s="4">
        <v>70</v>
      </c>
      <c r="J1145" s="4">
        <v>437</v>
      </c>
      <c r="K1145" s="5">
        <v>0.32529999999999998</v>
      </c>
      <c r="L1145" s="26" t="b">
        <f t="shared" si="79"/>
        <v>1</v>
      </c>
      <c r="M1145" s="26" t="str">
        <f t="shared" si="76"/>
        <v>call</v>
      </c>
      <c r="N1145" s="28">
        <f t="shared" si="77"/>
        <v>46255</v>
      </c>
      <c r="O1145" s="29">
        <f t="shared" si="78"/>
        <v>320</v>
      </c>
    </row>
    <row r="1146" spans="1:15" x14ac:dyDescent="0.45">
      <c r="A1146" s="1" t="s">
        <v>1361</v>
      </c>
      <c r="B1146" s="2">
        <v>45726.619444444441</v>
      </c>
      <c r="C1146" s="3">
        <v>250</v>
      </c>
      <c r="D1146" s="4">
        <v>33.94</v>
      </c>
      <c r="E1146" s="4">
        <v>33.4</v>
      </c>
      <c r="F1146" s="4">
        <v>33.75</v>
      </c>
      <c r="G1146" s="8">
        <v>0.39</v>
      </c>
      <c r="H1146" s="9">
        <v>1.1599999999999999E-2</v>
      </c>
      <c r="I1146" s="4">
        <v>64</v>
      </c>
      <c r="J1146" s="4">
        <v>891</v>
      </c>
      <c r="K1146" s="5">
        <v>0.31219999999999998</v>
      </c>
      <c r="L1146" s="26" t="b">
        <f t="shared" si="79"/>
        <v>1</v>
      </c>
      <c r="M1146" s="26" t="str">
        <f t="shared" si="76"/>
        <v>call</v>
      </c>
      <c r="N1146" s="28">
        <f t="shared" si="77"/>
        <v>46255</v>
      </c>
      <c r="O1146" s="29">
        <f t="shared" si="78"/>
        <v>320</v>
      </c>
    </row>
    <row r="1147" spans="1:15" x14ac:dyDescent="0.45">
      <c r="A1147" s="11" t="s">
        <v>1362</v>
      </c>
      <c r="B1147" s="12">
        <v>45726.63958333333</v>
      </c>
      <c r="C1147" s="13">
        <v>260</v>
      </c>
      <c r="D1147" s="14">
        <v>27.79</v>
      </c>
      <c r="E1147" s="14">
        <v>27.7</v>
      </c>
      <c r="F1147" s="14">
        <v>27.9</v>
      </c>
      <c r="G1147" s="19">
        <v>0.04</v>
      </c>
      <c r="H1147" s="20">
        <v>1.4E-3</v>
      </c>
      <c r="I1147" s="14">
        <v>87</v>
      </c>
      <c r="J1147" s="17">
        <v>1025</v>
      </c>
      <c r="K1147" s="18">
        <v>0.2989</v>
      </c>
      <c r="L1147" s="26" t="b">
        <f t="shared" si="79"/>
        <v>0</v>
      </c>
      <c r="M1147" s="26" t="str">
        <f t="shared" si="76"/>
        <v>call</v>
      </c>
      <c r="N1147" s="28">
        <f t="shared" si="77"/>
        <v>46255</v>
      </c>
      <c r="O1147" s="29">
        <f t="shared" si="78"/>
        <v>320</v>
      </c>
    </row>
    <row r="1148" spans="1:15" x14ac:dyDescent="0.45">
      <c r="A1148" s="11" t="s">
        <v>1363</v>
      </c>
      <c r="B1148" s="12">
        <v>45726.621527777781</v>
      </c>
      <c r="C1148" s="13">
        <v>270</v>
      </c>
      <c r="D1148" s="14">
        <v>23</v>
      </c>
      <c r="E1148" s="14">
        <v>22.6</v>
      </c>
      <c r="F1148" s="14">
        <v>22.8</v>
      </c>
      <c r="G1148" s="19">
        <v>0.25</v>
      </c>
      <c r="H1148" s="20">
        <v>1.0999999999999999E-2</v>
      </c>
      <c r="I1148" s="14">
        <v>19</v>
      </c>
      <c r="J1148" s="14">
        <v>855</v>
      </c>
      <c r="K1148" s="18">
        <v>0.28820000000000001</v>
      </c>
      <c r="L1148" s="26" t="b">
        <f t="shared" si="79"/>
        <v>0</v>
      </c>
      <c r="M1148" s="26" t="str">
        <f t="shared" si="76"/>
        <v>call</v>
      </c>
      <c r="N1148" s="28">
        <f t="shared" si="77"/>
        <v>46255</v>
      </c>
      <c r="O1148" s="29">
        <f t="shared" si="78"/>
        <v>320</v>
      </c>
    </row>
    <row r="1149" spans="1:15" x14ac:dyDescent="0.45">
      <c r="A1149" s="11" t="s">
        <v>1364</v>
      </c>
      <c r="B1149" s="12">
        <v>45726.629861111112</v>
      </c>
      <c r="C1149" s="13">
        <v>280</v>
      </c>
      <c r="D1149" s="14">
        <v>18.39</v>
      </c>
      <c r="E1149" s="14">
        <v>18.25</v>
      </c>
      <c r="F1149" s="14">
        <v>18.45</v>
      </c>
      <c r="G1149" s="19">
        <v>0.03</v>
      </c>
      <c r="H1149" s="20">
        <v>1.6000000000000001E-3</v>
      </c>
      <c r="I1149" s="14">
        <v>252</v>
      </c>
      <c r="J1149" s="14">
        <v>991</v>
      </c>
      <c r="K1149" s="18">
        <v>0.27989999999999998</v>
      </c>
      <c r="L1149" s="26" t="b">
        <f t="shared" si="79"/>
        <v>0</v>
      </c>
      <c r="M1149" s="26" t="str">
        <f t="shared" ref="M1149:M1212" si="80">IF(MID(A1149,11,1)="C","call","put")</f>
        <v>call</v>
      </c>
      <c r="N1149" s="28">
        <f t="shared" ref="N1149:N1212" si="81">DATE(MID(A1149,5,2)+2000,MID(A1149,7,2),MID(A1149,9,2))</f>
        <v>46255</v>
      </c>
      <c r="O1149" s="29">
        <f t="shared" si="78"/>
        <v>320</v>
      </c>
    </row>
    <row r="1150" spans="1:15" x14ac:dyDescent="0.45">
      <c r="A1150" s="11" t="s">
        <v>1365</v>
      </c>
      <c r="B1150" s="12">
        <v>45726.646527777775</v>
      </c>
      <c r="C1150" s="13">
        <v>290</v>
      </c>
      <c r="D1150" s="14">
        <v>14.65</v>
      </c>
      <c r="E1150" s="14">
        <v>14.5</v>
      </c>
      <c r="F1150" s="14">
        <v>14.7</v>
      </c>
      <c r="G1150" s="19">
        <v>-0.15</v>
      </c>
      <c r="H1150" s="20">
        <v>-1.01E-2</v>
      </c>
      <c r="I1150" s="14">
        <v>51</v>
      </c>
      <c r="J1150" s="14">
        <v>550</v>
      </c>
      <c r="K1150" s="18">
        <v>0.27229999999999999</v>
      </c>
      <c r="L1150" s="26" t="b">
        <f t="shared" si="79"/>
        <v>0</v>
      </c>
      <c r="M1150" s="26" t="str">
        <f t="shared" si="80"/>
        <v>call</v>
      </c>
      <c r="N1150" s="28">
        <f t="shared" si="81"/>
        <v>46255</v>
      </c>
      <c r="O1150" s="29">
        <f t="shared" ref="O1150:O1213" si="82">N1150-DATE(2025,10,5)</f>
        <v>320</v>
      </c>
    </row>
    <row r="1151" spans="1:15" x14ac:dyDescent="0.45">
      <c r="A1151" s="11" t="s">
        <v>1366</v>
      </c>
      <c r="B1151" s="12">
        <v>45726.638194444444</v>
      </c>
      <c r="C1151" s="13">
        <v>300</v>
      </c>
      <c r="D1151" s="14">
        <v>11.6</v>
      </c>
      <c r="E1151" s="14">
        <v>11.45</v>
      </c>
      <c r="F1151" s="14">
        <v>11.65</v>
      </c>
      <c r="G1151" s="19">
        <v>-0.12</v>
      </c>
      <c r="H1151" s="20">
        <v>-1.0200000000000001E-2</v>
      </c>
      <c r="I1151" s="14">
        <v>70</v>
      </c>
      <c r="J1151" s="14">
        <v>400</v>
      </c>
      <c r="K1151" s="18">
        <v>0.26679999999999998</v>
      </c>
      <c r="L1151" s="26" t="b">
        <f t="shared" si="79"/>
        <v>0</v>
      </c>
      <c r="M1151" s="26" t="str">
        <f t="shared" si="80"/>
        <v>call</v>
      </c>
      <c r="N1151" s="28">
        <f t="shared" si="81"/>
        <v>46255</v>
      </c>
      <c r="O1151" s="29">
        <f t="shared" si="82"/>
        <v>320</v>
      </c>
    </row>
    <row r="1152" spans="1:15" x14ac:dyDescent="0.45">
      <c r="A1152" s="11" t="s">
        <v>1367</v>
      </c>
      <c r="B1152" s="12">
        <v>45726.536111111112</v>
      </c>
      <c r="C1152" s="13">
        <v>310</v>
      </c>
      <c r="D1152" s="14">
        <v>9.3000000000000007</v>
      </c>
      <c r="E1152" s="14">
        <v>8.9499999999999993</v>
      </c>
      <c r="F1152" s="14">
        <v>9.15</v>
      </c>
      <c r="G1152" s="15">
        <v>0.12</v>
      </c>
      <c r="H1152" s="16">
        <v>1.3100000000000001E-2</v>
      </c>
      <c r="I1152" s="14">
        <v>7</v>
      </c>
      <c r="J1152" s="17">
        <v>10188</v>
      </c>
      <c r="K1152" s="18">
        <v>0.26229999999999998</v>
      </c>
      <c r="L1152" s="26" t="b">
        <f t="shared" ref="L1152:L1215" si="83">IF(M1152="call",C1152&lt;$P$1,C1152&gt;$P$1)</f>
        <v>0</v>
      </c>
      <c r="M1152" s="26" t="str">
        <f t="shared" si="80"/>
        <v>call</v>
      </c>
      <c r="N1152" s="28">
        <f t="shared" si="81"/>
        <v>46255</v>
      </c>
      <c r="O1152" s="29">
        <f t="shared" si="82"/>
        <v>320</v>
      </c>
    </row>
    <row r="1153" spans="1:15" x14ac:dyDescent="0.45">
      <c r="A1153" s="11" t="s">
        <v>1368</v>
      </c>
      <c r="B1153" s="12">
        <v>45726.48333333333</v>
      </c>
      <c r="C1153" s="13">
        <v>320</v>
      </c>
      <c r="D1153" s="14">
        <v>7.4</v>
      </c>
      <c r="E1153" s="14">
        <v>6.95</v>
      </c>
      <c r="F1153" s="14">
        <v>7.15</v>
      </c>
      <c r="G1153" s="19">
        <v>0.09</v>
      </c>
      <c r="H1153" s="20">
        <v>1.23E-2</v>
      </c>
      <c r="I1153" s="14">
        <v>3</v>
      </c>
      <c r="J1153" s="14">
        <v>149</v>
      </c>
      <c r="K1153" s="18">
        <v>0.25890000000000002</v>
      </c>
      <c r="L1153" s="26" t="b">
        <f t="shared" si="83"/>
        <v>0</v>
      </c>
      <c r="M1153" s="26" t="str">
        <f t="shared" si="80"/>
        <v>call</v>
      </c>
      <c r="N1153" s="28">
        <f t="shared" si="81"/>
        <v>46255</v>
      </c>
      <c r="O1153" s="29">
        <f t="shared" si="82"/>
        <v>320</v>
      </c>
    </row>
    <row r="1154" spans="1:15" x14ac:dyDescent="0.45">
      <c r="A1154" s="11" t="s">
        <v>1369</v>
      </c>
      <c r="B1154" s="12">
        <v>45667.510416666664</v>
      </c>
      <c r="C1154" s="13">
        <v>330</v>
      </c>
      <c r="D1154" s="14">
        <v>5.35</v>
      </c>
      <c r="E1154" s="14">
        <v>5.4</v>
      </c>
      <c r="F1154" s="14">
        <v>5.55</v>
      </c>
      <c r="G1154" s="14">
        <v>0</v>
      </c>
      <c r="H1154" s="18">
        <v>0</v>
      </c>
      <c r="I1154" s="14">
        <v>1</v>
      </c>
      <c r="J1154" s="14">
        <v>120</v>
      </c>
      <c r="K1154" s="18">
        <v>0.25609999999999999</v>
      </c>
      <c r="L1154" s="26" t="b">
        <f t="shared" si="83"/>
        <v>0</v>
      </c>
      <c r="M1154" s="26" t="str">
        <f t="shared" si="80"/>
        <v>call</v>
      </c>
      <c r="N1154" s="28">
        <f t="shared" si="81"/>
        <v>46255</v>
      </c>
      <c r="O1154" s="29">
        <f t="shared" si="82"/>
        <v>320</v>
      </c>
    </row>
    <row r="1155" spans="1:15" x14ac:dyDescent="0.45">
      <c r="A1155" s="11" t="s">
        <v>1370</v>
      </c>
      <c r="B1155" s="12">
        <v>45726.480555555558</v>
      </c>
      <c r="C1155" s="13">
        <v>340</v>
      </c>
      <c r="D1155" s="14">
        <v>4.4000000000000004</v>
      </c>
      <c r="E1155" s="14">
        <v>4.2</v>
      </c>
      <c r="F1155" s="14">
        <v>4.3</v>
      </c>
      <c r="G1155" s="15">
        <v>-0.1</v>
      </c>
      <c r="H1155" s="16">
        <v>-2.2200000000000001E-2</v>
      </c>
      <c r="I1155" s="14">
        <v>3</v>
      </c>
      <c r="J1155" s="14">
        <v>525</v>
      </c>
      <c r="K1155" s="18">
        <v>0.25419999999999998</v>
      </c>
      <c r="L1155" s="26" t="b">
        <f t="shared" si="83"/>
        <v>0</v>
      </c>
      <c r="M1155" s="26" t="str">
        <f t="shared" si="80"/>
        <v>call</v>
      </c>
      <c r="N1155" s="28">
        <f t="shared" si="81"/>
        <v>46255</v>
      </c>
      <c r="O1155" s="29">
        <f t="shared" si="82"/>
        <v>320</v>
      </c>
    </row>
    <row r="1156" spans="1:15" x14ac:dyDescent="0.45">
      <c r="A1156" s="11" t="s">
        <v>1371</v>
      </c>
      <c r="B1156" s="12">
        <v>45726.395833333336</v>
      </c>
      <c r="C1156" s="13">
        <v>350</v>
      </c>
      <c r="D1156" s="14">
        <v>3.3</v>
      </c>
      <c r="E1156" s="14">
        <v>3.25</v>
      </c>
      <c r="F1156" s="14">
        <v>3.35</v>
      </c>
      <c r="G1156" s="14">
        <v>0</v>
      </c>
      <c r="H1156" s="18">
        <v>0</v>
      </c>
      <c r="I1156" s="14">
        <v>2</v>
      </c>
      <c r="J1156" s="14">
        <v>66</v>
      </c>
      <c r="K1156" s="18">
        <v>0.25330000000000003</v>
      </c>
      <c r="L1156" s="26" t="b">
        <f t="shared" si="83"/>
        <v>0</v>
      </c>
      <c r="M1156" s="26" t="str">
        <f t="shared" si="80"/>
        <v>call</v>
      </c>
      <c r="N1156" s="28">
        <f t="shared" si="81"/>
        <v>46255</v>
      </c>
      <c r="O1156" s="29">
        <f t="shared" si="82"/>
        <v>320</v>
      </c>
    </row>
    <row r="1157" spans="1:15" x14ac:dyDescent="0.45">
      <c r="A1157" s="11" t="s">
        <v>1372</v>
      </c>
      <c r="B1157" s="14" t="s">
        <v>1373</v>
      </c>
      <c r="C1157" s="13">
        <v>110</v>
      </c>
      <c r="D1157" s="14">
        <v>0.38</v>
      </c>
      <c r="E1157" s="14">
        <v>0.41</v>
      </c>
      <c r="F1157" s="14">
        <v>0.49</v>
      </c>
      <c r="G1157" s="14">
        <v>0</v>
      </c>
      <c r="H1157" s="18">
        <v>0</v>
      </c>
      <c r="I1157" s="14">
        <v>102</v>
      </c>
      <c r="J1157" s="14">
        <v>149</v>
      </c>
      <c r="K1157" s="18">
        <v>0.44069999999999998</v>
      </c>
      <c r="L1157" s="26" t="b">
        <f t="shared" si="83"/>
        <v>0</v>
      </c>
      <c r="M1157" s="26" t="str">
        <f t="shared" si="80"/>
        <v>put</v>
      </c>
      <c r="N1157" s="28">
        <f t="shared" si="81"/>
        <v>46255</v>
      </c>
      <c r="O1157" s="29">
        <f t="shared" si="82"/>
        <v>320</v>
      </c>
    </row>
    <row r="1158" spans="1:15" x14ac:dyDescent="0.45">
      <c r="A1158" s="11" t="s">
        <v>1374</v>
      </c>
      <c r="B1158" s="14" t="s">
        <v>1375</v>
      </c>
      <c r="C1158" s="13">
        <v>115</v>
      </c>
      <c r="D1158" s="14">
        <v>0.57999999999999996</v>
      </c>
      <c r="E1158" s="14">
        <v>0.48</v>
      </c>
      <c r="F1158" s="14">
        <v>0.56000000000000005</v>
      </c>
      <c r="G1158" s="14">
        <v>0</v>
      </c>
      <c r="H1158" s="18">
        <v>0</v>
      </c>
      <c r="I1158" s="14">
        <v>1</v>
      </c>
      <c r="J1158" s="14">
        <v>20</v>
      </c>
      <c r="K1158" s="18">
        <v>0.42820000000000003</v>
      </c>
      <c r="L1158" s="26" t="b">
        <f t="shared" si="83"/>
        <v>0</v>
      </c>
      <c r="M1158" s="26" t="str">
        <f t="shared" si="80"/>
        <v>put</v>
      </c>
      <c r="N1158" s="28">
        <f t="shared" si="81"/>
        <v>46255</v>
      </c>
      <c r="O1158" s="29">
        <f t="shared" si="82"/>
        <v>320</v>
      </c>
    </row>
    <row r="1159" spans="1:15" x14ac:dyDescent="0.45">
      <c r="A1159" s="11" t="s">
        <v>1376</v>
      </c>
      <c r="B1159" s="14" t="s">
        <v>1377</v>
      </c>
      <c r="C1159" s="13">
        <v>120</v>
      </c>
      <c r="D1159" s="14">
        <v>0.59</v>
      </c>
      <c r="E1159" s="14">
        <v>0.55000000000000004</v>
      </c>
      <c r="F1159" s="14">
        <v>0.64</v>
      </c>
      <c r="G1159" s="14">
        <v>0</v>
      </c>
      <c r="H1159" s="18">
        <v>0</v>
      </c>
      <c r="I1159" s="14">
        <v>1</v>
      </c>
      <c r="J1159" s="14">
        <v>528</v>
      </c>
      <c r="K1159" s="18">
        <v>0.41649999999999998</v>
      </c>
      <c r="L1159" s="26" t="b">
        <f t="shared" si="83"/>
        <v>0</v>
      </c>
      <c r="M1159" s="26" t="str">
        <f t="shared" si="80"/>
        <v>put</v>
      </c>
      <c r="N1159" s="28">
        <f t="shared" si="81"/>
        <v>46255</v>
      </c>
      <c r="O1159" s="29">
        <f t="shared" si="82"/>
        <v>320</v>
      </c>
    </row>
    <row r="1160" spans="1:15" x14ac:dyDescent="0.45">
      <c r="A1160" s="11" t="s">
        <v>1378</v>
      </c>
      <c r="B1160" s="12">
        <v>45667.405555555553</v>
      </c>
      <c r="C1160" s="13">
        <v>125</v>
      </c>
      <c r="D1160" s="14">
        <v>0.67</v>
      </c>
      <c r="E1160" s="14">
        <v>0.66</v>
      </c>
      <c r="F1160" s="14">
        <v>0.74</v>
      </c>
      <c r="G1160" s="14">
        <v>0</v>
      </c>
      <c r="H1160" s="18">
        <v>0</v>
      </c>
      <c r="I1160" s="14">
        <v>10</v>
      </c>
      <c r="J1160" s="14">
        <v>23</v>
      </c>
      <c r="K1160" s="18">
        <v>0.40629999999999999</v>
      </c>
      <c r="L1160" s="26" t="b">
        <f t="shared" si="83"/>
        <v>0</v>
      </c>
      <c r="M1160" s="26" t="str">
        <f t="shared" si="80"/>
        <v>put</v>
      </c>
      <c r="N1160" s="28">
        <f t="shared" si="81"/>
        <v>46255</v>
      </c>
      <c r="O1160" s="29">
        <f t="shared" si="82"/>
        <v>320</v>
      </c>
    </row>
    <row r="1161" spans="1:15" x14ac:dyDescent="0.45">
      <c r="A1161" s="11" t="s">
        <v>1379</v>
      </c>
      <c r="B1161" s="14" t="s">
        <v>1380</v>
      </c>
      <c r="C1161" s="13">
        <v>130</v>
      </c>
      <c r="D1161" s="14">
        <v>0.78</v>
      </c>
      <c r="E1161" s="14">
        <v>0.77</v>
      </c>
      <c r="F1161" s="14">
        <v>0.82</v>
      </c>
      <c r="G1161" s="14">
        <v>0</v>
      </c>
      <c r="H1161" s="18">
        <v>0</v>
      </c>
      <c r="I1161" s="14">
        <v>1</v>
      </c>
      <c r="J1161" s="14">
        <v>23</v>
      </c>
      <c r="K1161" s="18">
        <v>0.39329999999999998</v>
      </c>
      <c r="L1161" s="26" t="b">
        <f t="shared" si="83"/>
        <v>0</v>
      </c>
      <c r="M1161" s="26" t="str">
        <f t="shared" si="80"/>
        <v>put</v>
      </c>
      <c r="N1161" s="28">
        <f t="shared" si="81"/>
        <v>46255</v>
      </c>
      <c r="O1161" s="29">
        <f t="shared" si="82"/>
        <v>320</v>
      </c>
    </row>
    <row r="1162" spans="1:15" x14ac:dyDescent="0.45">
      <c r="A1162" s="11" t="s">
        <v>1381</v>
      </c>
      <c r="B1162" s="14" t="s">
        <v>1382</v>
      </c>
      <c r="C1162" s="13">
        <v>135</v>
      </c>
      <c r="D1162" s="14">
        <v>1.02</v>
      </c>
      <c r="E1162" s="14">
        <v>0.89</v>
      </c>
      <c r="F1162" s="14">
        <v>0.97</v>
      </c>
      <c r="G1162" s="15">
        <v>0</v>
      </c>
      <c r="H1162" s="16">
        <v>0</v>
      </c>
      <c r="I1162" s="14">
        <v>3</v>
      </c>
      <c r="J1162" s="14">
        <v>30</v>
      </c>
      <c r="K1162" s="18">
        <v>0.38550000000000001</v>
      </c>
      <c r="L1162" s="26" t="b">
        <f t="shared" si="83"/>
        <v>0</v>
      </c>
      <c r="M1162" s="26" t="str">
        <f t="shared" si="80"/>
        <v>put</v>
      </c>
      <c r="N1162" s="28">
        <f t="shared" si="81"/>
        <v>46255</v>
      </c>
      <c r="O1162" s="29">
        <f t="shared" si="82"/>
        <v>320</v>
      </c>
    </row>
    <row r="1163" spans="1:15" x14ac:dyDescent="0.45">
      <c r="A1163" s="11" t="s">
        <v>1383</v>
      </c>
      <c r="B1163" s="14" t="s">
        <v>272</v>
      </c>
      <c r="C1163" s="13">
        <v>140</v>
      </c>
      <c r="D1163" s="14">
        <v>1.0900000000000001</v>
      </c>
      <c r="E1163" s="14">
        <v>1.04</v>
      </c>
      <c r="F1163" s="14">
        <v>1.1399999999999999</v>
      </c>
      <c r="G1163" s="14">
        <v>0</v>
      </c>
      <c r="H1163" s="18">
        <v>0</v>
      </c>
      <c r="I1163" s="14">
        <v>1</v>
      </c>
      <c r="J1163" s="14">
        <v>7</v>
      </c>
      <c r="K1163" s="18">
        <v>0.37769999999999998</v>
      </c>
      <c r="L1163" s="26" t="b">
        <f t="shared" si="83"/>
        <v>0</v>
      </c>
      <c r="M1163" s="26" t="str">
        <f t="shared" si="80"/>
        <v>put</v>
      </c>
      <c r="N1163" s="28">
        <f t="shared" si="81"/>
        <v>46255</v>
      </c>
      <c r="O1163" s="29">
        <f t="shared" si="82"/>
        <v>320</v>
      </c>
    </row>
    <row r="1164" spans="1:15" x14ac:dyDescent="0.45">
      <c r="A1164" s="11" t="s">
        <v>1384</v>
      </c>
      <c r="B1164" s="14" t="s">
        <v>1385</v>
      </c>
      <c r="C1164" s="13">
        <v>145</v>
      </c>
      <c r="D1164" s="14">
        <v>1.31</v>
      </c>
      <c r="E1164" s="14">
        <v>1.21</v>
      </c>
      <c r="F1164" s="14">
        <v>1.28</v>
      </c>
      <c r="G1164" s="14">
        <v>0</v>
      </c>
      <c r="H1164" s="18">
        <v>0</v>
      </c>
      <c r="I1164" s="14">
        <v>2</v>
      </c>
      <c r="J1164" s="14">
        <v>16</v>
      </c>
      <c r="K1164" s="18">
        <v>0.3669</v>
      </c>
      <c r="L1164" s="26" t="b">
        <f t="shared" si="83"/>
        <v>0</v>
      </c>
      <c r="M1164" s="26" t="str">
        <f t="shared" si="80"/>
        <v>put</v>
      </c>
      <c r="N1164" s="28">
        <f t="shared" si="81"/>
        <v>46255</v>
      </c>
      <c r="O1164" s="29">
        <f t="shared" si="82"/>
        <v>320</v>
      </c>
    </row>
    <row r="1165" spans="1:15" x14ac:dyDescent="0.45">
      <c r="A1165" s="11" t="s">
        <v>1386</v>
      </c>
      <c r="B1165" s="14" t="s">
        <v>1387</v>
      </c>
      <c r="C1165" s="13">
        <v>150</v>
      </c>
      <c r="D1165" s="14">
        <v>1.4</v>
      </c>
      <c r="E1165" s="14">
        <v>1.41</v>
      </c>
      <c r="F1165" s="14">
        <v>1.47</v>
      </c>
      <c r="G1165" s="14">
        <v>-0.11</v>
      </c>
      <c r="H1165" s="18">
        <v>-7.2800000000000004E-2</v>
      </c>
      <c r="I1165" s="14">
        <v>1</v>
      </c>
      <c r="J1165" s="14">
        <v>40</v>
      </c>
      <c r="K1165" s="18">
        <v>0.35830000000000001</v>
      </c>
      <c r="L1165" s="26" t="b">
        <f t="shared" si="83"/>
        <v>0</v>
      </c>
      <c r="M1165" s="26" t="str">
        <f t="shared" si="80"/>
        <v>put</v>
      </c>
      <c r="N1165" s="28">
        <f t="shared" si="81"/>
        <v>46255</v>
      </c>
      <c r="O1165" s="29">
        <f t="shared" si="82"/>
        <v>320</v>
      </c>
    </row>
    <row r="1166" spans="1:15" x14ac:dyDescent="0.45">
      <c r="A1166" s="11" t="s">
        <v>1388</v>
      </c>
      <c r="B1166" s="12">
        <v>45667.553472222222</v>
      </c>
      <c r="C1166" s="13">
        <v>155</v>
      </c>
      <c r="D1166" s="14">
        <v>1.68</v>
      </c>
      <c r="E1166" s="14">
        <v>1.63</v>
      </c>
      <c r="F1166" s="14">
        <v>1.7</v>
      </c>
      <c r="G1166" s="19">
        <v>0</v>
      </c>
      <c r="H1166" s="20">
        <v>0</v>
      </c>
      <c r="I1166" s="14">
        <v>1</v>
      </c>
      <c r="J1166" s="14">
        <v>104</v>
      </c>
      <c r="K1166" s="18">
        <v>0.35060000000000002</v>
      </c>
      <c r="L1166" s="26" t="b">
        <f t="shared" si="83"/>
        <v>0</v>
      </c>
      <c r="M1166" s="26" t="str">
        <f t="shared" si="80"/>
        <v>put</v>
      </c>
      <c r="N1166" s="28">
        <f t="shared" si="81"/>
        <v>46255</v>
      </c>
      <c r="O1166" s="29">
        <f t="shared" si="82"/>
        <v>320</v>
      </c>
    </row>
    <row r="1167" spans="1:15" x14ac:dyDescent="0.45">
      <c r="A1167" s="11" t="s">
        <v>1389</v>
      </c>
      <c r="B1167" s="12">
        <v>45726.602777777778</v>
      </c>
      <c r="C1167" s="13">
        <v>160</v>
      </c>
      <c r="D1167" s="14">
        <v>1.86</v>
      </c>
      <c r="E1167" s="14">
        <v>1.89</v>
      </c>
      <c r="F1167" s="14">
        <v>1.95</v>
      </c>
      <c r="G1167" s="19">
        <v>-0.05</v>
      </c>
      <c r="H1167" s="20">
        <v>-2.6200000000000001E-2</v>
      </c>
      <c r="I1167" s="14">
        <v>4</v>
      </c>
      <c r="J1167" s="14">
        <v>424</v>
      </c>
      <c r="K1167" s="18">
        <v>0.3427</v>
      </c>
      <c r="L1167" s="26" t="b">
        <f t="shared" si="83"/>
        <v>0</v>
      </c>
      <c r="M1167" s="26" t="str">
        <f t="shared" si="80"/>
        <v>put</v>
      </c>
      <c r="N1167" s="28">
        <f t="shared" si="81"/>
        <v>46255</v>
      </c>
      <c r="O1167" s="29">
        <f t="shared" si="82"/>
        <v>320</v>
      </c>
    </row>
    <row r="1168" spans="1:15" x14ac:dyDescent="0.45">
      <c r="A1168" s="11" t="s">
        <v>1390</v>
      </c>
      <c r="B1168" s="12">
        <v>45726.602777777778</v>
      </c>
      <c r="C1168" s="13">
        <v>165</v>
      </c>
      <c r="D1168" s="14">
        <v>2.2000000000000002</v>
      </c>
      <c r="E1168" s="14">
        <v>2.16</v>
      </c>
      <c r="F1168" s="14">
        <v>2.2400000000000002</v>
      </c>
      <c r="G1168" s="14">
        <v>-0.11</v>
      </c>
      <c r="H1168" s="18">
        <v>-4.7600000000000003E-2</v>
      </c>
      <c r="I1168" s="14">
        <v>2</v>
      </c>
      <c r="J1168" s="14">
        <v>179</v>
      </c>
      <c r="K1168" s="18">
        <v>0.33510000000000001</v>
      </c>
      <c r="L1168" s="26" t="b">
        <f t="shared" si="83"/>
        <v>0</v>
      </c>
      <c r="M1168" s="26" t="str">
        <f t="shared" si="80"/>
        <v>put</v>
      </c>
      <c r="N1168" s="28">
        <f t="shared" si="81"/>
        <v>46255</v>
      </c>
      <c r="O1168" s="29">
        <f t="shared" si="82"/>
        <v>320</v>
      </c>
    </row>
    <row r="1169" spans="1:15" x14ac:dyDescent="0.45">
      <c r="A1169" s="11" t="s">
        <v>1391</v>
      </c>
      <c r="B1169" s="14" t="s">
        <v>1392</v>
      </c>
      <c r="C1169" s="13">
        <v>170</v>
      </c>
      <c r="D1169" s="14">
        <v>2.67</v>
      </c>
      <c r="E1169" s="14">
        <v>2.5</v>
      </c>
      <c r="F1169" s="14">
        <v>2.57</v>
      </c>
      <c r="G1169" s="15">
        <v>0</v>
      </c>
      <c r="H1169" s="16">
        <v>0</v>
      </c>
      <c r="I1169" s="14">
        <v>17</v>
      </c>
      <c r="J1169" s="14">
        <v>463</v>
      </c>
      <c r="K1169" s="18">
        <v>0.32779999999999998</v>
      </c>
      <c r="L1169" s="26" t="b">
        <f t="shared" si="83"/>
        <v>0</v>
      </c>
      <c r="M1169" s="26" t="str">
        <f t="shared" si="80"/>
        <v>put</v>
      </c>
      <c r="N1169" s="28">
        <f t="shared" si="81"/>
        <v>46255</v>
      </c>
      <c r="O1169" s="29">
        <f t="shared" si="82"/>
        <v>320</v>
      </c>
    </row>
    <row r="1170" spans="1:15" x14ac:dyDescent="0.45">
      <c r="A1170" s="11" t="s">
        <v>1393</v>
      </c>
      <c r="B1170" s="12">
        <v>45726.444444444445</v>
      </c>
      <c r="C1170" s="13">
        <v>175</v>
      </c>
      <c r="D1170" s="14">
        <v>2.88</v>
      </c>
      <c r="E1170" s="14">
        <v>2.85</v>
      </c>
      <c r="F1170" s="14">
        <v>2.95</v>
      </c>
      <c r="G1170" s="15">
        <v>-7.0000000000000007E-2</v>
      </c>
      <c r="H1170" s="16">
        <v>-2.3699999999999999E-2</v>
      </c>
      <c r="I1170" s="14">
        <v>1</v>
      </c>
      <c r="J1170" s="14">
        <v>183</v>
      </c>
      <c r="K1170" s="18">
        <v>0.32100000000000001</v>
      </c>
      <c r="L1170" s="26" t="b">
        <f t="shared" si="83"/>
        <v>0</v>
      </c>
      <c r="M1170" s="26" t="str">
        <f t="shared" si="80"/>
        <v>put</v>
      </c>
      <c r="N1170" s="28">
        <f t="shared" si="81"/>
        <v>46255</v>
      </c>
      <c r="O1170" s="29">
        <f t="shared" si="82"/>
        <v>320</v>
      </c>
    </row>
    <row r="1171" spans="1:15" x14ac:dyDescent="0.45">
      <c r="A1171" s="11" t="s">
        <v>1394</v>
      </c>
      <c r="B1171" s="14" t="s">
        <v>1395</v>
      </c>
      <c r="C1171" s="13">
        <v>180</v>
      </c>
      <c r="D1171" s="14">
        <v>3.31</v>
      </c>
      <c r="E1171" s="14">
        <v>3.25</v>
      </c>
      <c r="F1171" s="14">
        <v>3.35</v>
      </c>
      <c r="G1171" s="15">
        <v>-0.16</v>
      </c>
      <c r="H1171" s="16">
        <v>-4.6100000000000002E-2</v>
      </c>
      <c r="I1171" s="14">
        <v>1</v>
      </c>
      <c r="J1171" s="14">
        <v>490</v>
      </c>
      <c r="K1171" s="18">
        <v>0.3135</v>
      </c>
      <c r="L1171" s="26" t="b">
        <f t="shared" si="83"/>
        <v>0</v>
      </c>
      <c r="M1171" s="26" t="str">
        <f t="shared" si="80"/>
        <v>put</v>
      </c>
      <c r="N1171" s="28">
        <f t="shared" si="81"/>
        <v>46255</v>
      </c>
      <c r="O1171" s="29">
        <f t="shared" si="82"/>
        <v>320</v>
      </c>
    </row>
    <row r="1172" spans="1:15" x14ac:dyDescent="0.45">
      <c r="A1172" s="11" t="s">
        <v>1396</v>
      </c>
      <c r="B1172" s="14" t="s">
        <v>1397</v>
      </c>
      <c r="C1172" s="13">
        <v>185</v>
      </c>
      <c r="D1172" s="14">
        <v>3.85</v>
      </c>
      <c r="E1172" s="14">
        <v>3.7</v>
      </c>
      <c r="F1172" s="14">
        <v>3.85</v>
      </c>
      <c r="G1172" s="14">
        <v>0</v>
      </c>
      <c r="H1172" s="18">
        <v>0</v>
      </c>
      <c r="I1172" s="14">
        <v>10</v>
      </c>
      <c r="J1172" s="14">
        <v>117</v>
      </c>
      <c r="K1172" s="18">
        <v>0.30740000000000001</v>
      </c>
      <c r="L1172" s="26" t="b">
        <f t="shared" si="83"/>
        <v>0</v>
      </c>
      <c r="M1172" s="26" t="str">
        <f t="shared" si="80"/>
        <v>put</v>
      </c>
      <c r="N1172" s="28">
        <f t="shared" si="81"/>
        <v>46255</v>
      </c>
      <c r="O1172" s="29">
        <f t="shared" si="82"/>
        <v>320</v>
      </c>
    </row>
    <row r="1173" spans="1:15" x14ac:dyDescent="0.45">
      <c r="A1173" s="11" t="s">
        <v>1398</v>
      </c>
      <c r="B1173" s="12">
        <v>45698.460416666669</v>
      </c>
      <c r="C1173" s="13">
        <v>190</v>
      </c>
      <c r="D1173" s="14">
        <v>4.4000000000000004</v>
      </c>
      <c r="E1173" s="14">
        <v>4.25</v>
      </c>
      <c r="F1173" s="14">
        <v>4.3499999999999996</v>
      </c>
      <c r="G1173" s="15">
        <v>0</v>
      </c>
      <c r="H1173" s="16">
        <v>0</v>
      </c>
      <c r="I1173" s="14">
        <v>23</v>
      </c>
      <c r="J1173" s="14">
        <v>171</v>
      </c>
      <c r="K1173" s="18">
        <v>0.30009999999999998</v>
      </c>
      <c r="L1173" s="26" t="b">
        <f t="shared" si="83"/>
        <v>0</v>
      </c>
      <c r="M1173" s="26" t="str">
        <f t="shared" si="80"/>
        <v>put</v>
      </c>
      <c r="N1173" s="28">
        <f t="shared" si="81"/>
        <v>46255</v>
      </c>
      <c r="O1173" s="29">
        <f t="shared" si="82"/>
        <v>320</v>
      </c>
    </row>
    <row r="1174" spans="1:15" x14ac:dyDescent="0.45">
      <c r="A1174" s="11" t="s">
        <v>1399</v>
      </c>
      <c r="B1174" s="12">
        <v>45698.662499999999</v>
      </c>
      <c r="C1174" s="13">
        <v>195</v>
      </c>
      <c r="D1174" s="14">
        <v>4.9000000000000004</v>
      </c>
      <c r="E1174" s="14">
        <v>4.8499999999999996</v>
      </c>
      <c r="F1174" s="14">
        <v>4.95</v>
      </c>
      <c r="G1174" s="19">
        <v>-0.1</v>
      </c>
      <c r="H1174" s="20">
        <v>-0.02</v>
      </c>
      <c r="I1174" s="14">
        <v>3</v>
      </c>
      <c r="J1174" s="14">
        <v>350</v>
      </c>
      <c r="K1174" s="18">
        <v>0.29360000000000003</v>
      </c>
      <c r="L1174" s="26" t="b">
        <f t="shared" si="83"/>
        <v>0</v>
      </c>
      <c r="M1174" s="26" t="str">
        <f t="shared" si="80"/>
        <v>put</v>
      </c>
      <c r="N1174" s="28">
        <f t="shared" si="81"/>
        <v>46255</v>
      </c>
      <c r="O1174" s="29">
        <f t="shared" si="82"/>
        <v>320</v>
      </c>
    </row>
    <row r="1175" spans="1:15" x14ac:dyDescent="0.45">
      <c r="A1175" s="11" t="s">
        <v>1400</v>
      </c>
      <c r="B1175" s="12">
        <v>45726.426388888889</v>
      </c>
      <c r="C1175" s="13">
        <v>200</v>
      </c>
      <c r="D1175" s="14">
        <v>5.55</v>
      </c>
      <c r="E1175" s="14">
        <v>5.5</v>
      </c>
      <c r="F1175" s="14">
        <v>5.65</v>
      </c>
      <c r="G1175" s="15">
        <v>-0.1</v>
      </c>
      <c r="H1175" s="16">
        <v>-1.77E-2</v>
      </c>
      <c r="I1175" s="14">
        <v>27</v>
      </c>
      <c r="J1175" s="14">
        <v>956</v>
      </c>
      <c r="K1175" s="18">
        <v>0.28789999999999999</v>
      </c>
      <c r="L1175" s="26" t="b">
        <f t="shared" si="83"/>
        <v>0</v>
      </c>
      <c r="M1175" s="26" t="str">
        <f t="shared" si="80"/>
        <v>put</v>
      </c>
      <c r="N1175" s="28">
        <f t="shared" si="81"/>
        <v>46255</v>
      </c>
      <c r="O1175" s="29">
        <f t="shared" si="82"/>
        <v>320</v>
      </c>
    </row>
    <row r="1176" spans="1:15" x14ac:dyDescent="0.45">
      <c r="A1176" s="11" t="s">
        <v>1401</v>
      </c>
      <c r="B1176" s="12">
        <v>45698.477777777778</v>
      </c>
      <c r="C1176" s="13">
        <v>210</v>
      </c>
      <c r="D1176" s="14">
        <v>7.02</v>
      </c>
      <c r="E1176" s="14">
        <v>7.05</v>
      </c>
      <c r="F1176" s="14">
        <v>7.2</v>
      </c>
      <c r="G1176" s="15">
        <v>-0.13</v>
      </c>
      <c r="H1176" s="16">
        <v>-1.8200000000000001E-2</v>
      </c>
      <c r="I1176" s="14">
        <v>1</v>
      </c>
      <c r="J1176" s="14">
        <v>666</v>
      </c>
      <c r="K1176" s="18">
        <v>0.27510000000000001</v>
      </c>
      <c r="L1176" s="26" t="b">
        <f t="shared" si="83"/>
        <v>0</v>
      </c>
      <c r="M1176" s="26" t="str">
        <f t="shared" si="80"/>
        <v>put</v>
      </c>
      <c r="N1176" s="28">
        <f t="shared" si="81"/>
        <v>46255</v>
      </c>
      <c r="O1176" s="29">
        <f t="shared" si="82"/>
        <v>320</v>
      </c>
    </row>
    <row r="1177" spans="1:15" x14ac:dyDescent="0.45">
      <c r="A1177" s="11" t="s">
        <v>1402</v>
      </c>
      <c r="B1177" s="12">
        <v>45726.513194444444</v>
      </c>
      <c r="C1177" s="13">
        <v>220</v>
      </c>
      <c r="D1177" s="14">
        <v>8.93</v>
      </c>
      <c r="E1177" s="14">
        <v>9</v>
      </c>
      <c r="F1177" s="14">
        <v>9.1999999999999993</v>
      </c>
      <c r="G1177" s="15">
        <v>-0.42</v>
      </c>
      <c r="H1177" s="16">
        <v>-4.4900000000000002E-2</v>
      </c>
      <c r="I1177" s="14">
        <v>7</v>
      </c>
      <c r="J1177" s="14">
        <v>760</v>
      </c>
      <c r="K1177" s="18">
        <v>0.26379999999999998</v>
      </c>
      <c r="L1177" s="26" t="b">
        <f t="shared" si="83"/>
        <v>0</v>
      </c>
      <c r="M1177" s="26" t="str">
        <f t="shared" si="80"/>
        <v>put</v>
      </c>
      <c r="N1177" s="28">
        <f t="shared" si="81"/>
        <v>46255</v>
      </c>
      <c r="O1177" s="29">
        <f t="shared" si="82"/>
        <v>320</v>
      </c>
    </row>
    <row r="1178" spans="1:15" x14ac:dyDescent="0.45">
      <c r="A1178" s="11" t="s">
        <v>1403</v>
      </c>
      <c r="B1178" s="12">
        <v>45726.616666666669</v>
      </c>
      <c r="C1178" s="13">
        <v>230</v>
      </c>
      <c r="D1178" s="14">
        <v>11.55</v>
      </c>
      <c r="E1178" s="14">
        <v>11.4</v>
      </c>
      <c r="F1178" s="14">
        <v>11.6</v>
      </c>
      <c r="G1178" s="15">
        <v>-0.03</v>
      </c>
      <c r="H1178" s="16">
        <v>-2.5999999999999999E-3</v>
      </c>
      <c r="I1178" s="14">
        <v>12</v>
      </c>
      <c r="J1178" s="14">
        <v>917</v>
      </c>
      <c r="K1178" s="18">
        <v>0.25219999999999998</v>
      </c>
      <c r="L1178" s="26" t="b">
        <f t="shared" si="83"/>
        <v>0</v>
      </c>
      <c r="M1178" s="26" t="str">
        <f t="shared" si="80"/>
        <v>put</v>
      </c>
      <c r="N1178" s="28">
        <f t="shared" si="81"/>
        <v>46255</v>
      </c>
      <c r="O1178" s="29">
        <f t="shared" si="82"/>
        <v>320</v>
      </c>
    </row>
    <row r="1179" spans="1:15" x14ac:dyDescent="0.45">
      <c r="A1179" s="11" t="s">
        <v>1404</v>
      </c>
      <c r="B1179" s="12">
        <v>45726.625</v>
      </c>
      <c r="C1179" s="13">
        <v>240</v>
      </c>
      <c r="D1179" s="14">
        <v>14.35</v>
      </c>
      <c r="E1179" s="14">
        <v>14.3</v>
      </c>
      <c r="F1179" s="14">
        <v>14.55</v>
      </c>
      <c r="G1179" s="15">
        <v>-0.3</v>
      </c>
      <c r="H1179" s="16">
        <v>-2.0500000000000001E-2</v>
      </c>
      <c r="I1179" s="14">
        <v>22</v>
      </c>
      <c r="J1179" s="14">
        <v>648</v>
      </c>
      <c r="K1179" s="18">
        <v>0.24129999999999999</v>
      </c>
      <c r="L1179" s="26" t="b">
        <f t="shared" si="83"/>
        <v>0</v>
      </c>
      <c r="M1179" s="26" t="str">
        <f t="shared" si="80"/>
        <v>put</v>
      </c>
      <c r="N1179" s="28">
        <f t="shared" si="81"/>
        <v>46255</v>
      </c>
      <c r="O1179" s="29">
        <f t="shared" si="82"/>
        <v>320</v>
      </c>
    </row>
    <row r="1180" spans="1:15" x14ac:dyDescent="0.45">
      <c r="A1180" s="11" t="s">
        <v>1405</v>
      </c>
      <c r="B1180" s="12">
        <v>45726.621527777781</v>
      </c>
      <c r="C1180" s="13">
        <v>250</v>
      </c>
      <c r="D1180" s="14">
        <v>18</v>
      </c>
      <c r="E1180" s="14">
        <v>17.850000000000001</v>
      </c>
      <c r="F1180" s="14">
        <v>18.05</v>
      </c>
      <c r="G1180" s="15">
        <v>-0.5</v>
      </c>
      <c r="H1180" s="16">
        <v>-2.7E-2</v>
      </c>
      <c r="I1180" s="14">
        <v>5</v>
      </c>
      <c r="J1180" s="14">
        <v>67</v>
      </c>
      <c r="K1180" s="18">
        <v>0.23019999999999999</v>
      </c>
      <c r="L1180" s="26" t="b">
        <f t="shared" si="83"/>
        <v>0</v>
      </c>
      <c r="M1180" s="26" t="str">
        <f t="shared" si="80"/>
        <v>put</v>
      </c>
      <c r="N1180" s="28">
        <f t="shared" si="81"/>
        <v>46255</v>
      </c>
      <c r="O1180" s="29">
        <f t="shared" si="82"/>
        <v>320</v>
      </c>
    </row>
    <row r="1181" spans="1:15" x14ac:dyDescent="0.45">
      <c r="A1181" s="1" t="s">
        <v>1406</v>
      </c>
      <c r="B1181" s="2">
        <v>45726.646527777775</v>
      </c>
      <c r="C1181" s="3">
        <v>260</v>
      </c>
      <c r="D1181" s="4">
        <v>22.2</v>
      </c>
      <c r="E1181" s="4">
        <v>22</v>
      </c>
      <c r="F1181" s="4">
        <v>22.2</v>
      </c>
      <c r="G1181" s="8">
        <v>-0.25</v>
      </c>
      <c r="H1181" s="9">
        <v>-1.11E-2</v>
      </c>
      <c r="I1181" s="4">
        <v>12</v>
      </c>
      <c r="J1181" s="4">
        <v>213</v>
      </c>
      <c r="K1181" s="5">
        <v>0.21920000000000001</v>
      </c>
      <c r="L1181" s="26" t="b">
        <f t="shared" si="83"/>
        <v>1</v>
      </c>
      <c r="M1181" s="26" t="str">
        <f t="shared" si="80"/>
        <v>put</v>
      </c>
      <c r="N1181" s="28">
        <f t="shared" si="81"/>
        <v>46255</v>
      </c>
      <c r="O1181" s="29">
        <f t="shared" si="82"/>
        <v>320</v>
      </c>
    </row>
    <row r="1182" spans="1:15" x14ac:dyDescent="0.45">
      <c r="A1182" s="1" t="s">
        <v>1407</v>
      </c>
      <c r="B1182" s="2">
        <v>45726.620833333334</v>
      </c>
      <c r="C1182" s="3">
        <v>270</v>
      </c>
      <c r="D1182" s="4">
        <v>26.84</v>
      </c>
      <c r="E1182" s="4">
        <v>26.8</v>
      </c>
      <c r="F1182" s="4">
        <v>27.1</v>
      </c>
      <c r="G1182" s="8">
        <v>-0.66</v>
      </c>
      <c r="H1182" s="9">
        <v>-2.4E-2</v>
      </c>
      <c r="I1182" s="4">
        <v>45</v>
      </c>
      <c r="J1182" s="4">
        <v>65</v>
      </c>
      <c r="K1182" s="5">
        <v>0.2087</v>
      </c>
      <c r="L1182" s="26" t="b">
        <f t="shared" si="83"/>
        <v>1</v>
      </c>
      <c r="M1182" s="26" t="str">
        <f t="shared" si="80"/>
        <v>put</v>
      </c>
      <c r="N1182" s="28">
        <f t="shared" si="81"/>
        <v>46255</v>
      </c>
      <c r="O1182" s="29">
        <f t="shared" si="82"/>
        <v>320</v>
      </c>
    </row>
    <row r="1183" spans="1:15" x14ac:dyDescent="0.45">
      <c r="A1183" s="1" t="s">
        <v>1408</v>
      </c>
      <c r="B1183" s="2">
        <v>45726.643750000003</v>
      </c>
      <c r="C1183" s="3">
        <v>280</v>
      </c>
      <c r="D1183" s="4">
        <v>32.799999999999997</v>
      </c>
      <c r="E1183" s="4">
        <v>32.450000000000003</v>
      </c>
      <c r="F1183" s="4">
        <v>32.75</v>
      </c>
      <c r="G1183" s="8">
        <v>-0.34</v>
      </c>
      <c r="H1183" s="9">
        <v>-1.03E-2</v>
      </c>
      <c r="I1183" s="4">
        <v>4</v>
      </c>
      <c r="J1183" s="4">
        <v>19</v>
      </c>
      <c r="K1183" s="5">
        <v>0.19789999999999999</v>
      </c>
      <c r="L1183" s="26" t="b">
        <f t="shared" si="83"/>
        <v>1</v>
      </c>
      <c r="M1183" s="26" t="str">
        <f t="shared" si="80"/>
        <v>put</v>
      </c>
      <c r="N1183" s="28">
        <f t="shared" si="81"/>
        <v>46255</v>
      </c>
      <c r="O1183" s="29">
        <f t="shared" si="82"/>
        <v>320</v>
      </c>
    </row>
    <row r="1184" spans="1:15" x14ac:dyDescent="0.45">
      <c r="A1184" s="1" t="s">
        <v>1409</v>
      </c>
      <c r="B1184" s="2">
        <v>45726.645138888889</v>
      </c>
      <c r="C1184" s="3">
        <v>290</v>
      </c>
      <c r="D1184" s="4">
        <v>39.26</v>
      </c>
      <c r="E1184" s="4">
        <v>38.6</v>
      </c>
      <c r="F1184" s="4">
        <v>39.35</v>
      </c>
      <c r="G1184" s="8">
        <v>-0.85</v>
      </c>
      <c r="H1184" s="9">
        <v>-2.12E-2</v>
      </c>
      <c r="I1184" s="4">
        <v>8</v>
      </c>
      <c r="J1184" s="4">
        <v>8</v>
      </c>
      <c r="K1184" s="5">
        <v>0.18890000000000001</v>
      </c>
      <c r="L1184" s="26" t="b">
        <f t="shared" si="83"/>
        <v>1</v>
      </c>
      <c r="M1184" s="26" t="str">
        <f t="shared" si="80"/>
        <v>put</v>
      </c>
      <c r="N1184" s="28">
        <f t="shared" si="81"/>
        <v>46255</v>
      </c>
      <c r="O1184" s="29">
        <f t="shared" si="82"/>
        <v>320</v>
      </c>
    </row>
    <row r="1185" spans="1:15" x14ac:dyDescent="0.45">
      <c r="A1185" s="1" t="s">
        <v>1410</v>
      </c>
      <c r="B1185" s="2">
        <v>45726.400000000001</v>
      </c>
      <c r="C1185" s="3">
        <v>300</v>
      </c>
      <c r="D1185" s="4">
        <v>46.22</v>
      </c>
      <c r="E1185" s="4">
        <v>45.9</v>
      </c>
      <c r="F1185" s="4">
        <v>46.85</v>
      </c>
      <c r="G1185" s="8">
        <v>-1.17</v>
      </c>
      <c r="H1185" s="9">
        <v>-2.47E-2</v>
      </c>
      <c r="I1185" s="4">
        <v>6</v>
      </c>
      <c r="J1185" s="4">
        <v>7</v>
      </c>
      <c r="K1185" s="5">
        <v>0.18179999999999999</v>
      </c>
      <c r="L1185" s="26" t="b">
        <f t="shared" si="83"/>
        <v>1</v>
      </c>
      <c r="M1185" s="26" t="str">
        <f t="shared" si="80"/>
        <v>put</v>
      </c>
      <c r="N1185" s="28">
        <f t="shared" si="81"/>
        <v>46255</v>
      </c>
      <c r="O1185" s="29">
        <f t="shared" si="82"/>
        <v>320</v>
      </c>
    </row>
    <row r="1186" spans="1:15" x14ac:dyDescent="0.45">
      <c r="A1186" s="1" t="s">
        <v>1411</v>
      </c>
      <c r="B1186" s="4" t="s">
        <v>1412</v>
      </c>
      <c r="C1186" s="3">
        <v>310</v>
      </c>
      <c r="D1186" s="4">
        <v>57.6</v>
      </c>
      <c r="E1186" s="4">
        <v>53.9</v>
      </c>
      <c r="F1186" s="4">
        <v>54.85</v>
      </c>
      <c r="G1186" s="8">
        <v>0</v>
      </c>
      <c r="H1186" s="9">
        <v>0</v>
      </c>
      <c r="I1186" s="4">
        <v>2</v>
      </c>
      <c r="J1186" s="4">
        <v>25</v>
      </c>
      <c r="K1186" s="5">
        <v>0.1719</v>
      </c>
      <c r="L1186" s="26" t="b">
        <f t="shared" si="83"/>
        <v>1</v>
      </c>
      <c r="M1186" s="26" t="str">
        <f t="shared" si="80"/>
        <v>put</v>
      </c>
      <c r="N1186" s="28">
        <f t="shared" si="81"/>
        <v>46255</v>
      </c>
      <c r="O1186" s="29">
        <f t="shared" si="82"/>
        <v>320</v>
      </c>
    </row>
    <row r="1187" spans="1:15" x14ac:dyDescent="0.45">
      <c r="A1187" s="1" t="s">
        <v>1413</v>
      </c>
      <c r="B1187" s="4" t="s">
        <v>66</v>
      </c>
      <c r="C1187" s="3">
        <v>320</v>
      </c>
      <c r="D1187" s="4">
        <v>65.099999999999994</v>
      </c>
      <c r="E1187" s="4">
        <v>62.4</v>
      </c>
      <c r="F1187" s="4">
        <v>63.4</v>
      </c>
      <c r="G1187" s="8">
        <v>0</v>
      </c>
      <c r="H1187" s="9">
        <v>0</v>
      </c>
      <c r="I1187" s="4">
        <v>50</v>
      </c>
      <c r="J1187" s="4">
        <v>50</v>
      </c>
      <c r="K1187" s="5">
        <v>0.15959999999999999</v>
      </c>
      <c r="L1187" s="26" t="b">
        <f t="shared" si="83"/>
        <v>1</v>
      </c>
      <c r="M1187" s="26" t="str">
        <f t="shared" si="80"/>
        <v>put</v>
      </c>
      <c r="N1187" s="28">
        <f t="shared" si="81"/>
        <v>46255</v>
      </c>
      <c r="O1187" s="29">
        <f t="shared" si="82"/>
        <v>320</v>
      </c>
    </row>
    <row r="1188" spans="1:15" x14ac:dyDescent="0.45">
      <c r="A1188" s="1" t="s">
        <v>1414</v>
      </c>
      <c r="B1188" s="2">
        <v>45726.488888888889</v>
      </c>
      <c r="C1188" s="3">
        <v>330</v>
      </c>
      <c r="D1188" s="4">
        <v>71.5</v>
      </c>
      <c r="E1188" s="4">
        <v>71.75</v>
      </c>
      <c r="F1188" s="4">
        <v>73</v>
      </c>
      <c r="G1188" s="8">
        <v>-27.65</v>
      </c>
      <c r="H1188" s="9">
        <v>-0.27889999999999998</v>
      </c>
      <c r="I1188" s="4">
        <v>2</v>
      </c>
      <c r="J1188" s="4">
        <v>0</v>
      </c>
      <c r="K1188" s="5">
        <v>0.16420000000000001</v>
      </c>
      <c r="L1188" s="26" t="b">
        <f t="shared" si="83"/>
        <v>1</v>
      </c>
      <c r="M1188" s="26" t="str">
        <f t="shared" si="80"/>
        <v>put</v>
      </c>
      <c r="N1188" s="28">
        <f t="shared" si="81"/>
        <v>46255</v>
      </c>
      <c r="O1188" s="29">
        <f t="shared" si="82"/>
        <v>320</v>
      </c>
    </row>
    <row r="1189" spans="1:15" x14ac:dyDescent="0.45">
      <c r="A1189" s="21" t="s">
        <v>1415</v>
      </c>
      <c r="B1189" s="30">
        <v>45756.663888888892</v>
      </c>
      <c r="C1189" s="23">
        <v>340</v>
      </c>
      <c r="D1189" s="22">
        <v>100.26</v>
      </c>
      <c r="E1189" s="22">
        <v>81.150000000000006</v>
      </c>
      <c r="F1189" s="22">
        <v>82.9</v>
      </c>
      <c r="G1189" s="31">
        <v>0</v>
      </c>
      <c r="H1189" s="32">
        <v>0</v>
      </c>
      <c r="I1189" s="22">
        <v>0</v>
      </c>
      <c r="J1189" s="22">
        <v>0</v>
      </c>
      <c r="K1189" s="24">
        <v>0.17580000000000001</v>
      </c>
      <c r="L1189" s="26" t="b">
        <f t="shared" si="83"/>
        <v>1</v>
      </c>
      <c r="M1189" s="26" t="str">
        <f t="shared" si="80"/>
        <v>put</v>
      </c>
      <c r="N1189" s="28">
        <f t="shared" si="81"/>
        <v>46255</v>
      </c>
      <c r="O1189" s="29">
        <f t="shared" si="82"/>
        <v>320</v>
      </c>
    </row>
    <row r="1190" spans="1:15" x14ac:dyDescent="0.45">
      <c r="A1190" s="1" t="s">
        <v>1416</v>
      </c>
      <c r="B1190" s="2">
        <v>45939.488194444442</v>
      </c>
      <c r="C1190" s="3">
        <v>50</v>
      </c>
      <c r="D1190" s="4">
        <v>178.3</v>
      </c>
      <c r="E1190" s="4">
        <v>208</v>
      </c>
      <c r="F1190" s="4">
        <v>210.7</v>
      </c>
      <c r="G1190" s="4">
        <v>0</v>
      </c>
      <c r="H1190" s="5">
        <v>0</v>
      </c>
      <c r="I1190" s="4">
        <v>4</v>
      </c>
      <c r="J1190" s="4">
        <v>21</v>
      </c>
      <c r="K1190" s="5">
        <v>0.92720000000000002</v>
      </c>
      <c r="L1190" s="26" t="b">
        <f t="shared" si="83"/>
        <v>1</v>
      </c>
      <c r="M1190" s="26" t="str">
        <f t="shared" si="80"/>
        <v>call</v>
      </c>
      <c r="N1190" s="28">
        <f t="shared" si="81"/>
        <v>46283</v>
      </c>
      <c r="O1190" s="29">
        <f t="shared" si="82"/>
        <v>348</v>
      </c>
    </row>
    <row r="1191" spans="1:15" x14ac:dyDescent="0.45">
      <c r="A1191" s="1" t="s">
        <v>1417</v>
      </c>
      <c r="B1191" s="4" t="s">
        <v>1183</v>
      </c>
      <c r="C1191" s="3">
        <v>55</v>
      </c>
      <c r="D1191" s="4">
        <v>199.27</v>
      </c>
      <c r="E1191" s="4">
        <v>203.15</v>
      </c>
      <c r="F1191" s="4">
        <v>206</v>
      </c>
      <c r="G1191" s="4">
        <v>0</v>
      </c>
      <c r="H1191" s="5">
        <v>0</v>
      </c>
      <c r="I1191" s="4">
        <v>25</v>
      </c>
      <c r="J1191" s="4">
        <v>66</v>
      </c>
      <c r="K1191" s="5">
        <v>0.89990000000000003</v>
      </c>
      <c r="L1191" s="26" t="b">
        <f t="shared" si="83"/>
        <v>1</v>
      </c>
      <c r="M1191" s="26" t="str">
        <f t="shared" si="80"/>
        <v>call</v>
      </c>
      <c r="N1191" s="28">
        <f t="shared" si="81"/>
        <v>46283</v>
      </c>
      <c r="O1191" s="29">
        <f t="shared" si="82"/>
        <v>348</v>
      </c>
    </row>
    <row r="1192" spans="1:15" x14ac:dyDescent="0.45">
      <c r="A1192" s="1" t="s">
        <v>1418</v>
      </c>
      <c r="B1192" s="4" t="s">
        <v>1419</v>
      </c>
      <c r="C1192" s="3">
        <v>60</v>
      </c>
      <c r="D1192" s="4">
        <v>167.69</v>
      </c>
      <c r="E1192" s="4">
        <v>196</v>
      </c>
      <c r="F1192" s="4">
        <v>198.65</v>
      </c>
      <c r="G1192" s="4">
        <v>0</v>
      </c>
      <c r="H1192" s="5">
        <v>0</v>
      </c>
      <c r="I1192" s="4">
        <v>0</v>
      </c>
      <c r="J1192" s="4">
        <v>12</v>
      </c>
      <c r="K1192" s="5">
        <v>0.72750000000000004</v>
      </c>
      <c r="L1192" s="26" t="b">
        <f t="shared" si="83"/>
        <v>1</v>
      </c>
      <c r="M1192" s="26" t="str">
        <f t="shared" si="80"/>
        <v>call</v>
      </c>
      <c r="N1192" s="28">
        <f t="shared" si="81"/>
        <v>46283</v>
      </c>
      <c r="O1192" s="29">
        <f t="shared" si="82"/>
        <v>348</v>
      </c>
    </row>
    <row r="1193" spans="1:15" x14ac:dyDescent="0.45">
      <c r="A1193" s="1" t="s">
        <v>1420</v>
      </c>
      <c r="B1193" s="4" t="s">
        <v>1421</v>
      </c>
      <c r="C1193" s="3">
        <v>65</v>
      </c>
      <c r="D1193" s="4">
        <v>164.78</v>
      </c>
      <c r="E1193" s="4">
        <v>191.15</v>
      </c>
      <c r="F1193" s="4">
        <v>193.95</v>
      </c>
      <c r="G1193" s="6">
        <v>0</v>
      </c>
      <c r="H1193" s="7">
        <v>0</v>
      </c>
      <c r="I1193" s="4">
        <v>1</v>
      </c>
      <c r="J1193" s="4">
        <v>1</v>
      </c>
      <c r="K1193" s="5">
        <v>0.7339</v>
      </c>
      <c r="L1193" s="26" t="b">
        <f t="shared" si="83"/>
        <v>1</v>
      </c>
      <c r="M1193" s="26" t="str">
        <f t="shared" si="80"/>
        <v>call</v>
      </c>
      <c r="N1193" s="28">
        <f t="shared" si="81"/>
        <v>46283</v>
      </c>
      <c r="O1193" s="29">
        <f t="shared" si="82"/>
        <v>348</v>
      </c>
    </row>
    <row r="1194" spans="1:15" x14ac:dyDescent="0.45">
      <c r="A1194" s="1" t="s">
        <v>1422</v>
      </c>
      <c r="B1194" s="2">
        <v>45909.446527777778</v>
      </c>
      <c r="C1194" s="3">
        <v>70</v>
      </c>
      <c r="D1194" s="4">
        <v>168.21</v>
      </c>
      <c r="E1194" s="4">
        <v>188.85</v>
      </c>
      <c r="F1194" s="4">
        <v>191.5</v>
      </c>
      <c r="G1194" s="4">
        <v>0</v>
      </c>
      <c r="H1194" s="5">
        <v>0</v>
      </c>
      <c r="I1194" s="4">
        <v>2</v>
      </c>
      <c r="J1194" s="4">
        <v>3</v>
      </c>
      <c r="K1194" s="5">
        <v>0.81489999999999996</v>
      </c>
      <c r="L1194" s="26" t="b">
        <f t="shared" si="83"/>
        <v>1</v>
      </c>
      <c r="M1194" s="26" t="str">
        <f t="shared" si="80"/>
        <v>call</v>
      </c>
      <c r="N1194" s="28">
        <f t="shared" si="81"/>
        <v>46283</v>
      </c>
      <c r="O1194" s="29">
        <f t="shared" si="82"/>
        <v>348</v>
      </c>
    </row>
    <row r="1195" spans="1:15" x14ac:dyDescent="0.45">
      <c r="A1195" s="1" t="s">
        <v>1423</v>
      </c>
      <c r="B1195" s="4" t="s">
        <v>1424</v>
      </c>
      <c r="C1195" s="3">
        <v>75</v>
      </c>
      <c r="D1195" s="4">
        <v>125.2</v>
      </c>
      <c r="E1195" s="4">
        <v>0</v>
      </c>
      <c r="F1195" s="4">
        <v>0</v>
      </c>
      <c r="G1195" s="4">
        <v>0</v>
      </c>
      <c r="H1195" s="5">
        <v>0</v>
      </c>
      <c r="I1195" s="4">
        <v>0</v>
      </c>
      <c r="J1195" s="4">
        <v>0</v>
      </c>
      <c r="K1195" s="5">
        <v>0</v>
      </c>
      <c r="L1195" s="26" t="b">
        <f t="shared" si="83"/>
        <v>1</v>
      </c>
      <c r="M1195" s="26" t="str">
        <f t="shared" si="80"/>
        <v>call</v>
      </c>
      <c r="N1195" s="28">
        <f t="shared" si="81"/>
        <v>46283</v>
      </c>
      <c r="O1195" s="29">
        <f t="shared" si="82"/>
        <v>348</v>
      </c>
    </row>
    <row r="1196" spans="1:15" x14ac:dyDescent="0.45">
      <c r="A1196" s="1" t="s">
        <v>1425</v>
      </c>
      <c r="B1196" s="4" t="s">
        <v>1426</v>
      </c>
      <c r="C1196" s="3">
        <v>80</v>
      </c>
      <c r="D1196" s="4">
        <v>174.5</v>
      </c>
      <c r="E1196" s="4">
        <v>179.35</v>
      </c>
      <c r="F1196" s="4">
        <v>181.9</v>
      </c>
      <c r="G1196" s="6">
        <v>0</v>
      </c>
      <c r="H1196" s="7">
        <v>0</v>
      </c>
      <c r="I1196" s="4">
        <v>82</v>
      </c>
      <c r="J1196" s="4">
        <v>84</v>
      </c>
      <c r="K1196" s="5">
        <v>0.76659999999999995</v>
      </c>
      <c r="L1196" s="26" t="b">
        <f t="shared" si="83"/>
        <v>1</v>
      </c>
      <c r="M1196" s="26" t="str">
        <f t="shared" si="80"/>
        <v>call</v>
      </c>
      <c r="N1196" s="28">
        <f t="shared" si="81"/>
        <v>46283</v>
      </c>
      <c r="O1196" s="29">
        <f t="shared" si="82"/>
        <v>348</v>
      </c>
    </row>
    <row r="1197" spans="1:15" x14ac:dyDescent="0.45">
      <c r="A1197" s="1" t="s">
        <v>1427</v>
      </c>
      <c r="B1197" s="4" t="s">
        <v>1428</v>
      </c>
      <c r="C1197" s="3">
        <v>85</v>
      </c>
      <c r="D1197" s="4">
        <v>158.77000000000001</v>
      </c>
      <c r="E1197" s="4">
        <v>174.7</v>
      </c>
      <c r="F1197" s="4">
        <v>177.2</v>
      </c>
      <c r="G1197" s="4">
        <v>0</v>
      </c>
      <c r="H1197" s="5">
        <v>0</v>
      </c>
      <c r="I1197" s="4">
        <v>1</v>
      </c>
      <c r="J1197" s="4">
        <v>29</v>
      </c>
      <c r="K1197" s="5">
        <v>0.74929999999999997</v>
      </c>
      <c r="L1197" s="26" t="b">
        <f t="shared" si="83"/>
        <v>1</v>
      </c>
      <c r="M1197" s="26" t="str">
        <f t="shared" si="80"/>
        <v>call</v>
      </c>
      <c r="N1197" s="28">
        <f t="shared" si="81"/>
        <v>46283</v>
      </c>
      <c r="O1197" s="29">
        <f t="shared" si="82"/>
        <v>348</v>
      </c>
    </row>
    <row r="1198" spans="1:15" x14ac:dyDescent="0.45">
      <c r="A1198" s="1" t="s">
        <v>1429</v>
      </c>
      <c r="B1198" s="4" t="s">
        <v>1430</v>
      </c>
      <c r="C1198" s="3">
        <v>90</v>
      </c>
      <c r="D1198" s="4">
        <v>170</v>
      </c>
      <c r="E1198" s="4">
        <v>169.75</v>
      </c>
      <c r="F1198" s="4">
        <v>172.3</v>
      </c>
      <c r="G1198" s="6">
        <v>0</v>
      </c>
      <c r="H1198" s="7">
        <v>0</v>
      </c>
      <c r="I1198" s="4">
        <v>1</v>
      </c>
      <c r="J1198" s="4">
        <v>12</v>
      </c>
      <c r="K1198" s="5">
        <v>0.71799999999999997</v>
      </c>
      <c r="L1198" s="26" t="b">
        <f t="shared" si="83"/>
        <v>1</v>
      </c>
      <c r="M1198" s="26" t="str">
        <f t="shared" si="80"/>
        <v>call</v>
      </c>
      <c r="N1198" s="28">
        <f t="shared" si="81"/>
        <v>46283</v>
      </c>
      <c r="O1198" s="29">
        <f t="shared" si="82"/>
        <v>348</v>
      </c>
    </row>
    <row r="1199" spans="1:15" x14ac:dyDescent="0.45">
      <c r="A1199" s="1" t="s">
        <v>1431</v>
      </c>
      <c r="B1199" s="2">
        <v>45969.628472222219</v>
      </c>
      <c r="C1199" s="3">
        <v>95</v>
      </c>
      <c r="D1199" s="4">
        <v>136.5</v>
      </c>
      <c r="E1199" s="4">
        <v>162.5</v>
      </c>
      <c r="F1199" s="4">
        <v>165.3</v>
      </c>
      <c r="G1199" s="6">
        <v>0</v>
      </c>
      <c r="H1199" s="7">
        <v>0</v>
      </c>
      <c r="I1199" s="4">
        <v>8</v>
      </c>
      <c r="J1199" s="4">
        <v>13</v>
      </c>
      <c r="K1199" s="5">
        <v>0.5363</v>
      </c>
      <c r="L1199" s="26" t="b">
        <f t="shared" si="83"/>
        <v>1</v>
      </c>
      <c r="M1199" s="26" t="str">
        <f t="shared" si="80"/>
        <v>call</v>
      </c>
      <c r="N1199" s="28">
        <f t="shared" si="81"/>
        <v>46283</v>
      </c>
      <c r="O1199" s="29">
        <f t="shared" si="82"/>
        <v>348</v>
      </c>
    </row>
    <row r="1200" spans="1:15" x14ac:dyDescent="0.45">
      <c r="A1200" s="1" t="s">
        <v>1432</v>
      </c>
      <c r="B1200" s="2">
        <v>45667.415972222225</v>
      </c>
      <c r="C1200" s="3">
        <v>100</v>
      </c>
      <c r="D1200" s="4">
        <v>160.1</v>
      </c>
      <c r="E1200" s="4">
        <v>160.4</v>
      </c>
      <c r="F1200" s="4">
        <v>162.65</v>
      </c>
      <c r="G1200" s="6">
        <v>0</v>
      </c>
      <c r="H1200" s="7">
        <v>0</v>
      </c>
      <c r="I1200" s="4">
        <v>400</v>
      </c>
      <c r="J1200" s="4">
        <v>188</v>
      </c>
      <c r="K1200" s="5">
        <v>0.67710000000000004</v>
      </c>
      <c r="L1200" s="26" t="b">
        <f t="shared" si="83"/>
        <v>1</v>
      </c>
      <c r="M1200" s="26" t="str">
        <f t="shared" si="80"/>
        <v>call</v>
      </c>
      <c r="N1200" s="28">
        <f t="shared" si="81"/>
        <v>46283</v>
      </c>
      <c r="O1200" s="29">
        <f t="shared" si="82"/>
        <v>348</v>
      </c>
    </row>
    <row r="1201" spans="1:15" x14ac:dyDescent="0.45">
      <c r="A1201" s="1" t="s">
        <v>1433</v>
      </c>
      <c r="B1201" s="2">
        <v>45785.660416666666</v>
      </c>
      <c r="C1201" s="3">
        <v>105</v>
      </c>
      <c r="D1201" s="4">
        <v>102.78</v>
      </c>
      <c r="E1201" s="4">
        <v>153</v>
      </c>
      <c r="F1201" s="4">
        <v>155.80000000000001</v>
      </c>
      <c r="G1201" s="6">
        <v>0</v>
      </c>
      <c r="H1201" s="7">
        <v>0</v>
      </c>
      <c r="I1201" s="4">
        <v>1</v>
      </c>
      <c r="J1201" s="4">
        <v>14</v>
      </c>
      <c r="K1201" s="5">
        <v>0.52810000000000001</v>
      </c>
      <c r="L1201" s="26" t="b">
        <f t="shared" si="83"/>
        <v>1</v>
      </c>
      <c r="M1201" s="26" t="str">
        <f t="shared" si="80"/>
        <v>call</v>
      </c>
      <c r="N1201" s="28">
        <f t="shared" si="81"/>
        <v>46283</v>
      </c>
      <c r="O1201" s="29">
        <f t="shared" si="82"/>
        <v>348</v>
      </c>
    </row>
    <row r="1202" spans="1:15" x14ac:dyDescent="0.45">
      <c r="A1202" s="1" t="s">
        <v>1434</v>
      </c>
      <c r="B1202" s="2">
        <v>45697.48541666667</v>
      </c>
      <c r="C1202" s="3">
        <v>110</v>
      </c>
      <c r="D1202" s="4">
        <v>122</v>
      </c>
      <c r="E1202" s="4">
        <v>150.65</v>
      </c>
      <c r="F1202" s="4">
        <v>153.25</v>
      </c>
      <c r="G1202" s="6">
        <v>0</v>
      </c>
      <c r="H1202" s="7">
        <v>0</v>
      </c>
      <c r="I1202" s="4">
        <v>5</v>
      </c>
      <c r="J1202" s="4">
        <v>18</v>
      </c>
      <c r="K1202" s="5">
        <v>0.63449999999999995</v>
      </c>
      <c r="L1202" s="26" t="b">
        <f t="shared" si="83"/>
        <v>1</v>
      </c>
      <c r="M1202" s="26" t="str">
        <f t="shared" si="80"/>
        <v>call</v>
      </c>
      <c r="N1202" s="28">
        <f t="shared" si="81"/>
        <v>46283</v>
      </c>
      <c r="O1202" s="29">
        <f t="shared" si="82"/>
        <v>348</v>
      </c>
    </row>
    <row r="1203" spans="1:15" x14ac:dyDescent="0.45">
      <c r="A1203" s="1" t="s">
        <v>1435</v>
      </c>
      <c r="B1203" s="2">
        <v>45939.554861111108</v>
      </c>
      <c r="C1203" s="3">
        <v>115</v>
      </c>
      <c r="D1203" s="4">
        <v>117.5</v>
      </c>
      <c r="E1203" s="4">
        <v>145.9</v>
      </c>
      <c r="F1203" s="4">
        <v>148.35</v>
      </c>
      <c r="G1203" s="6">
        <v>0</v>
      </c>
      <c r="H1203" s="7">
        <v>0</v>
      </c>
      <c r="I1203" s="4">
        <v>5</v>
      </c>
      <c r="J1203" s="4">
        <v>28</v>
      </c>
      <c r="K1203" s="5">
        <v>0.61250000000000004</v>
      </c>
      <c r="L1203" s="26" t="b">
        <f t="shared" si="83"/>
        <v>1</v>
      </c>
      <c r="M1203" s="26" t="str">
        <f t="shared" si="80"/>
        <v>call</v>
      </c>
      <c r="N1203" s="28">
        <f t="shared" si="81"/>
        <v>46283</v>
      </c>
      <c r="O1203" s="29">
        <f t="shared" si="82"/>
        <v>348</v>
      </c>
    </row>
    <row r="1204" spans="1:15" x14ac:dyDescent="0.45">
      <c r="A1204" s="1" t="s">
        <v>1436</v>
      </c>
      <c r="B1204" s="4" t="s">
        <v>1437</v>
      </c>
      <c r="C1204" s="3">
        <v>120</v>
      </c>
      <c r="D1204" s="4">
        <v>121.92</v>
      </c>
      <c r="E1204" s="4">
        <v>141.30000000000001</v>
      </c>
      <c r="F1204" s="4">
        <v>143.9</v>
      </c>
      <c r="G1204" s="6">
        <v>0</v>
      </c>
      <c r="H1204" s="7">
        <v>0</v>
      </c>
      <c r="I1204" s="4">
        <v>1</v>
      </c>
      <c r="J1204" s="4">
        <v>10</v>
      </c>
      <c r="K1204" s="5">
        <v>0.60189999999999999</v>
      </c>
      <c r="L1204" s="26" t="b">
        <f t="shared" si="83"/>
        <v>1</v>
      </c>
      <c r="M1204" s="26" t="str">
        <f t="shared" si="80"/>
        <v>call</v>
      </c>
      <c r="N1204" s="28">
        <f t="shared" si="81"/>
        <v>46283</v>
      </c>
      <c r="O1204" s="29">
        <f t="shared" si="82"/>
        <v>348</v>
      </c>
    </row>
    <row r="1205" spans="1:15" x14ac:dyDescent="0.45">
      <c r="A1205" s="1" t="s">
        <v>1438</v>
      </c>
      <c r="B1205" s="4" t="s">
        <v>1439</v>
      </c>
      <c r="C1205" s="3">
        <v>125</v>
      </c>
      <c r="D1205" s="4">
        <v>136.47</v>
      </c>
      <c r="E1205" s="4">
        <v>137.1</v>
      </c>
      <c r="F1205" s="4">
        <v>139</v>
      </c>
      <c r="G1205" s="6">
        <v>0</v>
      </c>
      <c r="H1205" s="7">
        <v>0</v>
      </c>
      <c r="I1205" s="4">
        <v>3</v>
      </c>
      <c r="J1205" s="4">
        <v>602</v>
      </c>
      <c r="K1205" s="5">
        <v>0.5897</v>
      </c>
      <c r="L1205" s="26" t="b">
        <f t="shared" si="83"/>
        <v>1</v>
      </c>
      <c r="M1205" s="26" t="str">
        <f t="shared" si="80"/>
        <v>call</v>
      </c>
      <c r="N1205" s="28">
        <f t="shared" si="81"/>
        <v>46283</v>
      </c>
      <c r="O1205" s="29">
        <f t="shared" si="82"/>
        <v>348</v>
      </c>
    </row>
    <row r="1206" spans="1:15" x14ac:dyDescent="0.45">
      <c r="A1206" s="1" t="s">
        <v>1440</v>
      </c>
      <c r="B1206" s="4" t="s">
        <v>1063</v>
      </c>
      <c r="C1206" s="3">
        <v>130</v>
      </c>
      <c r="D1206" s="4">
        <v>131.35</v>
      </c>
      <c r="E1206" s="4">
        <v>132.15</v>
      </c>
      <c r="F1206" s="4">
        <v>134.35</v>
      </c>
      <c r="G1206" s="6">
        <v>0</v>
      </c>
      <c r="H1206" s="7">
        <v>0</v>
      </c>
      <c r="I1206" s="4">
        <v>1</v>
      </c>
      <c r="J1206" s="4">
        <v>14</v>
      </c>
      <c r="K1206" s="5">
        <v>0.56920000000000004</v>
      </c>
      <c r="L1206" s="26" t="b">
        <f t="shared" si="83"/>
        <v>1</v>
      </c>
      <c r="M1206" s="26" t="str">
        <f t="shared" si="80"/>
        <v>call</v>
      </c>
      <c r="N1206" s="28">
        <f t="shared" si="81"/>
        <v>46283</v>
      </c>
      <c r="O1206" s="29">
        <f t="shared" si="82"/>
        <v>348</v>
      </c>
    </row>
    <row r="1207" spans="1:15" x14ac:dyDescent="0.45">
      <c r="A1207" s="1" t="s">
        <v>1441</v>
      </c>
      <c r="B1207" s="2">
        <v>45726.512499999997</v>
      </c>
      <c r="C1207" s="3">
        <v>135</v>
      </c>
      <c r="D1207" s="4">
        <v>129.66999999999999</v>
      </c>
      <c r="E1207" s="4">
        <v>127.2</v>
      </c>
      <c r="F1207" s="4">
        <v>129.85</v>
      </c>
      <c r="G1207" s="8">
        <v>22.82</v>
      </c>
      <c r="H1207" s="9">
        <v>0.21360000000000001</v>
      </c>
      <c r="I1207" s="4">
        <v>6</v>
      </c>
      <c r="J1207" s="4">
        <v>8</v>
      </c>
      <c r="K1207" s="5">
        <v>0.5514</v>
      </c>
      <c r="L1207" s="26" t="b">
        <f t="shared" si="83"/>
        <v>1</v>
      </c>
      <c r="M1207" s="26" t="str">
        <f t="shared" si="80"/>
        <v>call</v>
      </c>
      <c r="N1207" s="28">
        <f t="shared" si="81"/>
        <v>46283</v>
      </c>
      <c r="O1207" s="29">
        <f t="shared" si="82"/>
        <v>348</v>
      </c>
    </row>
    <row r="1208" spans="1:15" x14ac:dyDescent="0.45">
      <c r="A1208" s="1" t="s">
        <v>1442</v>
      </c>
      <c r="B1208" s="4" t="s">
        <v>1443</v>
      </c>
      <c r="C1208" s="3">
        <v>140</v>
      </c>
      <c r="D1208" s="4">
        <v>110.81</v>
      </c>
      <c r="E1208" s="4">
        <v>122.85</v>
      </c>
      <c r="F1208" s="4">
        <v>124.75</v>
      </c>
      <c r="G1208" s="6">
        <v>0</v>
      </c>
      <c r="H1208" s="7">
        <v>0</v>
      </c>
      <c r="I1208" s="4">
        <v>1</v>
      </c>
      <c r="J1208" s="4">
        <v>39</v>
      </c>
      <c r="K1208" s="5">
        <v>0.53380000000000005</v>
      </c>
      <c r="L1208" s="26" t="b">
        <f t="shared" si="83"/>
        <v>1</v>
      </c>
      <c r="M1208" s="26" t="str">
        <f t="shared" si="80"/>
        <v>call</v>
      </c>
      <c r="N1208" s="28">
        <f t="shared" si="81"/>
        <v>46283</v>
      </c>
      <c r="O1208" s="29">
        <f t="shared" si="82"/>
        <v>348</v>
      </c>
    </row>
    <row r="1209" spans="1:15" x14ac:dyDescent="0.45">
      <c r="A1209" s="1" t="s">
        <v>1444</v>
      </c>
      <c r="B1209" s="4" t="s">
        <v>1445</v>
      </c>
      <c r="C1209" s="3">
        <v>145</v>
      </c>
      <c r="D1209" s="4">
        <v>110.2</v>
      </c>
      <c r="E1209" s="4">
        <v>118.55</v>
      </c>
      <c r="F1209" s="4">
        <v>120.1</v>
      </c>
      <c r="G1209" s="6">
        <v>0</v>
      </c>
      <c r="H1209" s="7">
        <v>0</v>
      </c>
      <c r="I1209" s="4">
        <v>2</v>
      </c>
      <c r="J1209" s="4">
        <v>30</v>
      </c>
      <c r="K1209" s="5">
        <v>0.52290000000000003</v>
      </c>
      <c r="L1209" s="26" t="b">
        <f t="shared" si="83"/>
        <v>1</v>
      </c>
      <c r="M1209" s="26" t="str">
        <f t="shared" si="80"/>
        <v>call</v>
      </c>
      <c r="N1209" s="28">
        <f t="shared" si="81"/>
        <v>46283</v>
      </c>
      <c r="O1209" s="29">
        <f t="shared" si="82"/>
        <v>348</v>
      </c>
    </row>
    <row r="1210" spans="1:15" x14ac:dyDescent="0.45">
      <c r="A1210" s="1" t="s">
        <v>1446</v>
      </c>
      <c r="B1210" s="2">
        <v>45667.443055555559</v>
      </c>
      <c r="C1210" s="3">
        <v>150</v>
      </c>
      <c r="D1210" s="4">
        <v>112.5</v>
      </c>
      <c r="E1210" s="4">
        <v>113.6</v>
      </c>
      <c r="F1210" s="4">
        <v>115.85</v>
      </c>
      <c r="G1210" s="8">
        <v>0</v>
      </c>
      <c r="H1210" s="9">
        <v>0</v>
      </c>
      <c r="I1210" s="4">
        <v>2</v>
      </c>
      <c r="J1210" s="4">
        <v>54</v>
      </c>
      <c r="K1210" s="5">
        <v>0.50839999999999996</v>
      </c>
      <c r="L1210" s="26" t="b">
        <f t="shared" si="83"/>
        <v>1</v>
      </c>
      <c r="M1210" s="26" t="str">
        <f t="shared" si="80"/>
        <v>call</v>
      </c>
      <c r="N1210" s="28">
        <f t="shared" si="81"/>
        <v>46283</v>
      </c>
      <c r="O1210" s="29">
        <f t="shared" si="82"/>
        <v>348</v>
      </c>
    </row>
    <row r="1211" spans="1:15" x14ac:dyDescent="0.45">
      <c r="A1211" s="1" t="s">
        <v>1447</v>
      </c>
      <c r="B1211" s="4" t="s">
        <v>1448</v>
      </c>
      <c r="C1211" s="3">
        <v>155</v>
      </c>
      <c r="D1211" s="4">
        <v>109.95</v>
      </c>
      <c r="E1211" s="4">
        <v>109</v>
      </c>
      <c r="F1211" s="4">
        <v>110.9</v>
      </c>
      <c r="G1211" s="8">
        <v>2.95</v>
      </c>
      <c r="H1211" s="9">
        <v>2.76E-2</v>
      </c>
      <c r="I1211" s="4">
        <v>2</v>
      </c>
      <c r="J1211" s="4">
        <v>45</v>
      </c>
      <c r="K1211" s="5">
        <v>0.51129999999999998</v>
      </c>
      <c r="L1211" s="26" t="b">
        <f t="shared" si="83"/>
        <v>1</v>
      </c>
      <c r="M1211" s="26" t="str">
        <f t="shared" si="80"/>
        <v>call</v>
      </c>
      <c r="N1211" s="28">
        <f t="shared" si="81"/>
        <v>46283</v>
      </c>
      <c r="O1211" s="29">
        <f t="shared" si="82"/>
        <v>348</v>
      </c>
    </row>
    <row r="1212" spans="1:15" x14ac:dyDescent="0.45">
      <c r="A1212" s="1" t="s">
        <v>1449</v>
      </c>
      <c r="B1212" s="4" t="s">
        <v>1450</v>
      </c>
      <c r="C1212" s="3">
        <v>160</v>
      </c>
      <c r="D1212" s="4">
        <v>100.2</v>
      </c>
      <c r="E1212" s="4">
        <v>104.55</v>
      </c>
      <c r="F1212" s="4">
        <v>106.65</v>
      </c>
      <c r="G1212" s="8">
        <v>0</v>
      </c>
      <c r="H1212" s="9">
        <v>0</v>
      </c>
      <c r="I1212" s="4">
        <v>5</v>
      </c>
      <c r="J1212" s="4">
        <v>93</v>
      </c>
      <c r="K1212" s="5">
        <v>0.50290000000000001</v>
      </c>
      <c r="L1212" s="26" t="b">
        <f t="shared" si="83"/>
        <v>1</v>
      </c>
      <c r="M1212" s="26" t="str">
        <f t="shared" si="80"/>
        <v>call</v>
      </c>
      <c r="N1212" s="28">
        <f t="shared" si="81"/>
        <v>46283</v>
      </c>
      <c r="O1212" s="29">
        <f t="shared" si="82"/>
        <v>348</v>
      </c>
    </row>
    <row r="1213" spans="1:15" x14ac:dyDescent="0.45">
      <c r="A1213" s="1" t="s">
        <v>1451</v>
      </c>
      <c r="B1213" s="2">
        <v>45726.477777777778</v>
      </c>
      <c r="C1213" s="3">
        <v>165</v>
      </c>
      <c r="D1213" s="4">
        <v>101.4</v>
      </c>
      <c r="E1213" s="4">
        <v>100.55</v>
      </c>
      <c r="F1213" s="4">
        <v>101.75</v>
      </c>
      <c r="G1213" s="6">
        <v>2.5499999999999998</v>
      </c>
      <c r="H1213" s="7">
        <v>2.58E-2</v>
      </c>
      <c r="I1213" s="4">
        <v>1</v>
      </c>
      <c r="J1213" s="4">
        <v>101</v>
      </c>
      <c r="K1213" s="5">
        <v>0.48089999999999999</v>
      </c>
      <c r="L1213" s="26" t="b">
        <f t="shared" si="83"/>
        <v>1</v>
      </c>
      <c r="M1213" s="26" t="str">
        <f t="shared" ref="M1213:M1276" si="84">IF(MID(A1213,11,1)="C","call","put")</f>
        <v>call</v>
      </c>
      <c r="N1213" s="28">
        <f t="shared" ref="N1213:N1276" si="85">DATE(MID(A1213,5,2)+2000,MID(A1213,7,2),MID(A1213,9,2))</f>
        <v>46283</v>
      </c>
      <c r="O1213" s="29">
        <f t="shared" si="82"/>
        <v>348</v>
      </c>
    </row>
    <row r="1214" spans="1:15" x14ac:dyDescent="0.45">
      <c r="A1214" s="1" t="s">
        <v>1452</v>
      </c>
      <c r="B1214" s="2">
        <v>45726.61041666667</v>
      </c>
      <c r="C1214" s="3">
        <v>170</v>
      </c>
      <c r="D1214" s="4">
        <v>96.78</v>
      </c>
      <c r="E1214" s="4">
        <v>96.15</v>
      </c>
      <c r="F1214" s="4">
        <v>97</v>
      </c>
      <c r="G1214" s="6">
        <v>3.17</v>
      </c>
      <c r="H1214" s="7">
        <v>3.39E-2</v>
      </c>
      <c r="I1214" s="4">
        <v>6</v>
      </c>
      <c r="J1214" s="4">
        <v>142</v>
      </c>
      <c r="K1214" s="5">
        <v>0.4622</v>
      </c>
      <c r="L1214" s="26" t="b">
        <f t="shared" si="83"/>
        <v>1</v>
      </c>
      <c r="M1214" s="26" t="str">
        <f t="shared" si="84"/>
        <v>call</v>
      </c>
      <c r="N1214" s="28">
        <f t="shared" si="85"/>
        <v>46283</v>
      </c>
      <c r="O1214" s="29">
        <f t="shared" ref="O1214:O1277" si="86">N1214-DATE(2025,10,5)</f>
        <v>348</v>
      </c>
    </row>
    <row r="1215" spans="1:15" x14ac:dyDescent="0.45">
      <c r="A1215" s="1" t="s">
        <v>1453</v>
      </c>
      <c r="B1215" s="2">
        <v>45667.606249999997</v>
      </c>
      <c r="C1215" s="3">
        <v>175</v>
      </c>
      <c r="D1215" s="4">
        <v>90.7</v>
      </c>
      <c r="E1215" s="4">
        <v>91.7</v>
      </c>
      <c r="F1215" s="4">
        <v>92.6</v>
      </c>
      <c r="G1215" s="6">
        <v>0</v>
      </c>
      <c r="H1215" s="7">
        <v>0</v>
      </c>
      <c r="I1215" s="4">
        <v>4</v>
      </c>
      <c r="J1215" s="4">
        <v>177</v>
      </c>
      <c r="K1215" s="5">
        <v>0.45019999999999999</v>
      </c>
      <c r="L1215" s="26" t="b">
        <f t="shared" si="83"/>
        <v>1</v>
      </c>
      <c r="M1215" s="26" t="str">
        <f t="shared" si="84"/>
        <v>call</v>
      </c>
      <c r="N1215" s="28">
        <f t="shared" si="85"/>
        <v>46283</v>
      </c>
      <c r="O1215" s="29">
        <f t="shared" si="86"/>
        <v>348</v>
      </c>
    </row>
    <row r="1216" spans="1:15" x14ac:dyDescent="0.45">
      <c r="A1216" s="1" t="s">
        <v>1454</v>
      </c>
      <c r="B1216" s="2">
        <v>45698.447916666664</v>
      </c>
      <c r="C1216" s="3">
        <v>180</v>
      </c>
      <c r="D1216" s="4">
        <v>86.62</v>
      </c>
      <c r="E1216" s="4">
        <v>87.35</v>
      </c>
      <c r="F1216" s="4">
        <v>88.15</v>
      </c>
      <c r="G1216" s="6">
        <v>0</v>
      </c>
      <c r="H1216" s="7">
        <v>0</v>
      </c>
      <c r="I1216" s="4">
        <v>1</v>
      </c>
      <c r="J1216" s="4">
        <v>228</v>
      </c>
      <c r="K1216" s="5">
        <v>0.43690000000000001</v>
      </c>
      <c r="L1216" s="26" t="b">
        <f t="shared" ref="L1216:L1279" si="87">IF(M1216="call",C1216&lt;$P$1,C1216&gt;$P$1)</f>
        <v>1</v>
      </c>
      <c r="M1216" s="26" t="str">
        <f t="shared" si="84"/>
        <v>call</v>
      </c>
      <c r="N1216" s="28">
        <f t="shared" si="85"/>
        <v>46283</v>
      </c>
      <c r="O1216" s="29">
        <f t="shared" si="86"/>
        <v>348</v>
      </c>
    </row>
    <row r="1217" spans="1:15" x14ac:dyDescent="0.45">
      <c r="A1217" s="1" t="s">
        <v>1455</v>
      </c>
      <c r="B1217" s="2">
        <v>45726.447916666664</v>
      </c>
      <c r="C1217" s="3">
        <v>185</v>
      </c>
      <c r="D1217" s="4">
        <v>83.6</v>
      </c>
      <c r="E1217" s="4">
        <v>83.05</v>
      </c>
      <c r="F1217" s="4">
        <v>83.8</v>
      </c>
      <c r="G1217" s="6">
        <v>1.45</v>
      </c>
      <c r="H1217" s="7">
        <v>1.77E-2</v>
      </c>
      <c r="I1217" s="4">
        <v>3</v>
      </c>
      <c r="J1217" s="4">
        <v>88</v>
      </c>
      <c r="K1217" s="5">
        <v>0.42499999999999999</v>
      </c>
      <c r="L1217" s="26" t="b">
        <f t="shared" si="87"/>
        <v>1</v>
      </c>
      <c r="M1217" s="26" t="str">
        <f t="shared" si="84"/>
        <v>call</v>
      </c>
      <c r="N1217" s="28">
        <f t="shared" si="85"/>
        <v>46283</v>
      </c>
      <c r="O1217" s="29">
        <f t="shared" si="86"/>
        <v>348</v>
      </c>
    </row>
    <row r="1218" spans="1:15" x14ac:dyDescent="0.45">
      <c r="A1218" s="1" t="s">
        <v>1456</v>
      </c>
      <c r="B1218" s="2">
        <v>45726.652083333334</v>
      </c>
      <c r="C1218" s="3">
        <v>190</v>
      </c>
      <c r="D1218" s="4">
        <v>79.010000000000005</v>
      </c>
      <c r="E1218" s="4">
        <v>78.650000000000006</v>
      </c>
      <c r="F1218" s="4">
        <v>79.650000000000006</v>
      </c>
      <c r="G1218" s="8">
        <v>1.57</v>
      </c>
      <c r="H1218" s="9">
        <v>2.0299999999999999E-2</v>
      </c>
      <c r="I1218" s="4">
        <v>12</v>
      </c>
      <c r="J1218" s="4">
        <v>367</v>
      </c>
      <c r="K1218" s="5">
        <v>0.4158</v>
      </c>
      <c r="L1218" s="26" t="b">
        <f t="shared" si="87"/>
        <v>1</v>
      </c>
      <c r="M1218" s="26" t="str">
        <f t="shared" si="84"/>
        <v>call</v>
      </c>
      <c r="N1218" s="28">
        <f t="shared" si="85"/>
        <v>46283</v>
      </c>
      <c r="O1218" s="29">
        <f t="shared" si="86"/>
        <v>348</v>
      </c>
    </row>
    <row r="1219" spans="1:15" x14ac:dyDescent="0.45">
      <c r="A1219" s="1" t="s">
        <v>1457</v>
      </c>
      <c r="B1219" s="2">
        <v>45726.600694444445</v>
      </c>
      <c r="C1219" s="3">
        <v>195</v>
      </c>
      <c r="D1219" s="4">
        <v>75.489999999999995</v>
      </c>
      <c r="E1219" s="4">
        <v>74.55</v>
      </c>
      <c r="F1219" s="4">
        <v>75.3</v>
      </c>
      <c r="G1219" s="6">
        <v>2.4900000000000002</v>
      </c>
      <c r="H1219" s="7">
        <v>3.4099999999999998E-2</v>
      </c>
      <c r="I1219" s="4">
        <v>6</v>
      </c>
      <c r="J1219" s="4">
        <v>844</v>
      </c>
      <c r="K1219" s="5">
        <v>0.40300000000000002</v>
      </c>
      <c r="L1219" s="26" t="b">
        <f t="shared" si="87"/>
        <v>1</v>
      </c>
      <c r="M1219" s="26" t="str">
        <f t="shared" si="84"/>
        <v>call</v>
      </c>
      <c r="N1219" s="28">
        <f t="shared" si="85"/>
        <v>46283</v>
      </c>
      <c r="O1219" s="29">
        <f t="shared" si="86"/>
        <v>348</v>
      </c>
    </row>
    <row r="1220" spans="1:15" x14ac:dyDescent="0.45">
      <c r="A1220" s="1" t="s">
        <v>1458</v>
      </c>
      <c r="B1220" s="2">
        <v>45726.502083333333</v>
      </c>
      <c r="C1220" s="3">
        <v>200</v>
      </c>
      <c r="D1220" s="4">
        <v>71</v>
      </c>
      <c r="E1220" s="4">
        <v>70.650000000000006</v>
      </c>
      <c r="F1220" s="4">
        <v>71.05</v>
      </c>
      <c r="G1220" s="4">
        <v>1.27</v>
      </c>
      <c r="H1220" s="5">
        <v>1.8200000000000001E-2</v>
      </c>
      <c r="I1220" s="4">
        <v>19</v>
      </c>
      <c r="J1220" s="10">
        <v>1602</v>
      </c>
      <c r="K1220" s="5">
        <v>0.39119999999999999</v>
      </c>
      <c r="L1220" s="26" t="b">
        <f t="shared" si="87"/>
        <v>1</v>
      </c>
      <c r="M1220" s="26" t="str">
        <f t="shared" si="84"/>
        <v>call</v>
      </c>
      <c r="N1220" s="28">
        <f t="shared" si="85"/>
        <v>46283</v>
      </c>
      <c r="O1220" s="29">
        <f t="shared" si="86"/>
        <v>348</v>
      </c>
    </row>
    <row r="1221" spans="1:15" x14ac:dyDescent="0.45">
      <c r="A1221" s="1" t="s">
        <v>1459</v>
      </c>
      <c r="B1221" s="2">
        <v>45726.643055555556</v>
      </c>
      <c r="C1221" s="3">
        <v>205</v>
      </c>
      <c r="D1221" s="4">
        <v>66.78</v>
      </c>
      <c r="E1221" s="4">
        <v>66.599999999999994</v>
      </c>
      <c r="F1221" s="4">
        <v>67</v>
      </c>
      <c r="G1221" s="8">
        <v>0.26</v>
      </c>
      <c r="H1221" s="9">
        <v>3.8999999999999998E-3</v>
      </c>
      <c r="I1221" s="4">
        <v>29</v>
      </c>
      <c r="J1221" s="10">
        <v>1441</v>
      </c>
      <c r="K1221" s="5">
        <v>0.38169999999999998</v>
      </c>
      <c r="L1221" s="26" t="b">
        <f t="shared" si="87"/>
        <v>1</v>
      </c>
      <c r="M1221" s="26" t="str">
        <f t="shared" si="84"/>
        <v>call</v>
      </c>
      <c r="N1221" s="28">
        <f t="shared" si="85"/>
        <v>46283</v>
      </c>
      <c r="O1221" s="29">
        <f t="shared" si="86"/>
        <v>348</v>
      </c>
    </row>
    <row r="1222" spans="1:15" x14ac:dyDescent="0.45">
      <c r="A1222" s="1" t="s">
        <v>1460</v>
      </c>
      <c r="B1222" s="2">
        <v>45726.62222222222</v>
      </c>
      <c r="C1222" s="3">
        <v>210</v>
      </c>
      <c r="D1222" s="4">
        <v>63.25</v>
      </c>
      <c r="E1222" s="4">
        <v>62.6</v>
      </c>
      <c r="F1222" s="4">
        <v>63</v>
      </c>
      <c r="G1222" s="4">
        <v>0.34</v>
      </c>
      <c r="H1222" s="5">
        <v>5.4000000000000003E-3</v>
      </c>
      <c r="I1222" s="4">
        <v>17</v>
      </c>
      <c r="J1222" s="10">
        <v>2123</v>
      </c>
      <c r="K1222" s="5">
        <v>0.37219999999999998</v>
      </c>
      <c r="L1222" s="26" t="b">
        <f t="shared" si="87"/>
        <v>1</v>
      </c>
      <c r="M1222" s="26" t="str">
        <f t="shared" si="84"/>
        <v>call</v>
      </c>
      <c r="N1222" s="28">
        <f t="shared" si="85"/>
        <v>46283</v>
      </c>
      <c r="O1222" s="29">
        <f t="shared" si="86"/>
        <v>348</v>
      </c>
    </row>
    <row r="1223" spans="1:15" x14ac:dyDescent="0.45">
      <c r="A1223" s="1" t="s">
        <v>1461</v>
      </c>
      <c r="B1223" s="2">
        <v>45726.549305555556</v>
      </c>
      <c r="C1223" s="3">
        <v>215</v>
      </c>
      <c r="D1223" s="4">
        <v>59.5</v>
      </c>
      <c r="E1223" s="4">
        <v>58.55</v>
      </c>
      <c r="F1223" s="4">
        <v>59.2</v>
      </c>
      <c r="G1223" s="6">
        <v>0.56000000000000005</v>
      </c>
      <c r="H1223" s="7">
        <v>9.4999999999999998E-3</v>
      </c>
      <c r="I1223" s="4">
        <v>12</v>
      </c>
      <c r="J1223" s="4">
        <v>542</v>
      </c>
      <c r="K1223" s="5">
        <v>0.36449999999999999</v>
      </c>
      <c r="L1223" s="26" t="b">
        <f t="shared" si="87"/>
        <v>1</v>
      </c>
      <c r="M1223" s="26" t="str">
        <f t="shared" si="84"/>
        <v>call</v>
      </c>
      <c r="N1223" s="28">
        <f t="shared" si="85"/>
        <v>46283</v>
      </c>
      <c r="O1223" s="29">
        <f t="shared" si="86"/>
        <v>348</v>
      </c>
    </row>
    <row r="1224" spans="1:15" x14ac:dyDescent="0.45">
      <c r="A1224" s="1" t="s">
        <v>1462</v>
      </c>
      <c r="B1224" s="2">
        <v>45726.631249999999</v>
      </c>
      <c r="C1224" s="3">
        <v>220</v>
      </c>
      <c r="D1224" s="4">
        <v>55.27</v>
      </c>
      <c r="E1224" s="4">
        <v>54.95</v>
      </c>
      <c r="F1224" s="4">
        <v>55.4</v>
      </c>
      <c r="G1224" s="6">
        <v>0.48</v>
      </c>
      <c r="H1224" s="7">
        <v>8.8000000000000005E-3</v>
      </c>
      <c r="I1224" s="4">
        <v>17</v>
      </c>
      <c r="J1224" s="10">
        <v>1588</v>
      </c>
      <c r="K1224" s="5">
        <v>0.35589999999999999</v>
      </c>
      <c r="L1224" s="26" t="b">
        <f t="shared" si="87"/>
        <v>1</v>
      </c>
      <c r="M1224" s="26" t="str">
        <f t="shared" si="84"/>
        <v>call</v>
      </c>
      <c r="N1224" s="28">
        <f t="shared" si="85"/>
        <v>46283</v>
      </c>
      <c r="O1224" s="29">
        <f t="shared" si="86"/>
        <v>348</v>
      </c>
    </row>
    <row r="1225" spans="1:15" x14ac:dyDescent="0.45">
      <c r="A1225" s="1" t="s">
        <v>1463</v>
      </c>
      <c r="B1225" s="2">
        <v>45726.636805555558</v>
      </c>
      <c r="C1225" s="3">
        <v>225</v>
      </c>
      <c r="D1225" s="4">
        <v>51.61</v>
      </c>
      <c r="E1225" s="4">
        <v>51.05</v>
      </c>
      <c r="F1225" s="4">
        <v>51.7</v>
      </c>
      <c r="G1225" s="6">
        <v>0.37</v>
      </c>
      <c r="H1225" s="7">
        <v>7.1999999999999998E-3</v>
      </c>
      <c r="I1225" s="4">
        <v>11</v>
      </c>
      <c r="J1225" s="4">
        <v>708</v>
      </c>
      <c r="K1225" s="5">
        <v>0.34770000000000001</v>
      </c>
      <c r="L1225" s="26" t="b">
        <f t="shared" si="87"/>
        <v>1</v>
      </c>
      <c r="M1225" s="26" t="str">
        <f t="shared" si="84"/>
        <v>call</v>
      </c>
      <c r="N1225" s="28">
        <f t="shared" si="85"/>
        <v>46283</v>
      </c>
      <c r="O1225" s="29">
        <f t="shared" si="86"/>
        <v>348</v>
      </c>
    </row>
    <row r="1226" spans="1:15" x14ac:dyDescent="0.45">
      <c r="A1226" s="1" t="s">
        <v>1464</v>
      </c>
      <c r="B1226" s="2">
        <v>45726.625</v>
      </c>
      <c r="C1226" s="3">
        <v>230</v>
      </c>
      <c r="D1226" s="4">
        <v>48.4</v>
      </c>
      <c r="E1226" s="4">
        <v>47.75</v>
      </c>
      <c r="F1226" s="4">
        <v>48.1</v>
      </c>
      <c r="G1226" s="6">
        <v>0.99</v>
      </c>
      <c r="H1226" s="7">
        <v>2.0899999999999998E-2</v>
      </c>
      <c r="I1226" s="4">
        <v>34</v>
      </c>
      <c r="J1226" s="10">
        <v>2119</v>
      </c>
      <c r="K1226" s="5">
        <v>0.3397</v>
      </c>
      <c r="L1226" s="26" t="b">
        <f t="shared" si="87"/>
        <v>1</v>
      </c>
      <c r="M1226" s="26" t="str">
        <f t="shared" si="84"/>
        <v>call</v>
      </c>
      <c r="N1226" s="28">
        <f t="shared" si="85"/>
        <v>46283</v>
      </c>
      <c r="O1226" s="29">
        <f t="shared" si="86"/>
        <v>348</v>
      </c>
    </row>
    <row r="1227" spans="1:15" x14ac:dyDescent="0.45">
      <c r="A1227" s="1" t="s">
        <v>1465</v>
      </c>
      <c r="B1227" s="2">
        <v>45726.62222222222</v>
      </c>
      <c r="C1227" s="3">
        <v>235</v>
      </c>
      <c r="D1227" s="4">
        <v>44.9</v>
      </c>
      <c r="E1227" s="4">
        <v>44.2</v>
      </c>
      <c r="F1227" s="4">
        <v>44.65</v>
      </c>
      <c r="G1227" s="6">
        <v>0.3</v>
      </c>
      <c r="H1227" s="7">
        <v>6.7000000000000002E-3</v>
      </c>
      <c r="I1227" s="4">
        <v>39</v>
      </c>
      <c r="J1227" s="10">
        <v>1816</v>
      </c>
      <c r="K1227" s="5">
        <v>0.33250000000000002</v>
      </c>
      <c r="L1227" s="26" t="b">
        <f t="shared" si="87"/>
        <v>1</v>
      </c>
      <c r="M1227" s="26" t="str">
        <f t="shared" si="84"/>
        <v>call</v>
      </c>
      <c r="N1227" s="28">
        <f t="shared" si="85"/>
        <v>46283</v>
      </c>
      <c r="O1227" s="29">
        <f t="shared" si="86"/>
        <v>348</v>
      </c>
    </row>
    <row r="1228" spans="1:15" x14ac:dyDescent="0.45">
      <c r="A1228" s="1" t="s">
        <v>1466</v>
      </c>
      <c r="B1228" s="2">
        <v>45726.640972222223</v>
      </c>
      <c r="C1228" s="3">
        <v>240</v>
      </c>
      <c r="D1228" s="4">
        <v>41.15</v>
      </c>
      <c r="E1228" s="4">
        <v>40.950000000000003</v>
      </c>
      <c r="F1228" s="4">
        <v>41.4</v>
      </c>
      <c r="G1228" s="8">
        <v>-0.05</v>
      </c>
      <c r="H1228" s="9">
        <v>-1.1999999999999999E-3</v>
      </c>
      <c r="I1228" s="4">
        <v>41</v>
      </c>
      <c r="J1228" s="10">
        <v>2851</v>
      </c>
      <c r="K1228" s="5">
        <v>0.32650000000000001</v>
      </c>
      <c r="L1228" s="26" t="b">
        <f t="shared" si="87"/>
        <v>1</v>
      </c>
      <c r="M1228" s="26" t="str">
        <f t="shared" si="84"/>
        <v>call</v>
      </c>
      <c r="N1228" s="28">
        <f t="shared" si="85"/>
        <v>46283</v>
      </c>
      <c r="O1228" s="29">
        <f t="shared" si="86"/>
        <v>348</v>
      </c>
    </row>
    <row r="1229" spans="1:15" x14ac:dyDescent="0.45">
      <c r="A1229" s="1" t="s">
        <v>1467</v>
      </c>
      <c r="B1229" s="2">
        <v>45726.622916666667</v>
      </c>
      <c r="C1229" s="3">
        <v>245</v>
      </c>
      <c r="D1229" s="4">
        <v>38.299999999999997</v>
      </c>
      <c r="E1229" s="4">
        <v>37.75</v>
      </c>
      <c r="F1229" s="4">
        <v>38.25</v>
      </c>
      <c r="G1229" s="6">
        <v>0.12</v>
      </c>
      <c r="H1229" s="7">
        <v>3.0999999999999999E-3</v>
      </c>
      <c r="I1229" s="4">
        <v>16</v>
      </c>
      <c r="J1229" s="10">
        <v>1221</v>
      </c>
      <c r="K1229" s="5">
        <v>0.32040000000000002</v>
      </c>
      <c r="L1229" s="26" t="b">
        <f t="shared" si="87"/>
        <v>1</v>
      </c>
      <c r="M1229" s="26" t="str">
        <f t="shared" si="84"/>
        <v>call</v>
      </c>
      <c r="N1229" s="28">
        <f t="shared" si="85"/>
        <v>46283</v>
      </c>
      <c r="O1229" s="29">
        <f t="shared" si="86"/>
        <v>348</v>
      </c>
    </row>
    <row r="1230" spans="1:15" x14ac:dyDescent="0.45">
      <c r="A1230" s="1" t="s">
        <v>1468</v>
      </c>
      <c r="B1230" s="2">
        <v>45726.611111111109</v>
      </c>
      <c r="C1230" s="3">
        <v>250</v>
      </c>
      <c r="D1230" s="4">
        <v>34.9</v>
      </c>
      <c r="E1230" s="4">
        <v>34.700000000000003</v>
      </c>
      <c r="F1230" s="4">
        <v>35.200000000000003</v>
      </c>
      <c r="G1230" s="8">
        <v>-0.13</v>
      </c>
      <c r="H1230" s="9">
        <v>-3.7000000000000002E-3</v>
      </c>
      <c r="I1230" s="4">
        <v>16</v>
      </c>
      <c r="J1230" s="10">
        <v>2992</v>
      </c>
      <c r="K1230" s="5">
        <v>0.31419999999999998</v>
      </c>
      <c r="L1230" s="26" t="b">
        <f t="shared" si="87"/>
        <v>1</v>
      </c>
      <c r="M1230" s="26" t="str">
        <f t="shared" si="84"/>
        <v>call</v>
      </c>
      <c r="N1230" s="28">
        <f t="shared" si="85"/>
        <v>46283</v>
      </c>
      <c r="O1230" s="29">
        <f t="shared" si="86"/>
        <v>348</v>
      </c>
    </row>
    <row r="1231" spans="1:15" x14ac:dyDescent="0.45">
      <c r="A1231" s="1" t="s">
        <v>1469</v>
      </c>
      <c r="B1231" s="2">
        <v>45726.65625</v>
      </c>
      <c r="C1231" s="3">
        <v>255</v>
      </c>
      <c r="D1231" s="4">
        <v>32.159999999999997</v>
      </c>
      <c r="E1231" s="4">
        <v>31.8</v>
      </c>
      <c r="F1231" s="4">
        <v>32.200000000000003</v>
      </c>
      <c r="G1231" s="6">
        <v>0.28000000000000003</v>
      </c>
      <c r="H1231" s="7">
        <v>8.8000000000000005E-3</v>
      </c>
      <c r="I1231" s="4">
        <v>67</v>
      </c>
      <c r="J1231" s="10">
        <v>1023</v>
      </c>
      <c r="K1231" s="5">
        <v>0.3075</v>
      </c>
      <c r="L1231" s="26" t="b">
        <f t="shared" si="87"/>
        <v>1</v>
      </c>
      <c r="M1231" s="26" t="str">
        <f t="shared" si="84"/>
        <v>call</v>
      </c>
      <c r="N1231" s="28">
        <f t="shared" si="85"/>
        <v>46283</v>
      </c>
      <c r="O1231" s="29">
        <f t="shared" si="86"/>
        <v>348</v>
      </c>
    </row>
    <row r="1232" spans="1:15" x14ac:dyDescent="0.45">
      <c r="A1232" s="11" t="s">
        <v>1470</v>
      </c>
      <c r="B1232" s="12">
        <v>45726.656944444447</v>
      </c>
      <c r="C1232" s="13">
        <v>260</v>
      </c>
      <c r="D1232" s="14">
        <v>29.23</v>
      </c>
      <c r="E1232" s="14">
        <v>29.05</v>
      </c>
      <c r="F1232" s="14">
        <v>29.3</v>
      </c>
      <c r="G1232" s="19">
        <v>0.23</v>
      </c>
      <c r="H1232" s="20">
        <v>7.9000000000000008E-3</v>
      </c>
      <c r="I1232" s="14">
        <v>56</v>
      </c>
      <c r="J1232" s="17">
        <v>3523</v>
      </c>
      <c r="K1232" s="18">
        <v>0.30070000000000002</v>
      </c>
      <c r="L1232" s="26" t="b">
        <f t="shared" si="87"/>
        <v>0</v>
      </c>
      <c r="M1232" s="26" t="str">
        <f t="shared" si="84"/>
        <v>call</v>
      </c>
      <c r="N1232" s="28">
        <f t="shared" si="85"/>
        <v>46283</v>
      </c>
      <c r="O1232" s="29">
        <f t="shared" si="86"/>
        <v>348</v>
      </c>
    </row>
    <row r="1233" spans="1:15" x14ac:dyDescent="0.45">
      <c r="A1233" s="11" t="s">
        <v>1471</v>
      </c>
      <c r="B1233" s="12">
        <v>45726.664583333331</v>
      </c>
      <c r="C1233" s="13">
        <v>265</v>
      </c>
      <c r="D1233" s="14">
        <v>26.45</v>
      </c>
      <c r="E1233" s="14">
        <v>26.45</v>
      </c>
      <c r="F1233" s="14">
        <v>26.65</v>
      </c>
      <c r="G1233" s="15">
        <v>-0.27</v>
      </c>
      <c r="H1233" s="16">
        <v>-1.01E-2</v>
      </c>
      <c r="I1233" s="14">
        <v>809</v>
      </c>
      <c r="J1233" s="14">
        <v>864</v>
      </c>
      <c r="K1233" s="18">
        <v>0.29509999999999997</v>
      </c>
      <c r="L1233" s="26" t="b">
        <f t="shared" si="87"/>
        <v>0</v>
      </c>
      <c r="M1233" s="26" t="str">
        <f t="shared" si="84"/>
        <v>call</v>
      </c>
      <c r="N1233" s="28">
        <f t="shared" si="85"/>
        <v>46283</v>
      </c>
      <c r="O1233" s="29">
        <f t="shared" si="86"/>
        <v>348</v>
      </c>
    </row>
    <row r="1234" spans="1:15" x14ac:dyDescent="0.45">
      <c r="A1234" s="11" t="s">
        <v>1472</v>
      </c>
      <c r="B1234" s="12">
        <v>45726.662499999999</v>
      </c>
      <c r="C1234" s="13">
        <v>270</v>
      </c>
      <c r="D1234" s="14">
        <v>23.9</v>
      </c>
      <c r="E1234" s="14">
        <v>24</v>
      </c>
      <c r="F1234" s="14">
        <v>24.2</v>
      </c>
      <c r="G1234" s="15">
        <v>-0.17</v>
      </c>
      <c r="H1234" s="16">
        <v>-7.1000000000000004E-3</v>
      </c>
      <c r="I1234" s="14">
        <v>139</v>
      </c>
      <c r="J1234" s="17">
        <v>2836</v>
      </c>
      <c r="K1234" s="18">
        <v>0.29039999999999999</v>
      </c>
      <c r="L1234" s="26" t="b">
        <f t="shared" si="87"/>
        <v>0</v>
      </c>
      <c r="M1234" s="26" t="str">
        <f t="shared" si="84"/>
        <v>call</v>
      </c>
      <c r="N1234" s="28">
        <f t="shared" si="85"/>
        <v>46283</v>
      </c>
      <c r="O1234" s="29">
        <f t="shared" si="86"/>
        <v>348</v>
      </c>
    </row>
    <row r="1235" spans="1:15" x14ac:dyDescent="0.45">
      <c r="A1235" s="11" t="s">
        <v>1473</v>
      </c>
      <c r="B1235" s="12">
        <v>45726.595138888886</v>
      </c>
      <c r="C1235" s="13">
        <v>275</v>
      </c>
      <c r="D1235" s="14">
        <v>21.9</v>
      </c>
      <c r="E1235" s="14">
        <v>21.7</v>
      </c>
      <c r="F1235" s="14">
        <v>21.9</v>
      </c>
      <c r="G1235" s="15">
        <v>-0.12</v>
      </c>
      <c r="H1235" s="16">
        <v>-5.4000000000000003E-3</v>
      </c>
      <c r="I1235" s="14">
        <v>48</v>
      </c>
      <c r="J1235" s="17">
        <v>2100</v>
      </c>
      <c r="K1235" s="18">
        <v>0.2858</v>
      </c>
      <c r="L1235" s="26" t="b">
        <f t="shared" si="87"/>
        <v>0</v>
      </c>
      <c r="M1235" s="26" t="str">
        <f t="shared" si="84"/>
        <v>call</v>
      </c>
      <c r="N1235" s="28">
        <f t="shared" si="85"/>
        <v>46283</v>
      </c>
      <c r="O1235" s="29">
        <f t="shared" si="86"/>
        <v>348</v>
      </c>
    </row>
    <row r="1236" spans="1:15" x14ac:dyDescent="0.45">
      <c r="A1236" s="11" t="s">
        <v>1474</v>
      </c>
      <c r="B1236" s="12">
        <v>45726.661805555559</v>
      </c>
      <c r="C1236" s="13">
        <v>280</v>
      </c>
      <c r="D1236" s="14">
        <v>19.510000000000002</v>
      </c>
      <c r="E1236" s="14">
        <v>19.55</v>
      </c>
      <c r="F1236" s="14">
        <v>19.75</v>
      </c>
      <c r="G1236" s="15">
        <v>-0.37</v>
      </c>
      <c r="H1236" s="16">
        <v>-1.8599999999999998E-2</v>
      </c>
      <c r="I1236" s="14">
        <v>182</v>
      </c>
      <c r="J1236" s="17">
        <v>1531</v>
      </c>
      <c r="K1236" s="18">
        <v>0.28149999999999997</v>
      </c>
      <c r="L1236" s="26" t="b">
        <f t="shared" si="87"/>
        <v>0</v>
      </c>
      <c r="M1236" s="26" t="str">
        <f t="shared" si="84"/>
        <v>call</v>
      </c>
      <c r="N1236" s="28">
        <f t="shared" si="85"/>
        <v>46283</v>
      </c>
      <c r="O1236" s="29">
        <f t="shared" si="86"/>
        <v>348</v>
      </c>
    </row>
    <row r="1237" spans="1:15" x14ac:dyDescent="0.45">
      <c r="A1237" s="11" t="s">
        <v>1475</v>
      </c>
      <c r="B1237" s="12">
        <v>45726.429861111108</v>
      </c>
      <c r="C1237" s="13">
        <v>285</v>
      </c>
      <c r="D1237" s="14">
        <v>17.899999999999999</v>
      </c>
      <c r="E1237" s="14">
        <v>17.55</v>
      </c>
      <c r="F1237" s="14">
        <v>17.75</v>
      </c>
      <c r="G1237" s="19">
        <v>0.25</v>
      </c>
      <c r="H1237" s="20">
        <v>1.4200000000000001E-2</v>
      </c>
      <c r="I1237" s="14">
        <v>108</v>
      </c>
      <c r="J1237" s="17">
        <v>1429</v>
      </c>
      <c r="K1237" s="18">
        <v>0.27750000000000002</v>
      </c>
      <c r="L1237" s="26" t="b">
        <f t="shared" si="87"/>
        <v>0</v>
      </c>
      <c r="M1237" s="26" t="str">
        <f t="shared" si="84"/>
        <v>call</v>
      </c>
      <c r="N1237" s="28">
        <f t="shared" si="85"/>
        <v>46283</v>
      </c>
      <c r="O1237" s="29">
        <f t="shared" si="86"/>
        <v>348</v>
      </c>
    </row>
    <row r="1238" spans="1:15" x14ac:dyDescent="0.45">
      <c r="A1238" s="11" t="s">
        <v>1476</v>
      </c>
      <c r="B1238" s="12">
        <v>45726.505555555559</v>
      </c>
      <c r="C1238" s="13">
        <v>290</v>
      </c>
      <c r="D1238" s="14">
        <v>15.95</v>
      </c>
      <c r="E1238" s="14">
        <v>15.75</v>
      </c>
      <c r="F1238" s="14">
        <v>15.95</v>
      </c>
      <c r="G1238" s="19">
        <v>7.0000000000000007E-2</v>
      </c>
      <c r="H1238" s="20">
        <v>4.4000000000000003E-3</v>
      </c>
      <c r="I1238" s="14">
        <v>97</v>
      </c>
      <c r="J1238" s="17">
        <v>1002</v>
      </c>
      <c r="K1238" s="18">
        <v>0.2742</v>
      </c>
      <c r="L1238" s="26" t="b">
        <f t="shared" si="87"/>
        <v>0</v>
      </c>
      <c r="M1238" s="26" t="str">
        <f t="shared" si="84"/>
        <v>call</v>
      </c>
      <c r="N1238" s="28">
        <f t="shared" si="85"/>
        <v>46283</v>
      </c>
      <c r="O1238" s="29">
        <f t="shared" si="86"/>
        <v>348</v>
      </c>
    </row>
    <row r="1239" spans="1:15" x14ac:dyDescent="0.45">
      <c r="A1239" s="11" t="s">
        <v>1477</v>
      </c>
      <c r="B1239" s="12">
        <v>45726.614583333336</v>
      </c>
      <c r="C1239" s="13">
        <v>295</v>
      </c>
      <c r="D1239" s="14">
        <v>14.4</v>
      </c>
      <c r="E1239" s="14">
        <v>14.1</v>
      </c>
      <c r="F1239" s="14">
        <v>14.25</v>
      </c>
      <c r="G1239" s="19">
        <v>0.15</v>
      </c>
      <c r="H1239" s="20">
        <v>1.0500000000000001E-2</v>
      </c>
      <c r="I1239" s="14">
        <v>71</v>
      </c>
      <c r="J1239" s="14">
        <v>961</v>
      </c>
      <c r="K1239" s="18">
        <v>0.2707</v>
      </c>
      <c r="L1239" s="26" t="b">
        <f t="shared" si="87"/>
        <v>0</v>
      </c>
      <c r="M1239" s="26" t="str">
        <f t="shared" si="84"/>
        <v>call</v>
      </c>
      <c r="N1239" s="28">
        <f t="shared" si="85"/>
        <v>46283</v>
      </c>
      <c r="O1239" s="29">
        <f t="shared" si="86"/>
        <v>348</v>
      </c>
    </row>
    <row r="1240" spans="1:15" x14ac:dyDescent="0.45">
      <c r="A1240" s="11" t="s">
        <v>1478</v>
      </c>
      <c r="B1240" s="12">
        <v>45726.664583333331</v>
      </c>
      <c r="C1240" s="13">
        <v>300</v>
      </c>
      <c r="D1240" s="14">
        <v>12.6</v>
      </c>
      <c r="E1240" s="14">
        <v>12.55</v>
      </c>
      <c r="F1240" s="14">
        <v>12.75</v>
      </c>
      <c r="G1240" s="15">
        <v>-0.06</v>
      </c>
      <c r="H1240" s="16">
        <v>-4.7000000000000002E-3</v>
      </c>
      <c r="I1240" s="17">
        <v>10183</v>
      </c>
      <c r="J1240" s="17">
        <v>2252</v>
      </c>
      <c r="K1240" s="18">
        <v>0.26800000000000002</v>
      </c>
      <c r="L1240" s="26" t="b">
        <f t="shared" si="87"/>
        <v>0</v>
      </c>
      <c r="M1240" s="26" t="str">
        <f t="shared" si="84"/>
        <v>call</v>
      </c>
      <c r="N1240" s="28">
        <f t="shared" si="85"/>
        <v>46283</v>
      </c>
      <c r="O1240" s="29">
        <f t="shared" si="86"/>
        <v>348</v>
      </c>
    </row>
    <row r="1241" spans="1:15" x14ac:dyDescent="0.45">
      <c r="A1241" s="11" t="s">
        <v>1479</v>
      </c>
      <c r="B1241" s="12">
        <v>45726.579861111109</v>
      </c>
      <c r="C1241" s="13">
        <v>310</v>
      </c>
      <c r="D1241" s="14">
        <v>10.11</v>
      </c>
      <c r="E1241" s="14">
        <v>9.9499999999999993</v>
      </c>
      <c r="F1241" s="14">
        <v>10.1</v>
      </c>
      <c r="G1241" s="19">
        <v>0.11</v>
      </c>
      <c r="H1241" s="20">
        <v>1.0999999999999999E-2</v>
      </c>
      <c r="I1241" s="17">
        <v>2073</v>
      </c>
      <c r="J1241" s="17">
        <v>1030</v>
      </c>
      <c r="K1241" s="18">
        <v>0.26290000000000002</v>
      </c>
      <c r="L1241" s="26" t="b">
        <f t="shared" si="87"/>
        <v>0</v>
      </c>
      <c r="M1241" s="26" t="str">
        <f t="shared" si="84"/>
        <v>call</v>
      </c>
      <c r="N1241" s="28">
        <f t="shared" si="85"/>
        <v>46283</v>
      </c>
      <c r="O1241" s="29">
        <f t="shared" si="86"/>
        <v>348</v>
      </c>
    </row>
    <row r="1242" spans="1:15" x14ac:dyDescent="0.45">
      <c r="A1242" s="11" t="s">
        <v>1480</v>
      </c>
      <c r="B1242" s="12">
        <v>45726.611805555556</v>
      </c>
      <c r="C1242" s="13">
        <v>320</v>
      </c>
      <c r="D1242" s="14">
        <v>8.0500000000000007</v>
      </c>
      <c r="E1242" s="14">
        <v>7.85</v>
      </c>
      <c r="F1242" s="14">
        <v>8</v>
      </c>
      <c r="G1242" s="19">
        <v>0.5</v>
      </c>
      <c r="H1242" s="20">
        <v>6.6199999999999995E-2</v>
      </c>
      <c r="I1242" s="14">
        <v>98</v>
      </c>
      <c r="J1242" s="14">
        <v>917</v>
      </c>
      <c r="K1242" s="18">
        <v>0.25940000000000002</v>
      </c>
      <c r="L1242" s="26" t="b">
        <f t="shared" si="87"/>
        <v>0</v>
      </c>
      <c r="M1242" s="26" t="str">
        <f t="shared" si="84"/>
        <v>call</v>
      </c>
      <c r="N1242" s="28">
        <f t="shared" si="85"/>
        <v>46283</v>
      </c>
      <c r="O1242" s="29">
        <f t="shared" si="86"/>
        <v>348</v>
      </c>
    </row>
    <row r="1243" spans="1:15" x14ac:dyDescent="0.45">
      <c r="A1243" s="11" t="s">
        <v>1481</v>
      </c>
      <c r="B1243" s="12">
        <v>45726.593055555553</v>
      </c>
      <c r="C1243" s="13">
        <v>330</v>
      </c>
      <c r="D1243" s="14">
        <v>6.2</v>
      </c>
      <c r="E1243" s="14">
        <v>6.15</v>
      </c>
      <c r="F1243" s="14">
        <v>6.3</v>
      </c>
      <c r="G1243" s="15">
        <v>-0.2</v>
      </c>
      <c r="H1243" s="16">
        <v>-3.1300000000000001E-2</v>
      </c>
      <c r="I1243" s="14">
        <v>71</v>
      </c>
      <c r="J1243" s="17">
        <v>1371</v>
      </c>
      <c r="K1243" s="18">
        <v>0.25659999999999999</v>
      </c>
      <c r="L1243" s="26" t="b">
        <f t="shared" si="87"/>
        <v>0</v>
      </c>
      <c r="M1243" s="26" t="str">
        <f t="shared" si="84"/>
        <v>call</v>
      </c>
      <c r="N1243" s="28">
        <f t="shared" si="85"/>
        <v>46283</v>
      </c>
      <c r="O1243" s="29">
        <f t="shared" si="86"/>
        <v>348</v>
      </c>
    </row>
    <row r="1244" spans="1:15" x14ac:dyDescent="0.45">
      <c r="A1244" s="11" t="s">
        <v>1482</v>
      </c>
      <c r="B1244" s="12">
        <v>45726.584722222222</v>
      </c>
      <c r="C1244" s="13">
        <v>340</v>
      </c>
      <c r="D1244" s="14">
        <v>4.9000000000000004</v>
      </c>
      <c r="E1244" s="14">
        <v>4.8499999999999996</v>
      </c>
      <c r="F1244" s="14">
        <v>4.95</v>
      </c>
      <c r="G1244" s="15">
        <v>-0.05</v>
      </c>
      <c r="H1244" s="16">
        <v>-1.01E-2</v>
      </c>
      <c r="I1244" s="14">
        <v>2</v>
      </c>
      <c r="J1244" s="14">
        <v>329</v>
      </c>
      <c r="K1244" s="18">
        <v>0.2545</v>
      </c>
      <c r="L1244" s="26" t="b">
        <f t="shared" si="87"/>
        <v>0</v>
      </c>
      <c r="M1244" s="26" t="str">
        <f t="shared" si="84"/>
        <v>call</v>
      </c>
      <c r="N1244" s="28">
        <f t="shared" si="85"/>
        <v>46283</v>
      </c>
      <c r="O1244" s="29">
        <f t="shared" si="86"/>
        <v>348</v>
      </c>
    </row>
    <row r="1245" spans="1:15" x14ac:dyDescent="0.45">
      <c r="A1245" s="11" t="s">
        <v>1483</v>
      </c>
      <c r="B1245" s="12">
        <v>45698.655555555553</v>
      </c>
      <c r="C1245" s="13">
        <v>350</v>
      </c>
      <c r="D1245" s="14">
        <v>3.88</v>
      </c>
      <c r="E1245" s="14">
        <v>3.8</v>
      </c>
      <c r="F1245" s="14">
        <v>3.95</v>
      </c>
      <c r="G1245" s="14">
        <v>0</v>
      </c>
      <c r="H1245" s="18">
        <v>0</v>
      </c>
      <c r="I1245" s="14">
        <v>17</v>
      </c>
      <c r="J1245" s="14">
        <v>319</v>
      </c>
      <c r="K1245" s="18">
        <v>0.25419999999999998</v>
      </c>
      <c r="L1245" s="26" t="b">
        <f t="shared" si="87"/>
        <v>0</v>
      </c>
      <c r="M1245" s="26" t="str">
        <f t="shared" si="84"/>
        <v>call</v>
      </c>
      <c r="N1245" s="28">
        <f t="shared" si="85"/>
        <v>46283</v>
      </c>
      <c r="O1245" s="29">
        <f t="shared" si="86"/>
        <v>348</v>
      </c>
    </row>
    <row r="1246" spans="1:15" x14ac:dyDescent="0.45">
      <c r="A1246" s="11" t="s">
        <v>1484</v>
      </c>
      <c r="B1246" s="12">
        <v>45698.449305555558</v>
      </c>
      <c r="C1246" s="13">
        <v>360</v>
      </c>
      <c r="D1246" s="14">
        <v>3.05</v>
      </c>
      <c r="E1246" s="14">
        <v>3</v>
      </c>
      <c r="F1246" s="14">
        <v>3.1</v>
      </c>
      <c r="G1246" s="19">
        <v>7.0000000000000007E-2</v>
      </c>
      <c r="H1246" s="20">
        <v>2.35E-2</v>
      </c>
      <c r="I1246" s="14">
        <v>4</v>
      </c>
      <c r="J1246" s="14">
        <v>150</v>
      </c>
      <c r="K1246" s="18">
        <v>0.25309999999999999</v>
      </c>
      <c r="L1246" s="26" t="b">
        <f t="shared" si="87"/>
        <v>0</v>
      </c>
      <c r="M1246" s="26" t="str">
        <f t="shared" si="84"/>
        <v>call</v>
      </c>
      <c r="N1246" s="28">
        <f t="shared" si="85"/>
        <v>46283</v>
      </c>
      <c r="O1246" s="29">
        <f t="shared" si="86"/>
        <v>348</v>
      </c>
    </row>
    <row r="1247" spans="1:15" x14ac:dyDescent="0.45">
      <c r="A1247" s="11" t="s">
        <v>1485</v>
      </c>
      <c r="B1247" s="12">
        <v>45698.449305555558</v>
      </c>
      <c r="C1247" s="13">
        <v>370</v>
      </c>
      <c r="D1247" s="14">
        <v>2.4500000000000002</v>
      </c>
      <c r="E1247" s="14">
        <v>2.38</v>
      </c>
      <c r="F1247" s="14">
        <v>2.4500000000000002</v>
      </c>
      <c r="G1247" s="19">
        <v>0.12</v>
      </c>
      <c r="H1247" s="20">
        <v>5.1499999999999997E-2</v>
      </c>
      <c r="I1247" s="14">
        <v>12</v>
      </c>
      <c r="J1247" s="14">
        <v>212</v>
      </c>
      <c r="K1247" s="18">
        <v>0.25280000000000002</v>
      </c>
      <c r="L1247" s="26" t="b">
        <f t="shared" si="87"/>
        <v>0</v>
      </c>
      <c r="M1247" s="26" t="str">
        <f t="shared" si="84"/>
        <v>call</v>
      </c>
      <c r="N1247" s="28">
        <f t="shared" si="85"/>
        <v>46283</v>
      </c>
      <c r="O1247" s="29">
        <f t="shared" si="86"/>
        <v>348</v>
      </c>
    </row>
    <row r="1248" spans="1:15" x14ac:dyDescent="0.45">
      <c r="A1248" s="11" t="s">
        <v>1486</v>
      </c>
      <c r="B1248" s="12">
        <v>45726.487500000003</v>
      </c>
      <c r="C1248" s="13">
        <v>380</v>
      </c>
      <c r="D1248" s="14">
        <v>1.95</v>
      </c>
      <c r="E1248" s="14">
        <v>1.88</v>
      </c>
      <c r="F1248" s="14">
        <v>1.96</v>
      </c>
      <c r="G1248" s="19">
        <v>0.1</v>
      </c>
      <c r="H1248" s="20">
        <v>5.4100000000000002E-2</v>
      </c>
      <c r="I1248" s="14">
        <v>11</v>
      </c>
      <c r="J1248" s="14">
        <v>99</v>
      </c>
      <c r="K1248" s="18">
        <v>0.25340000000000001</v>
      </c>
      <c r="L1248" s="26" t="b">
        <f t="shared" si="87"/>
        <v>0</v>
      </c>
      <c r="M1248" s="26" t="str">
        <f t="shared" si="84"/>
        <v>call</v>
      </c>
      <c r="N1248" s="28">
        <f t="shared" si="85"/>
        <v>46283</v>
      </c>
      <c r="O1248" s="29">
        <f t="shared" si="86"/>
        <v>348</v>
      </c>
    </row>
    <row r="1249" spans="1:15" x14ac:dyDescent="0.45">
      <c r="A1249" s="11" t="s">
        <v>1487</v>
      </c>
      <c r="B1249" s="12">
        <v>45698.449305555558</v>
      </c>
      <c r="C1249" s="13">
        <v>390</v>
      </c>
      <c r="D1249" s="14">
        <v>1.53</v>
      </c>
      <c r="E1249" s="14">
        <v>1.5</v>
      </c>
      <c r="F1249" s="14">
        <v>1.59</v>
      </c>
      <c r="G1249" s="14">
        <v>0</v>
      </c>
      <c r="H1249" s="18">
        <v>0</v>
      </c>
      <c r="I1249" s="14">
        <v>27</v>
      </c>
      <c r="J1249" s="14">
        <v>196</v>
      </c>
      <c r="K1249" s="18">
        <v>0.25469999999999998</v>
      </c>
      <c r="L1249" s="26" t="b">
        <f t="shared" si="87"/>
        <v>0</v>
      </c>
      <c r="M1249" s="26" t="str">
        <f t="shared" si="84"/>
        <v>call</v>
      </c>
      <c r="N1249" s="28">
        <f t="shared" si="85"/>
        <v>46283</v>
      </c>
      <c r="O1249" s="29">
        <f t="shared" si="86"/>
        <v>348</v>
      </c>
    </row>
    <row r="1250" spans="1:15" x14ac:dyDescent="0.45">
      <c r="A1250" s="11" t="s">
        <v>1488</v>
      </c>
      <c r="B1250" s="12">
        <v>45726.660416666666</v>
      </c>
      <c r="C1250" s="13">
        <v>400</v>
      </c>
      <c r="D1250" s="14">
        <v>1.23</v>
      </c>
      <c r="E1250" s="14">
        <v>1.21</v>
      </c>
      <c r="F1250" s="14">
        <v>1.27</v>
      </c>
      <c r="G1250" s="15">
        <v>-0.02</v>
      </c>
      <c r="H1250" s="16">
        <v>-1.6E-2</v>
      </c>
      <c r="I1250" s="14">
        <v>11</v>
      </c>
      <c r="J1250" s="17">
        <v>1686</v>
      </c>
      <c r="K1250" s="18">
        <v>0.25530000000000003</v>
      </c>
      <c r="L1250" s="26" t="b">
        <f t="shared" si="87"/>
        <v>0</v>
      </c>
      <c r="M1250" s="26" t="str">
        <f t="shared" si="84"/>
        <v>call</v>
      </c>
      <c r="N1250" s="28">
        <f t="shared" si="85"/>
        <v>46283</v>
      </c>
      <c r="O1250" s="29">
        <f t="shared" si="86"/>
        <v>348</v>
      </c>
    </row>
    <row r="1251" spans="1:15" x14ac:dyDescent="0.45">
      <c r="A1251" s="11" t="s">
        <v>1489</v>
      </c>
      <c r="B1251" s="12">
        <v>45726.395833333336</v>
      </c>
      <c r="C1251" s="13">
        <v>50</v>
      </c>
      <c r="D1251" s="14">
        <v>0.06</v>
      </c>
      <c r="E1251" s="14">
        <v>0.02</v>
      </c>
      <c r="F1251" s="14">
        <v>0.08</v>
      </c>
      <c r="G1251" s="14">
        <v>0.02</v>
      </c>
      <c r="H1251" s="18">
        <v>0.5</v>
      </c>
      <c r="I1251" s="14">
        <v>1</v>
      </c>
      <c r="J1251" s="14">
        <v>417</v>
      </c>
      <c r="K1251" s="18">
        <v>0.60160000000000002</v>
      </c>
      <c r="L1251" s="26" t="b">
        <f t="shared" si="87"/>
        <v>0</v>
      </c>
      <c r="M1251" s="26" t="str">
        <f t="shared" si="84"/>
        <v>put</v>
      </c>
      <c r="N1251" s="28">
        <f t="shared" si="85"/>
        <v>46283</v>
      </c>
      <c r="O1251" s="29">
        <f t="shared" si="86"/>
        <v>348</v>
      </c>
    </row>
    <row r="1252" spans="1:15" x14ac:dyDescent="0.45">
      <c r="A1252" s="11" t="s">
        <v>1490</v>
      </c>
      <c r="B1252" s="12">
        <v>45725.64166666667</v>
      </c>
      <c r="C1252" s="13">
        <v>55</v>
      </c>
      <c r="D1252" s="14">
        <v>0.08</v>
      </c>
      <c r="E1252" s="14">
        <v>0.03</v>
      </c>
      <c r="F1252" s="14">
        <v>0.11</v>
      </c>
      <c r="G1252" s="14">
        <v>0</v>
      </c>
      <c r="H1252" s="18">
        <v>0</v>
      </c>
      <c r="I1252" s="14">
        <v>1</v>
      </c>
      <c r="J1252" s="14">
        <v>64</v>
      </c>
      <c r="K1252" s="18">
        <v>0.58589999999999998</v>
      </c>
      <c r="L1252" s="26" t="b">
        <f t="shared" si="87"/>
        <v>0</v>
      </c>
      <c r="M1252" s="26" t="str">
        <f t="shared" si="84"/>
        <v>put</v>
      </c>
      <c r="N1252" s="28">
        <f t="shared" si="85"/>
        <v>46283</v>
      </c>
      <c r="O1252" s="29">
        <f t="shared" si="86"/>
        <v>348</v>
      </c>
    </row>
    <row r="1253" spans="1:15" x14ac:dyDescent="0.45">
      <c r="A1253" s="11" t="s">
        <v>1491</v>
      </c>
      <c r="B1253" s="14" t="s">
        <v>1492</v>
      </c>
      <c r="C1253" s="13">
        <v>60</v>
      </c>
      <c r="D1253" s="14">
        <v>0.08</v>
      </c>
      <c r="E1253" s="14">
        <v>0.05</v>
      </c>
      <c r="F1253" s="14">
        <v>0.14000000000000001</v>
      </c>
      <c r="G1253" s="14">
        <v>0</v>
      </c>
      <c r="H1253" s="18">
        <v>0</v>
      </c>
      <c r="I1253" s="14">
        <v>3</v>
      </c>
      <c r="J1253" s="14">
        <v>15</v>
      </c>
      <c r="K1253" s="18">
        <v>0.57130000000000003</v>
      </c>
      <c r="L1253" s="26" t="b">
        <f t="shared" si="87"/>
        <v>0</v>
      </c>
      <c r="M1253" s="26" t="str">
        <f t="shared" si="84"/>
        <v>put</v>
      </c>
      <c r="N1253" s="28">
        <f t="shared" si="85"/>
        <v>46283</v>
      </c>
      <c r="O1253" s="29">
        <f t="shared" si="86"/>
        <v>348</v>
      </c>
    </row>
    <row r="1254" spans="1:15" x14ac:dyDescent="0.45">
      <c r="A1254" s="11" t="s">
        <v>1493</v>
      </c>
      <c r="B1254" s="12">
        <v>45756.493750000001</v>
      </c>
      <c r="C1254" s="13">
        <v>65</v>
      </c>
      <c r="D1254" s="14">
        <v>0.13</v>
      </c>
      <c r="E1254" s="14">
        <v>0.08</v>
      </c>
      <c r="F1254" s="14">
        <v>0.16</v>
      </c>
      <c r="G1254" s="14">
        <v>0</v>
      </c>
      <c r="H1254" s="18">
        <v>0</v>
      </c>
      <c r="I1254" s="14">
        <v>1</v>
      </c>
      <c r="J1254" s="14">
        <v>2</v>
      </c>
      <c r="K1254" s="18">
        <v>0.55469999999999997</v>
      </c>
      <c r="L1254" s="26" t="b">
        <f t="shared" si="87"/>
        <v>0</v>
      </c>
      <c r="M1254" s="26" t="str">
        <f t="shared" si="84"/>
        <v>put</v>
      </c>
      <c r="N1254" s="28">
        <f t="shared" si="85"/>
        <v>46283</v>
      </c>
      <c r="O1254" s="29">
        <f t="shared" si="86"/>
        <v>348</v>
      </c>
    </row>
    <row r="1255" spans="1:15" x14ac:dyDescent="0.45">
      <c r="A1255" s="11" t="s">
        <v>1494</v>
      </c>
      <c r="B1255" s="14" t="s">
        <v>1495</v>
      </c>
      <c r="C1255" s="13">
        <v>70</v>
      </c>
      <c r="D1255" s="14">
        <v>0.16</v>
      </c>
      <c r="E1255" s="14">
        <v>0.11</v>
      </c>
      <c r="F1255" s="14">
        <v>0.19</v>
      </c>
      <c r="G1255" s="14">
        <v>0</v>
      </c>
      <c r="H1255" s="18">
        <v>0</v>
      </c>
      <c r="I1255" s="14">
        <v>20</v>
      </c>
      <c r="J1255" s="14">
        <v>128</v>
      </c>
      <c r="K1255" s="18">
        <v>0.53959999999999997</v>
      </c>
      <c r="L1255" s="26" t="b">
        <f t="shared" si="87"/>
        <v>0</v>
      </c>
      <c r="M1255" s="26" t="str">
        <f t="shared" si="84"/>
        <v>put</v>
      </c>
      <c r="N1255" s="28">
        <f t="shared" si="85"/>
        <v>46283</v>
      </c>
      <c r="O1255" s="29">
        <f t="shared" si="86"/>
        <v>348</v>
      </c>
    </row>
    <row r="1256" spans="1:15" x14ac:dyDescent="0.45">
      <c r="A1256" s="11" t="s">
        <v>1496</v>
      </c>
      <c r="B1256" s="14" t="s">
        <v>1497</v>
      </c>
      <c r="C1256" s="13">
        <v>75</v>
      </c>
      <c r="D1256" s="14">
        <v>0.2</v>
      </c>
      <c r="E1256" s="14">
        <v>0.14000000000000001</v>
      </c>
      <c r="F1256" s="14">
        <v>0.22</v>
      </c>
      <c r="G1256" s="15">
        <v>0</v>
      </c>
      <c r="H1256" s="16">
        <v>0</v>
      </c>
      <c r="I1256" s="14">
        <v>10</v>
      </c>
      <c r="J1256" s="14">
        <v>52</v>
      </c>
      <c r="K1256" s="18">
        <v>0.52339999999999998</v>
      </c>
      <c r="L1256" s="26" t="b">
        <f t="shared" si="87"/>
        <v>0</v>
      </c>
      <c r="M1256" s="26" t="str">
        <f t="shared" si="84"/>
        <v>put</v>
      </c>
      <c r="N1256" s="28">
        <f t="shared" si="85"/>
        <v>46283</v>
      </c>
      <c r="O1256" s="29">
        <f t="shared" si="86"/>
        <v>348</v>
      </c>
    </row>
    <row r="1257" spans="1:15" x14ac:dyDescent="0.45">
      <c r="A1257" s="11" t="s">
        <v>1498</v>
      </c>
      <c r="B1257" s="14" t="s">
        <v>1499</v>
      </c>
      <c r="C1257" s="13">
        <v>80</v>
      </c>
      <c r="D1257" s="14">
        <v>0.22</v>
      </c>
      <c r="E1257" s="14">
        <v>0.17</v>
      </c>
      <c r="F1257" s="14">
        <v>0.21</v>
      </c>
      <c r="G1257" s="14">
        <v>0</v>
      </c>
      <c r="H1257" s="18">
        <v>0</v>
      </c>
      <c r="I1257" s="14">
        <v>1</v>
      </c>
      <c r="J1257" s="14">
        <v>10</v>
      </c>
      <c r="K1257" s="18">
        <v>0.5</v>
      </c>
      <c r="L1257" s="26" t="b">
        <f t="shared" si="87"/>
        <v>0</v>
      </c>
      <c r="M1257" s="26" t="str">
        <f t="shared" si="84"/>
        <v>put</v>
      </c>
      <c r="N1257" s="28">
        <f t="shared" si="85"/>
        <v>46283</v>
      </c>
      <c r="O1257" s="29">
        <f t="shared" si="86"/>
        <v>348</v>
      </c>
    </row>
    <row r="1258" spans="1:15" x14ac:dyDescent="0.45">
      <c r="A1258" s="11" t="s">
        <v>1500</v>
      </c>
      <c r="B1258" s="14" t="s">
        <v>1501</v>
      </c>
      <c r="C1258" s="13">
        <v>85</v>
      </c>
      <c r="D1258" s="14">
        <v>0.51</v>
      </c>
      <c r="E1258" s="14">
        <v>0.21</v>
      </c>
      <c r="F1258" s="14">
        <v>0.26</v>
      </c>
      <c r="G1258" s="14">
        <v>0</v>
      </c>
      <c r="H1258" s="18">
        <v>0</v>
      </c>
      <c r="I1258" s="14">
        <v>1</v>
      </c>
      <c r="J1258" s="14">
        <v>21</v>
      </c>
      <c r="K1258" s="18">
        <v>0.49459999999999998</v>
      </c>
      <c r="L1258" s="26" t="b">
        <f t="shared" si="87"/>
        <v>0</v>
      </c>
      <c r="M1258" s="26" t="str">
        <f t="shared" si="84"/>
        <v>put</v>
      </c>
      <c r="N1258" s="28">
        <f t="shared" si="85"/>
        <v>46283</v>
      </c>
      <c r="O1258" s="29">
        <f t="shared" si="86"/>
        <v>348</v>
      </c>
    </row>
    <row r="1259" spans="1:15" x14ac:dyDescent="0.45">
      <c r="A1259" s="11" t="s">
        <v>1502</v>
      </c>
      <c r="B1259" s="14" t="s">
        <v>1503</v>
      </c>
      <c r="C1259" s="13">
        <v>90</v>
      </c>
      <c r="D1259" s="14">
        <v>0.39</v>
      </c>
      <c r="E1259" s="14">
        <v>0.25</v>
      </c>
      <c r="F1259" s="14">
        <v>0.34</v>
      </c>
      <c r="G1259" s="14">
        <v>0</v>
      </c>
      <c r="H1259" s="18">
        <v>0</v>
      </c>
      <c r="I1259" s="14">
        <v>10</v>
      </c>
      <c r="J1259" s="14">
        <v>46</v>
      </c>
      <c r="K1259" s="18">
        <v>0.48780000000000001</v>
      </c>
      <c r="L1259" s="26" t="b">
        <f t="shared" si="87"/>
        <v>0</v>
      </c>
      <c r="M1259" s="26" t="str">
        <f t="shared" si="84"/>
        <v>put</v>
      </c>
      <c r="N1259" s="28">
        <f t="shared" si="85"/>
        <v>46283</v>
      </c>
      <c r="O1259" s="29">
        <f t="shared" si="86"/>
        <v>348</v>
      </c>
    </row>
    <row r="1260" spans="1:15" x14ac:dyDescent="0.45">
      <c r="A1260" s="11" t="s">
        <v>1504</v>
      </c>
      <c r="B1260" s="12">
        <v>45725.423611111109</v>
      </c>
      <c r="C1260" s="13">
        <v>95</v>
      </c>
      <c r="D1260" s="14">
        <v>0.42</v>
      </c>
      <c r="E1260" s="14">
        <v>0.3</v>
      </c>
      <c r="F1260" s="14">
        <v>0.36</v>
      </c>
      <c r="G1260" s="19">
        <v>0</v>
      </c>
      <c r="H1260" s="20">
        <v>0</v>
      </c>
      <c r="I1260" s="14">
        <v>1</v>
      </c>
      <c r="J1260" s="14">
        <v>48</v>
      </c>
      <c r="K1260" s="18">
        <v>0.46829999999999999</v>
      </c>
      <c r="L1260" s="26" t="b">
        <f t="shared" si="87"/>
        <v>0</v>
      </c>
      <c r="M1260" s="26" t="str">
        <f t="shared" si="84"/>
        <v>put</v>
      </c>
      <c r="N1260" s="28">
        <f t="shared" si="85"/>
        <v>46283</v>
      </c>
      <c r="O1260" s="29">
        <f t="shared" si="86"/>
        <v>348</v>
      </c>
    </row>
    <row r="1261" spans="1:15" x14ac:dyDescent="0.45">
      <c r="A1261" s="11" t="s">
        <v>1505</v>
      </c>
      <c r="B1261" s="14" t="s">
        <v>1506</v>
      </c>
      <c r="C1261" s="13">
        <v>100</v>
      </c>
      <c r="D1261" s="14">
        <v>0.44</v>
      </c>
      <c r="E1261" s="14">
        <v>0.34</v>
      </c>
      <c r="F1261" s="14">
        <v>0.4</v>
      </c>
      <c r="G1261" s="19">
        <v>0</v>
      </c>
      <c r="H1261" s="20">
        <v>0</v>
      </c>
      <c r="I1261" s="14">
        <v>1</v>
      </c>
      <c r="J1261" s="14">
        <v>383</v>
      </c>
      <c r="K1261" s="18">
        <v>0.45240000000000002</v>
      </c>
      <c r="L1261" s="26" t="b">
        <f t="shared" si="87"/>
        <v>0</v>
      </c>
      <c r="M1261" s="26" t="str">
        <f t="shared" si="84"/>
        <v>put</v>
      </c>
      <c r="N1261" s="28">
        <f t="shared" si="85"/>
        <v>46283</v>
      </c>
      <c r="O1261" s="29">
        <f t="shared" si="86"/>
        <v>348</v>
      </c>
    </row>
    <row r="1262" spans="1:15" x14ac:dyDescent="0.45">
      <c r="A1262" s="11" t="s">
        <v>1507</v>
      </c>
      <c r="B1262" s="12">
        <v>45698.511805555558</v>
      </c>
      <c r="C1262" s="13">
        <v>105</v>
      </c>
      <c r="D1262" s="14">
        <v>0.42</v>
      </c>
      <c r="E1262" s="14">
        <v>0.41</v>
      </c>
      <c r="F1262" s="14">
        <v>0.46</v>
      </c>
      <c r="G1262" s="14">
        <v>0</v>
      </c>
      <c r="H1262" s="18">
        <v>0</v>
      </c>
      <c r="I1262" s="14">
        <v>10</v>
      </c>
      <c r="J1262" s="14">
        <v>240</v>
      </c>
      <c r="K1262" s="18">
        <v>0.43969999999999998</v>
      </c>
      <c r="L1262" s="26" t="b">
        <f t="shared" si="87"/>
        <v>0</v>
      </c>
      <c r="M1262" s="26" t="str">
        <f t="shared" si="84"/>
        <v>put</v>
      </c>
      <c r="N1262" s="28">
        <f t="shared" si="85"/>
        <v>46283</v>
      </c>
      <c r="O1262" s="29">
        <f t="shared" si="86"/>
        <v>348</v>
      </c>
    </row>
    <row r="1263" spans="1:15" x14ac:dyDescent="0.45">
      <c r="A1263" s="11" t="s">
        <v>1508</v>
      </c>
      <c r="B1263" s="14" t="s">
        <v>1377</v>
      </c>
      <c r="C1263" s="13">
        <v>110</v>
      </c>
      <c r="D1263" s="14">
        <v>0.52</v>
      </c>
      <c r="E1263" s="14">
        <v>0.48</v>
      </c>
      <c r="F1263" s="14">
        <v>0.53</v>
      </c>
      <c r="G1263" s="15">
        <v>0</v>
      </c>
      <c r="H1263" s="16">
        <v>0</v>
      </c>
      <c r="I1263" s="14">
        <v>1</v>
      </c>
      <c r="J1263" s="14">
        <v>135</v>
      </c>
      <c r="K1263" s="18">
        <v>0.42770000000000002</v>
      </c>
      <c r="L1263" s="26" t="b">
        <f t="shared" si="87"/>
        <v>0</v>
      </c>
      <c r="M1263" s="26" t="str">
        <f t="shared" si="84"/>
        <v>put</v>
      </c>
      <c r="N1263" s="28">
        <f t="shared" si="85"/>
        <v>46283</v>
      </c>
      <c r="O1263" s="29">
        <f t="shared" si="86"/>
        <v>348</v>
      </c>
    </row>
    <row r="1264" spans="1:15" x14ac:dyDescent="0.45">
      <c r="A1264" s="11" t="s">
        <v>1509</v>
      </c>
      <c r="B1264" s="12">
        <v>45667.54791666667</v>
      </c>
      <c r="C1264" s="13">
        <v>115</v>
      </c>
      <c r="D1264" s="14">
        <v>0.6</v>
      </c>
      <c r="E1264" s="14">
        <v>0.56999999999999995</v>
      </c>
      <c r="F1264" s="14">
        <v>0.62</v>
      </c>
      <c r="G1264" s="15">
        <v>0</v>
      </c>
      <c r="H1264" s="16">
        <v>0</v>
      </c>
      <c r="I1264" s="14">
        <v>10</v>
      </c>
      <c r="J1264" s="14">
        <v>369</v>
      </c>
      <c r="K1264" s="18">
        <v>0.41749999999999998</v>
      </c>
      <c r="L1264" s="26" t="b">
        <f t="shared" si="87"/>
        <v>0</v>
      </c>
      <c r="M1264" s="26" t="str">
        <f t="shared" si="84"/>
        <v>put</v>
      </c>
      <c r="N1264" s="28">
        <f t="shared" si="85"/>
        <v>46283</v>
      </c>
      <c r="O1264" s="29">
        <f t="shared" si="86"/>
        <v>348</v>
      </c>
    </row>
    <row r="1265" spans="1:15" x14ac:dyDescent="0.45">
      <c r="A1265" s="11" t="s">
        <v>1510</v>
      </c>
      <c r="B1265" s="14" t="s">
        <v>1511</v>
      </c>
      <c r="C1265" s="13">
        <v>120</v>
      </c>
      <c r="D1265" s="14">
        <v>0.69</v>
      </c>
      <c r="E1265" s="14">
        <v>0.66</v>
      </c>
      <c r="F1265" s="14">
        <v>0.72</v>
      </c>
      <c r="G1265" s="15">
        <v>0</v>
      </c>
      <c r="H1265" s="16">
        <v>0</v>
      </c>
      <c r="I1265" s="14">
        <v>1</v>
      </c>
      <c r="J1265" s="17">
        <v>1070</v>
      </c>
      <c r="K1265" s="18">
        <v>0.40739999999999998</v>
      </c>
      <c r="L1265" s="26" t="b">
        <f t="shared" si="87"/>
        <v>0</v>
      </c>
      <c r="M1265" s="26" t="str">
        <f t="shared" si="84"/>
        <v>put</v>
      </c>
      <c r="N1265" s="28">
        <f t="shared" si="85"/>
        <v>46283</v>
      </c>
      <c r="O1265" s="29">
        <f t="shared" si="86"/>
        <v>348</v>
      </c>
    </row>
    <row r="1266" spans="1:15" x14ac:dyDescent="0.45">
      <c r="A1266" s="11" t="s">
        <v>1512</v>
      </c>
      <c r="B1266" s="12">
        <v>45698.619444444441</v>
      </c>
      <c r="C1266" s="13">
        <v>125</v>
      </c>
      <c r="D1266" s="14">
        <v>0.79</v>
      </c>
      <c r="E1266" s="14">
        <v>0.77</v>
      </c>
      <c r="F1266" s="14">
        <v>0.83</v>
      </c>
      <c r="G1266" s="14">
        <v>0</v>
      </c>
      <c r="H1266" s="18">
        <v>0</v>
      </c>
      <c r="I1266" s="14">
        <v>10</v>
      </c>
      <c r="J1266" s="14">
        <v>32</v>
      </c>
      <c r="K1266" s="18">
        <v>0.3972</v>
      </c>
      <c r="L1266" s="26" t="b">
        <f t="shared" si="87"/>
        <v>0</v>
      </c>
      <c r="M1266" s="26" t="str">
        <f t="shared" si="84"/>
        <v>put</v>
      </c>
      <c r="N1266" s="28">
        <f t="shared" si="85"/>
        <v>46283</v>
      </c>
      <c r="O1266" s="29">
        <f t="shared" si="86"/>
        <v>348</v>
      </c>
    </row>
    <row r="1267" spans="1:15" x14ac:dyDescent="0.45">
      <c r="A1267" s="11" t="s">
        <v>1513</v>
      </c>
      <c r="B1267" s="12">
        <v>45726.50277777778</v>
      </c>
      <c r="C1267" s="13">
        <v>130</v>
      </c>
      <c r="D1267" s="14">
        <v>0.94</v>
      </c>
      <c r="E1267" s="14">
        <v>0.91</v>
      </c>
      <c r="F1267" s="14">
        <v>0.96</v>
      </c>
      <c r="G1267" s="15">
        <v>0</v>
      </c>
      <c r="H1267" s="16">
        <v>0</v>
      </c>
      <c r="I1267" s="14">
        <v>2</v>
      </c>
      <c r="J1267" s="14">
        <v>319</v>
      </c>
      <c r="K1267" s="18">
        <v>0.38790000000000002</v>
      </c>
      <c r="L1267" s="26" t="b">
        <f t="shared" si="87"/>
        <v>0</v>
      </c>
      <c r="M1267" s="26" t="str">
        <f t="shared" si="84"/>
        <v>put</v>
      </c>
      <c r="N1267" s="28">
        <f t="shared" si="85"/>
        <v>46283</v>
      </c>
      <c r="O1267" s="29">
        <f t="shared" si="86"/>
        <v>348</v>
      </c>
    </row>
    <row r="1268" spans="1:15" x14ac:dyDescent="0.45">
      <c r="A1268" s="11" t="s">
        <v>1514</v>
      </c>
      <c r="B1268" s="14" t="s">
        <v>1515</v>
      </c>
      <c r="C1268" s="13">
        <v>135</v>
      </c>
      <c r="D1268" s="14">
        <v>1.1399999999999999</v>
      </c>
      <c r="E1268" s="14">
        <v>1.05</v>
      </c>
      <c r="F1268" s="14">
        <v>1.1100000000000001</v>
      </c>
      <c r="G1268" s="19">
        <v>0</v>
      </c>
      <c r="H1268" s="20">
        <v>0</v>
      </c>
      <c r="I1268" s="14">
        <v>10</v>
      </c>
      <c r="J1268" s="14">
        <v>43</v>
      </c>
      <c r="K1268" s="18">
        <v>0.379</v>
      </c>
      <c r="L1268" s="26" t="b">
        <f t="shared" si="87"/>
        <v>0</v>
      </c>
      <c r="M1268" s="26" t="str">
        <f t="shared" si="84"/>
        <v>put</v>
      </c>
      <c r="N1268" s="28">
        <f t="shared" si="85"/>
        <v>46283</v>
      </c>
      <c r="O1268" s="29">
        <f t="shared" si="86"/>
        <v>348</v>
      </c>
    </row>
    <row r="1269" spans="1:15" x14ac:dyDescent="0.45">
      <c r="A1269" s="11" t="s">
        <v>1516</v>
      </c>
      <c r="B1269" s="12">
        <v>45698.506249999999</v>
      </c>
      <c r="C1269" s="13">
        <v>140</v>
      </c>
      <c r="D1269" s="14">
        <v>1.19</v>
      </c>
      <c r="E1269" s="14">
        <v>1.22</v>
      </c>
      <c r="F1269" s="14">
        <v>1.27</v>
      </c>
      <c r="G1269" s="15">
        <v>0</v>
      </c>
      <c r="H1269" s="16">
        <v>0</v>
      </c>
      <c r="I1269" s="14">
        <v>12</v>
      </c>
      <c r="J1269" s="14">
        <v>217</v>
      </c>
      <c r="K1269" s="18">
        <v>0.36990000000000001</v>
      </c>
      <c r="L1269" s="26" t="b">
        <f t="shared" si="87"/>
        <v>0</v>
      </c>
      <c r="M1269" s="26" t="str">
        <f t="shared" si="84"/>
        <v>put</v>
      </c>
      <c r="N1269" s="28">
        <f t="shared" si="85"/>
        <v>46283</v>
      </c>
      <c r="O1269" s="29">
        <f t="shared" si="86"/>
        <v>348</v>
      </c>
    </row>
    <row r="1270" spans="1:15" x14ac:dyDescent="0.45">
      <c r="A1270" s="11" t="s">
        <v>1517</v>
      </c>
      <c r="B1270" s="12">
        <v>45726.602777777778</v>
      </c>
      <c r="C1270" s="13">
        <v>145</v>
      </c>
      <c r="D1270" s="14">
        <v>1.43</v>
      </c>
      <c r="E1270" s="14">
        <v>1.4</v>
      </c>
      <c r="F1270" s="14">
        <v>1.46</v>
      </c>
      <c r="G1270" s="15">
        <v>-0.05</v>
      </c>
      <c r="H1270" s="16">
        <v>-3.3799999999999997E-2</v>
      </c>
      <c r="I1270" s="14">
        <v>2</v>
      </c>
      <c r="J1270" s="14">
        <v>643</v>
      </c>
      <c r="K1270" s="18">
        <v>0.36149999999999999</v>
      </c>
      <c r="L1270" s="26" t="b">
        <f t="shared" si="87"/>
        <v>0</v>
      </c>
      <c r="M1270" s="26" t="str">
        <f t="shared" si="84"/>
        <v>put</v>
      </c>
      <c r="N1270" s="28">
        <f t="shared" si="85"/>
        <v>46283</v>
      </c>
      <c r="O1270" s="29">
        <f t="shared" si="86"/>
        <v>348</v>
      </c>
    </row>
    <row r="1271" spans="1:15" x14ac:dyDescent="0.45">
      <c r="A1271" s="11" t="s">
        <v>1518</v>
      </c>
      <c r="B1271" s="12">
        <v>45698.446527777778</v>
      </c>
      <c r="C1271" s="13">
        <v>150</v>
      </c>
      <c r="D1271" s="14">
        <v>1.66</v>
      </c>
      <c r="E1271" s="14">
        <v>1.62</v>
      </c>
      <c r="F1271" s="14">
        <v>1.68</v>
      </c>
      <c r="G1271" s="15">
        <v>0.05</v>
      </c>
      <c r="H1271" s="16">
        <v>3.1099999999999999E-2</v>
      </c>
      <c r="I1271" s="14">
        <v>12</v>
      </c>
      <c r="J1271" s="17">
        <v>2051</v>
      </c>
      <c r="K1271" s="18">
        <v>0.35349999999999998</v>
      </c>
      <c r="L1271" s="26" t="b">
        <f t="shared" si="87"/>
        <v>0</v>
      </c>
      <c r="M1271" s="26" t="str">
        <f t="shared" si="84"/>
        <v>put</v>
      </c>
      <c r="N1271" s="28">
        <f t="shared" si="85"/>
        <v>46283</v>
      </c>
      <c r="O1271" s="29">
        <f t="shared" si="86"/>
        <v>348</v>
      </c>
    </row>
    <row r="1272" spans="1:15" x14ac:dyDescent="0.45">
      <c r="A1272" s="11" t="s">
        <v>1519</v>
      </c>
      <c r="B1272" s="12">
        <v>45726.603472222225</v>
      </c>
      <c r="C1272" s="13">
        <v>155</v>
      </c>
      <c r="D1272" s="14">
        <v>1.84</v>
      </c>
      <c r="E1272" s="14">
        <v>1.86</v>
      </c>
      <c r="F1272" s="14">
        <v>1.92</v>
      </c>
      <c r="G1272" s="15">
        <v>-0.04</v>
      </c>
      <c r="H1272" s="16">
        <v>-2.1299999999999999E-2</v>
      </c>
      <c r="I1272" s="14">
        <v>2</v>
      </c>
      <c r="J1272" s="14">
        <v>940</v>
      </c>
      <c r="K1272" s="18">
        <v>0.34549999999999997</v>
      </c>
      <c r="L1272" s="26" t="b">
        <f t="shared" si="87"/>
        <v>0</v>
      </c>
      <c r="M1272" s="26" t="str">
        <f t="shared" si="84"/>
        <v>put</v>
      </c>
      <c r="N1272" s="28">
        <f t="shared" si="85"/>
        <v>46283</v>
      </c>
      <c r="O1272" s="29">
        <f t="shared" si="86"/>
        <v>348</v>
      </c>
    </row>
    <row r="1273" spans="1:15" x14ac:dyDescent="0.45">
      <c r="A1273" s="11" t="s">
        <v>1520</v>
      </c>
      <c r="B1273" s="12">
        <v>45726.404861111114</v>
      </c>
      <c r="C1273" s="13">
        <v>160</v>
      </c>
      <c r="D1273" s="14">
        <v>2.11</v>
      </c>
      <c r="E1273" s="14">
        <v>2.14</v>
      </c>
      <c r="F1273" s="14">
        <v>2.2000000000000002</v>
      </c>
      <c r="G1273" s="15">
        <v>-0.04</v>
      </c>
      <c r="H1273" s="16">
        <v>-1.8599999999999998E-2</v>
      </c>
      <c r="I1273" s="14">
        <v>2</v>
      </c>
      <c r="J1273" s="17">
        <v>3165</v>
      </c>
      <c r="K1273" s="18">
        <v>0.33800000000000002</v>
      </c>
      <c r="L1273" s="26" t="b">
        <f t="shared" si="87"/>
        <v>0</v>
      </c>
      <c r="M1273" s="26" t="str">
        <f t="shared" si="84"/>
        <v>put</v>
      </c>
      <c r="N1273" s="28">
        <f t="shared" si="85"/>
        <v>46283</v>
      </c>
      <c r="O1273" s="29">
        <f t="shared" si="86"/>
        <v>348</v>
      </c>
    </row>
    <row r="1274" spans="1:15" x14ac:dyDescent="0.45">
      <c r="A1274" s="11" t="s">
        <v>1521</v>
      </c>
      <c r="B1274" s="12">
        <v>45698.448611111111</v>
      </c>
      <c r="C1274" s="13">
        <v>165</v>
      </c>
      <c r="D1274" s="14">
        <v>2.4300000000000002</v>
      </c>
      <c r="E1274" s="14">
        <v>2.44</v>
      </c>
      <c r="F1274" s="14">
        <v>2.5</v>
      </c>
      <c r="G1274" s="15">
        <v>0</v>
      </c>
      <c r="H1274" s="16">
        <v>0</v>
      </c>
      <c r="I1274" s="14">
        <v>2</v>
      </c>
      <c r="J1274" s="17">
        <v>2310</v>
      </c>
      <c r="K1274" s="18">
        <v>0.3301</v>
      </c>
      <c r="L1274" s="26" t="b">
        <f t="shared" si="87"/>
        <v>0</v>
      </c>
      <c r="M1274" s="26" t="str">
        <f t="shared" si="84"/>
        <v>put</v>
      </c>
      <c r="N1274" s="28">
        <f t="shared" si="85"/>
        <v>46283</v>
      </c>
      <c r="O1274" s="29">
        <f t="shared" si="86"/>
        <v>348</v>
      </c>
    </row>
    <row r="1275" spans="1:15" x14ac:dyDescent="0.45">
      <c r="A1275" s="11" t="s">
        <v>1522</v>
      </c>
      <c r="B1275" s="12">
        <v>45698.602777777778</v>
      </c>
      <c r="C1275" s="13">
        <v>170</v>
      </c>
      <c r="D1275" s="14">
        <v>2.8</v>
      </c>
      <c r="E1275" s="14">
        <v>2.79</v>
      </c>
      <c r="F1275" s="14">
        <v>2.87</v>
      </c>
      <c r="G1275" s="15">
        <v>0</v>
      </c>
      <c r="H1275" s="16">
        <v>0</v>
      </c>
      <c r="I1275" s="14">
        <v>29</v>
      </c>
      <c r="J1275" s="17">
        <v>2683</v>
      </c>
      <c r="K1275" s="18">
        <v>0.32350000000000001</v>
      </c>
      <c r="L1275" s="26" t="b">
        <f t="shared" si="87"/>
        <v>0</v>
      </c>
      <c r="M1275" s="26" t="str">
        <f t="shared" si="84"/>
        <v>put</v>
      </c>
      <c r="N1275" s="28">
        <f t="shared" si="85"/>
        <v>46283</v>
      </c>
      <c r="O1275" s="29">
        <f t="shared" si="86"/>
        <v>348</v>
      </c>
    </row>
    <row r="1276" spans="1:15" x14ac:dyDescent="0.45">
      <c r="A1276" s="11" t="s">
        <v>1523</v>
      </c>
      <c r="B1276" s="12">
        <v>45667.54583333333</v>
      </c>
      <c r="C1276" s="13">
        <v>175</v>
      </c>
      <c r="D1276" s="14">
        <v>3.25</v>
      </c>
      <c r="E1276" s="14">
        <v>3.15</v>
      </c>
      <c r="F1276" s="14">
        <v>3.25</v>
      </c>
      <c r="G1276" s="15">
        <v>0</v>
      </c>
      <c r="H1276" s="16">
        <v>0</v>
      </c>
      <c r="I1276" s="14">
        <v>3</v>
      </c>
      <c r="J1276" s="17">
        <v>1787</v>
      </c>
      <c r="K1276" s="18">
        <v>0.316</v>
      </c>
      <c r="L1276" s="26" t="b">
        <f t="shared" si="87"/>
        <v>0</v>
      </c>
      <c r="M1276" s="26" t="str">
        <f t="shared" si="84"/>
        <v>put</v>
      </c>
      <c r="N1276" s="28">
        <f t="shared" si="85"/>
        <v>46283</v>
      </c>
      <c r="O1276" s="29">
        <f t="shared" si="86"/>
        <v>348</v>
      </c>
    </row>
    <row r="1277" spans="1:15" x14ac:dyDescent="0.45">
      <c r="A1277" s="11" t="s">
        <v>1524</v>
      </c>
      <c r="B1277" s="12">
        <v>45726.413194444445</v>
      </c>
      <c r="C1277" s="13">
        <v>180</v>
      </c>
      <c r="D1277" s="14">
        <v>3.61</v>
      </c>
      <c r="E1277" s="14">
        <v>3.6</v>
      </c>
      <c r="F1277" s="14">
        <v>3.7</v>
      </c>
      <c r="G1277" s="15">
        <v>-0.11</v>
      </c>
      <c r="H1277" s="16">
        <v>-2.9600000000000001E-2</v>
      </c>
      <c r="I1277" s="14">
        <v>2</v>
      </c>
      <c r="J1277" s="17">
        <v>1571</v>
      </c>
      <c r="K1277" s="18">
        <v>0.30940000000000001</v>
      </c>
      <c r="L1277" s="26" t="b">
        <f t="shared" si="87"/>
        <v>0</v>
      </c>
      <c r="M1277" s="26" t="str">
        <f t="shared" ref="M1277:M1340" si="88">IF(MID(A1277,11,1)="C","call","put")</f>
        <v>put</v>
      </c>
      <c r="N1277" s="28">
        <f t="shared" ref="N1277:N1340" si="89">DATE(MID(A1277,5,2)+2000,MID(A1277,7,2),MID(A1277,9,2))</f>
        <v>46283</v>
      </c>
      <c r="O1277" s="29">
        <f t="shared" si="86"/>
        <v>348</v>
      </c>
    </row>
    <row r="1278" spans="1:15" x14ac:dyDescent="0.45">
      <c r="A1278" s="11" t="s">
        <v>1525</v>
      </c>
      <c r="B1278" s="12">
        <v>45726.633333333331</v>
      </c>
      <c r="C1278" s="13">
        <v>185</v>
      </c>
      <c r="D1278" s="14">
        <v>4.1500000000000004</v>
      </c>
      <c r="E1278" s="14">
        <v>4.0999999999999996</v>
      </c>
      <c r="F1278" s="14">
        <v>4.2</v>
      </c>
      <c r="G1278" s="15">
        <v>0</v>
      </c>
      <c r="H1278" s="16">
        <v>0</v>
      </c>
      <c r="I1278" s="14">
        <v>18</v>
      </c>
      <c r="J1278" s="17">
        <v>1580</v>
      </c>
      <c r="K1278" s="18">
        <v>0.30270000000000002</v>
      </c>
      <c r="L1278" s="26" t="b">
        <f t="shared" si="87"/>
        <v>0</v>
      </c>
      <c r="M1278" s="26" t="str">
        <f t="shared" si="88"/>
        <v>put</v>
      </c>
      <c r="N1278" s="28">
        <f t="shared" si="89"/>
        <v>46283</v>
      </c>
      <c r="O1278" s="29">
        <f t="shared" ref="O1278:O1341" si="90">N1278-DATE(2025,10,5)</f>
        <v>348</v>
      </c>
    </row>
    <row r="1279" spans="1:15" x14ac:dyDescent="0.45">
      <c r="A1279" s="11" t="s">
        <v>1526</v>
      </c>
      <c r="B1279" s="12">
        <v>45698.62777777778</v>
      </c>
      <c r="C1279" s="13">
        <v>190</v>
      </c>
      <c r="D1279" s="14">
        <v>4.8</v>
      </c>
      <c r="E1279" s="14">
        <v>4.6500000000000004</v>
      </c>
      <c r="F1279" s="14">
        <v>4.8</v>
      </c>
      <c r="G1279" s="15">
        <v>0.05</v>
      </c>
      <c r="H1279" s="16">
        <v>1.0500000000000001E-2</v>
      </c>
      <c r="I1279" s="14">
        <v>1</v>
      </c>
      <c r="J1279" s="17">
        <v>1889</v>
      </c>
      <c r="K1279" s="18">
        <v>0.29709999999999998</v>
      </c>
      <c r="L1279" s="26" t="b">
        <f t="shared" si="87"/>
        <v>0</v>
      </c>
      <c r="M1279" s="26" t="str">
        <f t="shared" si="88"/>
        <v>put</v>
      </c>
      <c r="N1279" s="28">
        <f t="shared" si="89"/>
        <v>46283</v>
      </c>
      <c r="O1279" s="29">
        <f t="shared" si="90"/>
        <v>348</v>
      </c>
    </row>
    <row r="1280" spans="1:15" x14ac:dyDescent="0.45">
      <c r="A1280" s="11" t="s">
        <v>1527</v>
      </c>
      <c r="B1280" s="12">
        <v>45726.441666666666</v>
      </c>
      <c r="C1280" s="13">
        <v>195</v>
      </c>
      <c r="D1280" s="14">
        <v>5.35</v>
      </c>
      <c r="E1280" s="14">
        <v>5.3</v>
      </c>
      <c r="F1280" s="14">
        <v>5.4</v>
      </c>
      <c r="G1280" s="15">
        <v>0</v>
      </c>
      <c r="H1280" s="16">
        <v>0</v>
      </c>
      <c r="I1280" s="14">
        <v>3</v>
      </c>
      <c r="J1280" s="17">
        <v>2971</v>
      </c>
      <c r="K1280" s="18">
        <v>0.29020000000000001</v>
      </c>
      <c r="L1280" s="26" t="b">
        <f t="shared" ref="L1280:L1343" si="91">IF(M1280="call",C1280&lt;$P$1,C1280&gt;$P$1)</f>
        <v>0</v>
      </c>
      <c r="M1280" s="26" t="str">
        <f t="shared" si="88"/>
        <v>put</v>
      </c>
      <c r="N1280" s="28">
        <f t="shared" si="89"/>
        <v>46283</v>
      </c>
      <c r="O1280" s="29">
        <f t="shared" si="90"/>
        <v>348</v>
      </c>
    </row>
    <row r="1281" spans="1:15" x14ac:dyDescent="0.45">
      <c r="A1281" s="11" t="s">
        <v>1528</v>
      </c>
      <c r="B1281" s="12">
        <v>45698.558333333334</v>
      </c>
      <c r="C1281" s="13">
        <v>200</v>
      </c>
      <c r="D1281" s="14">
        <v>6</v>
      </c>
      <c r="E1281" s="14">
        <v>6</v>
      </c>
      <c r="F1281" s="14">
        <v>6.1</v>
      </c>
      <c r="G1281" s="15">
        <v>-0.1</v>
      </c>
      <c r="H1281" s="16">
        <v>-1.6400000000000001E-2</v>
      </c>
      <c r="I1281" s="14">
        <v>1</v>
      </c>
      <c r="J1281" s="17">
        <v>7100</v>
      </c>
      <c r="K1281" s="18">
        <v>0.28399999999999997</v>
      </c>
      <c r="L1281" s="26" t="b">
        <f t="shared" si="91"/>
        <v>0</v>
      </c>
      <c r="M1281" s="26" t="str">
        <f t="shared" si="88"/>
        <v>put</v>
      </c>
      <c r="N1281" s="28">
        <f t="shared" si="89"/>
        <v>46283</v>
      </c>
      <c r="O1281" s="29">
        <f t="shared" si="90"/>
        <v>348</v>
      </c>
    </row>
    <row r="1282" spans="1:15" x14ac:dyDescent="0.45">
      <c r="A1282" s="11" t="s">
        <v>1529</v>
      </c>
      <c r="B1282" s="12">
        <v>45698.504166666666</v>
      </c>
      <c r="C1282" s="13">
        <v>205</v>
      </c>
      <c r="D1282" s="14">
        <v>6.74</v>
      </c>
      <c r="E1282" s="14">
        <v>6.75</v>
      </c>
      <c r="F1282" s="14">
        <v>6.9</v>
      </c>
      <c r="G1282" s="15">
        <v>-0.06</v>
      </c>
      <c r="H1282" s="16">
        <v>-8.8000000000000005E-3</v>
      </c>
      <c r="I1282" s="14">
        <v>2</v>
      </c>
      <c r="J1282" s="17">
        <v>3922</v>
      </c>
      <c r="K1282" s="18">
        <v>0.27829999999999999</v>
      </c>
      <c r="L1282" s="26" t="b">
        <f t="shared" si="91"/>
        <v>0</v>
      </c>
      <c r="M1282" s="26" t="str">
        <f t="shared" si="88"/>
        <v>put</v>
      </c>
      <c r="N1282" s="28">
        <f t="shared" si="89"/>
        <v>46283</v>
      </c>
      <c r="O1282" s="29">
        <f t="shared" si="90"/>
        <v>348</v>
      </c>
    </row>
    <row r="1283" spans="1:15" x14ac:dyDescent="0.45">
      <c r="A1283" s="11" t="s">
        <v>1530</v>
      </c>
      <c r="B1283" s="12">
        <v>45726.642361111109</v>
      </c>
      <c r="C1283" s="13">
        <v>210</v>
      </c>
      <c r="D1283" s="14">
        <v>7.75</v>
      </c>
      <c r="E1283" s="14">
        <v>7.65</v>
      </c>
      <c r="F1283" s="14">
        <v>7.8</v>
      </c>
      <c r="G1283" s="15">
        <v>-0.08</v>
      </c>
      <c r="H1283" s="16">
        <v>-1.0200000000000001E-2</v>
      </c>
      <c r="I1283" s="14">
        <v>7</v>
      </c>
      <c r="J1283" s="17">
        <v>1888</v>
      </c>
      <c r="K1283" s="18">
        <v>0.27289999999999998</v>
      </c>
      <c r="L1283" s="26" t="b">
        <f t="shared" si="91"/>
        <v>0</v>
      </c>
      <c r="M1283" s="26" t="str">
        <f t="shared" si="88"/>
        <v>put</v>
      </c>
      <c r="N1283" s="28">
        <f t="shared" si="89"/>
        <v>46283</v>
      </c>
      <c r="O1283" s="29">
        <f t="shared" si="90"/>
        <v>348</v>
      </c>
    </row>
    <row r="1284" spans="1:15" x14ac:dyDescent="0.45">
      <c r="A1284" s="11" t="s">
        <v>1531</v>
      </c>
      <c r="B1284" s="12">
        <v>45726.537499999999</v>
      </c>
      <c r="C1284" s="13">
        <v>215</v>
      </c>
      <c r="D1284" s="14">
        <v>8.5</v>
      </c>
      <c r="E1284" s="14">
        <v>8.6</v>
      </c>
      <c r="F1284" s="14">
        <v>8.75</v>
      </c>
      <c r="G1284" s="15">
        <v>-0.25</v>
      </c>
      <c r="H1284" s="16">
        <v>-2.86E-2</v>
      </c>
      <c r="I1284" s="14">
        <v>18</v>
      </c>
      <c r="J1284" s="17">
        <v>1577</v>
      </c>
      <c r="K1284" s="18">
        <v>0.26690000000000003</v>
      </c>
      <c r="L1284" s="26" t="b">
        <f t="shared" si="91"/>
        <v>0</v>
      </c>
      <c r="M1284" s="26" t="str">
        <f t="shared" si="88"/>
        <v>put</v>
      </c>
      <c r="N1284" s="28">
        <f t="shared" si="89"/>
        <v>46283</v>
      </c>
      <c r="O1284" s="29">
        <f t="shared" si="90"/>
        <v>348</v>
      </c>
    </row>
    <row r="1285" spans="1:15" x14ac:dyDescent="0.45">
      <c r="A1285" s="11" t="s">
        <v>1532</v>
      </c>
      <c r="B1285" s="12">
        <v>45726.404861111114</v>
      </c>
      <c r="C1285" s="13">
        <v>220</v>
      </c>
      <c r="D1285" s="14">
        <v>9.8000000000000007</v>
      </c>
      <c r="E1285" s="14">
        <v>9.65</v>
      </c>
      <c r="F1285" s="14">
        <v>9.85</v>
      </c>
      <c r="G1285" s="15">
        <v>-0.25</v>
      </c>
      <c r="H1285" s="16">
        <v>-2.4899999999999999E-2</v>
      </c>
      <c r="I1285" s="14">
        <v>2</v>
      </c>
      <c r="J1285" s="14">
        <v>895</v>
      </c>
      <c r="K1285" s="18">
        <v>0.2616</v>
      </c>
      <c r="L1285" s="26" t="b">
        <f t="shared" si="91"/>
        <v>0</v>
      </c>
      <c r="M1285" s="26" t="str">
        <f t="shared" si="88"/>
        <v>put</v>
      </c>
      <c r="N1285" s="28">
        <f t="shared" si="89"/>
        <v>46283</v>
      </c>
      <c r="O1285" s="29">
        <f t="shared" si="90"/>
        <v>348</v>
      </c>
    </row>
    <row r="1286" spans="1:15" x14ac:dyDescent="0.45">
      <c r="A1286" s="11" t="s">
        <v>1533</v>
      </c>
      <c r="B1286" s="12">
        <v>45726.662499999999</v>
      </c>
      <c r="C1286" s="13">
        <v>225</v>
      </c>
      <c r="D1286" s="14">
        <v>11.1</v>
      </c>
      <c r="E1286" s="14">
        <v>10.85</v>
      </c>
      <c r="F1286" s="14">
        <v>11.05</v>
      </c>
      <c r="G1286" s="19">
        <v>0.1</v>
      </c>
      <c r="H1286" s="20">
        <v>9.1000000000000004E-3</v>
      </c>
      <c r="I1286" s="14">
        <v>10</v>
      </c>
      <c r="J1286" s="17">
        <v>2019</v>
      </c>
      <c r="K1286" s="18">
        <v>0.25629999999999997</v>
      </c>
      <c r="L1286" s="26" t="b">
        <f t="shared" si="91"/>
        <v>0</v>
      </c>
      <c r="M1286" s="26" t="str">
        <f t="shared" si="88"/>
        <v>put</v>
      </c>
      <c r="N1286" s="28">
        <f t="shared" si="89"/>
        <v>46283</v>
      </c>
      <c r="O1286" s="29">
        <f t="shared" si="90"/>
        <v>348</v>
      </c>
    </row>
    <row r="1287" spans="1:15" x14ac:dyDescent="0.45">
      <c r="A1287" s="11" t="s">
        <v>1534</v>
      </c>
      <c r="B1287" s="12">
        <v>45726.662499999999</v>
      </c>
      <c r="C1287" s="13">
        <v>230</v>
      </c>
      <c r="D1287" s="14">
        <v>12.4</v>
      </c>
      <c r="E1287" s="14">
        <v>12.15</v>
      </c>
      <c r="F1287" s="14">
        <v>12.35</v>
      </c>
      <c r="G1287" s="19">
        <v>0.01</v>
      </c>
      <c r="H1287" s="20">
        <v>8.0000000000000004E-4</v>
      </c>
      <c r="I1287" s="14">
        <v>74</v>
      </c>
      <c r="J1287" s="17">
        <v>1022</v>
      </c>
      <c r="K1287" s="18">
        <v>0.25080000000000002</v>
      </c>
      <c r="L1287" s="26" t="b">
        <f t="shared" si="91"/>
        <v>0</v>
      </c>
      <c r="M1287" s="26" t="str">
        <f t="shared" si="88"/>
        <v>put</v>
      </c>
      <c r="N1287" s="28">
        <f t="shared" si="89"/>
        <v>46283</v>
      </c>
      <c r="O1287" s="29">
        <f t="shared" si="90"/>
        <v>348</v>
      </c>
    </row>
    <row r="1288" spans="1:15" x14ac:dyDescent="0.45">
      <c r="A1288" s="11" t="s">
        <v>1535</v>
      </c>
      <c r="B1288" s="12">
        <v>45726.620833333334</v>
      </c>
      <c r="C1288" s="13">
        <v>235</v>
      </c>
      <c r="D1288" s="14">
        <v>13.64</v>
      </c>
      <c r="E1288" s="14">
        <v>13.55</v>
      </c>
      <c r="F1288" s="14">
        <v>13.75</v>
      </c>
      <c r="G1288" s="15">
        <v>-0.23</v>
      </c>
      <c r="H1288" s="16">
        <v>-1.66E-2</v>
      </c>
      <c r="I1288" s="14">
        <v>11</v>
      </c>
      <c r="J1288" s="14">
        <v>959</v>
      </c>
      <c r="K1288" s="18">
        <v>0.24510000000000001</v>
      </c>
      <c r="L1288" s="26" t="b">
        <f t="shared" si="91"/>
        <v>0</v>
      </c>
      <c r="M1288" s="26" t="str">
        <f t="shared" si="88"/>
        <v>put</v>
      </c>
      <c r="N1288" s="28">
        <f t="shared" si="89"/>
        <v>46283</v>
      </c>
      <c r="O1288" s="29">
        <f t="shared" si="90"/>
        <v>348</v>
      </c>
    </row>
    <row r="1289" spans="1:15" x14ac:dyDescent="0.45">
      <c r="A1289" s="11" t="s">
        <v>1536</v>
      </c>
      <c r="B1289" s="12">
        <v>45726.664583333331</v>
      </c>
      <c r="C1289" s="13">
        <v>240</v>
      </c>
      <c r="D1289" s="14">
        <v>15.3</v>
      </c>
      <c r="E1289" s="14">
        <v>15.1</v>
      </c>
      <c r="F1289" s="14">
        <v>15.2</v>
      </c>
      <c r="G1289" s="15">
        <v>-0.1</v>
      </c>
      <c r="H1289" s="16">
        <v>-6.4999999999999997E-3</v>
      </c>
      <c r="I1289" s="14">
        <v>39</v>
      </c>
      <c r="J1289" s="17">
        <v>1100</v>
      </c>
      <c r="K1289" s="18">
        <v>0.23860000000000001</v>
      </c>
      <c r="L1289" s="26" t="b">
        <f t="shared" si="91"/>
        <v>0</v>
      </c>
      <c r="M1289" s="26" t="str">
        <f t="shared" si="88"/>
        <v>put</v>
      </c>
      <c r="N1289" s="28">
        <f t="shared" si="89"/>
        <v>46283</v>
      </c>
      <c r="O1289" s="29">
        <f t="shared" si="90"/>
        <v>348</v>
      </c>
    </row>
    <row r="1290" spans="1:15" x14ac:dyDescent="0.45">
      <c r="A1290" s="11" t="s">
        <v>1537</v>
      </c>
      <c r="B1290" s="12">
        <v>45726.652777777781</v>
      </c>
      <c r="C1290" s="13">
        <v>245</v>
      </c>
      <c r="D1290" s="14">
        <v>16.989999999999998</v>
      </c>
      <c r="E1290" s="14">
        <v>16.7</v>
      </c>
      <c r="F1290" s="14">
        <v>16.95</v>
      </c>
      <c r="G1290" s="15">
        <v>-0.09</v>
      </c>
      <c r="H1290" s="16">
        <v>-5.3E-3</v>
      </c>
      <c r="I1290" s="14">
        <v>33</v>
      </c>
      <c r="J1290" s="14">
        <v>177</v>
      </c>
      <c r="K1290" s="18">
        <v>0.23380000000000001</v>
      </c>
      <c r="L1290" s="26" t="b">
        <f t="shared" si="91"/>
        <v>0</v>
      </c>
      <c r="M1290" s="26" t="str">
        <f t="shared" si="88"/>
        <v>put</v>
      </c>
      <c r="N1290" s="28">
        <f t="shared" si="89"/>
        <v>46283</v>
      </c>
      <c r="O1290" s="29">
        <f t="shared" si="90"/>
        <v>348</v>
      </c>
    </row>
    <row r="1291" spans="1:15" x14ac:dyDescent="0.45">
      <c r="A1291" s="11" t="s">
        <v>1538</v>
      </c>
      <c r="B1291" s="12">
        <v>45726.656944444447</v>
      </c>
      <c r="C1291" s="13">
        <v>250</v>
      </c>
      <c r="D1291" s="14">
        <v>18.75</v>
      </c>
      <c r="E1291" s="14">
        <v>18.600000000000001</v>
      </c>
      <c r="F1291" s="14">
        <v>18.8</v>
      </c>
      <c r="G1291" s="15">
        <v>-0.23</v>
      </c>
      <c r="H1291" s="16">
        <v>-1.21E-2</v>
      </c>
      <c r="I1291" s="14">
        <v>75</v>
      </c>
      <c r="J1291" s="17">
        <v>2591</v>
      </c>
      <c r="K1291" s="18">
        <v>0.22850000000000001</v>
      </c>
      <c r="L1291" s="26" t="b">
        <f t="shared" si="91"/>
        <v>0</v>
      </c>
      <c r="M1291" s="26" t="str">
        <f t="shared" si="88"/>
        <v>put</v>
      </c>
      <c r="N1291" s="28">
        <f t="shared" si="89"/>
        <v>46283</v>
      </c>
      <c r="O1291" s="29">
        <f t="shared" si="90"/>
        <v>348</v>
      </c>
    </row>
    <row r="1292" spans="1:15" x14ac:dyDescent="0.45">
      <c r="A1292" s="11" t="s">
        <v>1539</v>
      </c>
      <c r="B1292" s="12">
        <v>45726.658333333333</v>
      </c>
      <c r="C1292" s="13">
        <v>255</v>
      </c>
      <c r="D1292" s="14">
        <v>20.75</v>
      </c>
      <c r="E1292" s="14">
        <v>20.6</v>
      </c>
      <c r="F1292" s="14">
        <v>20.75</v>
      </c>
      <c r="G1292" s="15">
        <v>-0.2</v>
      </c>
      <c r="H1292" s="16">
        <v>-9.4999999999999998E-3</v>
      </c>
      <c r="I1292" s="17">
        <v>2084</v>
      </c>
      <c r="J1292" s="14">
        <v>554</v>
      </c>
      <c r="K1292" s="18">
        <v>0.22270000000000001</v>
      </c>
      <c r="L1292" s="26" t="b">
        <f t="shared" si="91"/>
        <v>0</v>
      </c>
      <c r="M1292" s="26" t="str">
        <f t="shared" si="88"/>
        <v>put</v>
      </c>
      <c r="N1292" s="28">
        <f t="shared" si="89"/>
        <v>46283</v>
      </c>
      <c r="O1292" s="29">
        <f t="shared" si="90"/>
        <v>348</v>
      </c>
    </row>
    <row r="1293" spans="1:15" x14ac:dyDescent="0.45">
      <c r="A1293" s="1" t="s">
        <v>1540</v>
      </c>
      <c r="B1293" s="2">
        <v>45726.662499999999</v>
      </c>
      <c r="C1293" s="3">
        <v>260</v>
      </c>
      <c r="D1293" s="4">
        <v>23.1</v>
      </c>
      <c r="E1293" s="4">
        <v>22.7</v>
      </c>
      <c r="F1293" s="4">
        <v>22.95</v>
      </c>
      <c r="G1293" s="6">
        <v>7.0000000000000007E-2</v>
      </c>
      <c r="H1293" s="7">
        <v>3.0000000000000001E-3</v>
      </c>
      <c r="I1293" s="4">
        <v>813</v>
      </c>
      <c r="J1293" s="4">
        <v>388</v>
      </c>
      <c r="K1293" s="5">
        <v>0.21779999999999999</v>
      </c>
      <c r="L1293" s="26" t="b">
        <f t="shared" si="91"/>
        <v>1</v>
      </c>
      <c r="M1293" s="26" t="str">
        <f t="shared" si="88"/>
        <v>put</v>
      </c>
      <c r="N1293" s="28">
        <f t="shared" si="89"/>
        <v>46283</v>
      </c>
      <c r="O1293" s="29">
        <f t="shared" si="90"/>
        <v>348</v>
      </c>
    </row>
    <row r="1294" spans="1:15" x14ac:dyDescent="0.45">
      <c r="A1294" s="1" t="s">
        <v>1541</v>
      </c>
      <c r="B1294" s="2">
        <v>45726.656944444447</v>
      </c>
      <c r="C1294" s="3">
        <v>265</v>
      </c>
      <c r="D1294" s="4">
        <v>25.25</v>
      </c>
      <c r="E1294" s="4">
        <v>24.85</v>
      </c>
      <c r="F1294" s="4">
        <v>25.3</v>
      </c>
      <c r="G1294" s="8">
        <v>-0.3</v>
      </c>
      <c r="H1294" s="9">
        <v>-1.17E-2</v>
      </c>
      <c r="I1294" s="4">
        <v>800</v>
      </c>
      <c r="J1294" s="4">
        <v>124</v>
      </c>
      <c r="K1294" s="5">
        <v>0.21260000000000001</v>
      </c>
      <c r="L1294" s="26" t="b">
        <f t="shared" si="91"/>
        <v>1</v>
      </c>
      <c r="M1294" s="26" t="str">
        <f t="shared" si="88"/>
        <v>put</v>
      </c>
      <c r="N1294" s="28">
        <f t="shared" si="89"/>
        <v>46283</v>
      </c>
      <c r="O1294" s="29">
        <f t="shared" si="90"/>
        <v>348</v>
      </c>
    </row>
    <row r="1295" spans="1:15" x14ac:dyDescent="0.45">
      <c r="A1295" s="1" t="s">
        <v>1542</v>
      </c>
      <c r="B1295" s="2">
        <v>45726.654861111114</v>
      </c>
      <c r="C1295" s="3">
        <v>270</v>
      </c>
      <c r="D1295" s="4">
        <v>27.75</v>
      </c>
      <c r="E1295" s="4">
        <v>27.55</v>
      </c>
      <c r="F1295" s="4">
        <v>27.8</v>
      </c>
      <c r="G1295" s="8">
        <v>-0.47</v>
      </c>
      <c r="H1295" s="9">
        <v>-1.67E-2</v>
      </c>
      <c r="I1295" s="4">
        <v>91</v>
      </c>
      <c r="J1295" s="4">
        <v>147</v>
      </c>
      <c r="K1295" s="5">
        <v>0.20710000000000001</v>
      </c>
      <c r="L1295" s="26" t="b">
        <f t="shared" si="91"/>
        <v>1</v>
      </c>
      <c r="M1295" s="26" t="str">
        <f t="shared" si="88"/>
        <v>put</v>
      </c>
      <c r="N1295" s="28">
        <f t="shared" si="89"/>
        <v>46283</v>
      </c>
      <c r="O1295" s="29">
        <f t="shared" si="90"/>
        <v>348</v>
      </c>
    </row>
    <row r="1296" spans="1:15" x14ac:dyDescent="0.45">
      <c r="A1296" s="1" t="s">
        <v>1543</v>
      </c>
      <c r="B1296" s="2">
        <v>45726.616666666669</v>
      </c>
      <c r="C1296" s="3">
        <v>275</v>
      </c>
      <c r="D1296" s="4">
        <v>30.29</v>
      </c>
      <c r="E1296" s="4">
        <v>30.3</v>
      </c>
      <c r="F1296" s="4">
        <v>30.6</v>
      </c>
      <c r="G1296" s="8">
        <v>-0.47</v>
      </c>
      <c r="H1296" s="9">
        <v>-1.5299999999999999E-2</v>
      </c>
      <c r="I1296" s="4">
        <v>12</v>
      </c>
      <c r="J1296" s="4">
        <v>37</v>
      </c>
      <c r="K1296" s="5">
        <v>0.20280000000000001</v>
      </c>
      <c r="L1296" s="26" t="b">
        <f t="shared" si="91"/>
        <v>1</v>
      </c>
      <c r="M1296" s="26" t="str">
        <f t="shared" si="88"/>
        <v>put</v>
      </c>
      <c r="N1296" s="28">
        <f t="shared" si="89"/>
        <v>46283</v>
      </c>
      <c r="O1296" s="29">
        <f t="shared" si="90"/>
        <v>348</v>
      </c>
    </row>
    <row r="1297" spans="1:15" x14ac:dyDescent="0.45">
      <c r="A1297" s="1" t="s">
        <v>1544</v>
      </c>
      <c r="B1297" s="2">
        <v>45726.620138888888</v>
      </c>
      <c r="C1297" s="3">
        <v>280</v>
      </c>
      <c r="D1297" s="4">
        <v>33.19</v>
      </c>
      <c r="E1297" s="4">
        <v>33.15</v>
      </c>
      <c r="F1297" s="4">
        <v>33.5</v>
      </c>
      <c r="G1297" s="8">
        <v>-0.36</v>
      </c>
      <c r="H1297" s="9">
        <v>-1.0699999999999999E-2</v>
      </c>
      <c r="I1297" s="4">
        <v>12</v>
      </c>
      <c r="J1297" s="4">
        <v>21</v>
      </c>
      <c r="K1297" s="5">
        <v>0.19769999999999999</v>
      </c>
      <c r="L1297" s="26" t="b">
        <f t="shared" si="91"/>
        <v>1</v>
      </c>
      <c r="M1297" s="26" t="str">
        <f t="shared" si="88"/>
        <v>put</v>
      </c>
      <c r="N1297" s="28">
        <f t="shared" si="89"/>
        <v>46283</v>
      </c>
      <c r="O1297" s="29">
        <f t="shared" si="90"/>
        <v>348</v>
      </c>
    </row>
    <row r="1298" spans="1:15" x14ac:dyDescent="0.45">
      <c r="A1298" s="1" t="s">
        <v>1545</v>
      </c>
      <c r="B1298" s="2">
        <v>45726.620833333334</v>
      </c>
      <c r="C1298" s="3">
        <v>285</v>
      </c>
      <c r="D1298" s="4">
        <v>36.200000000000003</v>
      </c>
      <c r="E1298" s="4">
        <v>36.25</v>
      </c>
      <c r="F1298" s="4">
        <v>37.049999999999997</v>
      </c>
      <c r="G1298" s="8">
        <v>-0.4</v>
      </c>
      <c r="H1298" s="9">
        <v>-1.09E-2</v>
      </c>
      <c r="I1298" s="4">
        <v>16</v>
      </c>
      <c r="J1298" s="4">
        <v>23</v>
      </c>
      <c r="K1298" s="5">
        <v>0.19750000000000001</v>
      </c>
      <c r="L1298" s="26" t="b">
        <f t="shared" si="91"/>
        <v>1</v>
      </c>
      <c r="M1298" s="26" t="str">
        <f t="shared" si="88"/>
        <v>put</v>
      </c>
      <c r="N1298" s="28">
        <f t="shared" si="89"/>
        <v>46283</v>
      </c>
      <c r="O1298" s="29">
        <f t="shared" si="90"/>
        <v>348</v>
      </c>
    </row>
    <row r="1299" spans="1:15" x14ac:dyDescent="0.45">
      <c r="A1299" s="1" t="s">
        <v>1546</v>
      </c>
      <c r="B1299" s="2">
        <v>45726.530555555553</v>
      </c>
      <c r="C1299" s="3">
        <v>290</v>
      </c>
      <c r="D1299" s="4">
        <v>39.4</v>
      </c>
      <c r="E1299" s="4">
        <v>39.5</v>
      </c>
      <c r="F1299" s="4">
        <v>40.450000000000003</v>
      </c>
      <c r="G1299" s="8">
        <v>-0.85</v>
      </c>
      <c r="H1299" s="9">
        <v>-2.1100000000000001E-2</v>
      </c>
      <c r="I1299" s="4">
        <v>14</v>
      </c>
      <c r="J1299" s="4">
        <v>85</v>
      </c>
      <c r="K1299" s="5">
        <v>0.1938</v>
      </c>
      <c r="L1299" s="26" t="b">
        <f t="shared" si="91"/>
        <v>1</v>
      </c>
      <c r="M1299" s="26" t="str">
        <f t="shared" si="88"/>
        <v>put</v>
      </c>
      <c r="N1299" s="28">
        <f t="shared" si="89"/>
        <v>46283</v>
      </c>
      <c r="O1299" s="29">
        <f t="shared" si="90"/>
        <v>348</v>
      </c>
    </row>
    <row r="1300" spans="1:15" x14ac:dyDescent="0.45">
      <c r="A1300" s="1" t="s">
        <v>1547</v>
      </c>
      <c r="B1300" s="2">
        <v>45726.513194444444</v>
      </c>
      <c r="C1300" s="3">
        <v>295</v>
      </c>
      <c r="D1300" s="4">
        <v>42.68</v>
      </c>
      <c r="E1300" s="4">
        <v>42.65</v>
      </c>
      <c r="F1300" s="4">
        <v>43.55</v>
      </c>
      <c r="G1300" s="8">
        <v>-3.52</v>
      </c>
      <c r="H1300" s="9">
        <v>-7.6200000000000004E-2</v>
      </c>
      <c r="I1300" s="4">
        <v>8</v>
      </c>
      <c r="J1300" s="4">
        <v>9</v>
      </c>
      <c r="K1300" s="5">
        <v>0.18440000000000001</v>
      </c>
      <c r="L1300" s="26" t="b">
        <f t="shared" si="91"/>
        <v>1</v>
      </c>
      <c r="M1300" s="26" t="str">
        <f t="shared" si="88"/>
        <v>put</v>
      </c>
      <c r="N1300" s="28">
        <f t="shared" si="89"/>
        <v>46283</v>
      </c>
      <c r="O1300" s="29">
        <f t="shared" si="90"/>
        <v>348</v>
      </c>
    </row>
    <row r="1301" spans="1:15" x14ac:dyDescent="0.45">
      <c r="A1301" s="1" t="s">
        <v>1548</v>
      </c>
      <c r="B1301" s="2">
        <v>45726.499305555553</v>
      </c>
      <c r="C1301" s="3">
        <v>300</v>
      </c>
      <c r="D1301" s="4">
        <v>46.67</v>
      </c>
      <c r="E1301" s="4">
        <v>46.3</v>
      </c>
      <c r="F1301" s="4">
        <v>47.15</v>
      </c>
      <c r="G1301" s="8">
        <v>-5.27</v>
      </c>
      <c r="H1301" s="9">
        <v>-0.10150000000000001</v>
      </c>
      <c r="I1301" s="4">
        <v>4</v>
      </c>
      <c r="J1301" s="4">
        <v>15</v>
      </c>
      <c r="K1301" s="5">
        <v>0.1784</v>
      </c>
      <c r="L1301" s="26" t="b">
        <f t="shared" si="91"/>
        <v>1</v>
      </c>
      <c r="M1301" s="26" t="str">
        <f t="shared" si="88"/>
        <v>put</v>
      </c>
      <c r="N1301" s="28">
        <f t="shared" si="89"/>
        <v>46283</v>
      </c>
      <c r="O1301" s="29">
        <f t="shared" si="90"/>
        <v>348</v>
      </c>
    </row>
    <row r="1302" spans="1:15" x14ac:dyDescent="0.45">
      <c r="A1302" s="1" t="s">
        <v>1549</v>
      </c>
      <c r="B1302" s="2">
        <v>45726.506249999999</v>
      </c>
      <c r="C1302" s="3">
        <v>310</v>
      </c>
      <c r="D1302" s="4">
        <v>54.34</v>
      </c>
      <c r="E1302" s="4">
        <v>54.05</v>
      </c>
      <c r="F1302" s="4">
        <v>55.1</v>
      </c>
      <c r="G1302" s="8">
        <v>-5.94</v>
      </c>
      <c r="H1302" s="9">
        <v>-9.8500000000000004E-2</v>
      </c>
      <c r="I1302" s="4">
        <v>8</v>
      </c>
      <c r="J1302" s="4">
        <v>4</v>
      </c>
      <c r="K1302" s="5">
        <v>0.16919999999999999</v>
      </c>
      <c r="L1302" s="26" t="b">
        <f t="shared" si="91"/>
        <v>1</v>
      </c>
      <c r="M1302" s="26" t="str">
        <f t="shared" si="88"/>
        <v>put</v>
      </c>
      <c r="N1302" s="28">
        <f t="shared" si="89"/>
        <v>46283</v>
      </c>
      <c r="O1302" s="29">
        <f t="shared" si="90"/>
        <v>348</v>
      </c>
    </row>
    <row r="1303" spans="1:15" x14ac:dyDescent="0.45">
      <c r="A1303" s="1" t="s">
        <v>1550</v>
      </c>
      <c r="B1303" s="2">
        <v>45726.509027777778</v>
      </c>
      <c r="C1303" s="3">
        <v>320</v>
      </c>
      <c r="D1303" s="4">
        <v>62.8</v>
      </c>
      <c r="E1303" s="4">
        <v>62.35</v>
      </c>
      <c r="F1303" s="4">
        <v>63.65</v>
      </c>
      <c r="G1303" s="8">
        <v>-2.78</v>
      </c>
      <c r="H1303" s="9">
        <v>-4.24E-2</v>
      </c>
      <c r="I1303" s="4">
        <v>4</v>
      </c>
      <c r="J1303" s="4">
        <v>41</v>
      </c>
      <c r="K1303" s="5">
        <v>0.15920000000000001</v>
      </c>
      <c r="L1303" s="26" t="b">
        <f t="shared" si="91"/>
        <v>1</v>
      </c>
      <c r="M1303" s="26" t="str">
        <f t="shared" si="88"/>
        <v>put</v>
      </c>
      <c r="N1303" s="28">
        <f t="shared" si="89"/>
        <v>46283</v>
      </c>
      <c r="O1303" s="29">
        <f t="shared" si="90"/>
        <v>348</v>
      </c>
    </row>
    <row r="1304" spans="1:15" x14ac:dyDescent="0.45">
      <c r="A1304" s="1" t="s">
        <v>1551</v>
      </c>
      <c r="B1304" s="2">
        <v>45877.407638888886</v>
      </c>
      <c r="C1304" s="3">
        <v>350</v>
      </c>
      <c r="D1304" s="4">
        <v>129.44999999999999</v>
      </c>
      <c r="E1304" s="4">
        <v>93.5</v>
      </c>
      <c r="F1304" s="4">
        <v>95.75</v>
      </c>
      <c r="G1304" s="4">
        <v>0</v>
      </c>
      <c r="H1304" s="5">
        <v>0</v>
      </c>
      <c r="I1304" s="4">
        <v>10</v>
      </c>
      <c r="J1304" s="4">
        <v>0</v>
      </c>
      <c r="K1304" s="5">
        <v>0.2515</v>
      </c>
      <c r="L1304" s="26" t="b">
        <f t="shared" si="91"/>
        <v>1</v>
      </c>
      <c r="M1304" s="26" t="str">
        <f t="shared" si="88"/>
        <v>put</v>
      </c>
      <c r="N1304" s="28">
        <f t="shared" si="89"/>
        <v>46283</v>
      </c>
      <c r="O1304" s="29">
        <f t="shared" si="90"/>
        <v>348</v>
      </c>
    </row>
    <row r="1305" spans="1:15" x14ac:dyDescent="0.45">
      <c r="A1305" s="1" t="s">
        <v>1552</v>
      </c>
      <c r="B1305" s="4" t="s">
        <v>1553</v>
      </c>
      <c r="C1305" s="3">
        <v>360</v>
      </c>
      <c r="D1305" s="4">
        <v>103.94</v>
      </c>
      <c r="E1305" s="4">
        <v>101.05</v>
      </c>
      <c r="F1305" s="4">
        <v>102.7</v>
      </c>
      <c r="G1305" s="4">
        <v>0</v>
      </c>
      <c r="H1305" s="5">
        <v>0</v>
      </c>
      <c r="I1305" s="4">
        <v>0</v>
      </c>
      <c r="J1305" s="4">
        <v>0</v>
      </c>
      <c r="K1305" s="5">
        <v>0.18709999999999999</v>
      </c>
      <c r="L1305" s="26" t="b">
        <f t="shared" si="91"/>
        <v>1</v>
      </c>
      <c r="M1305" s="26" t="str">
        <f t="shared" si="88"/>
        <v>put</v>
      </c>
      <c r="N1305" s="28">
        <f t="shared" si="89"/>
        <v>46283</v>
      </c>
      <c r="O1305" s="29">
        <f t="shared" si="90"/>
        <v>348</v>
      </c>
    </row>
    <row r="1306" spans="1:15" x14ac:dyDescent="0.45">
      <c r="A1306" s="1" t="s">
        <v>1554</v>
      </c>
      <c r="B1306" s="4" t="s">
        <v>1555</v>
      </c>
      <c r="C1306" s="3">
        <v>400</v>
      </c>
      <c r="D1306" s="4">
        <v>161</v>
      </c>
      <c r="E1306" s="4">
        <v>140.9</v>
      </c>
      <c r="F1306" s="4">
        <v>143.1</v>
      </c>
      <c r="G1306" s="4">
        <v>0</v>
      </c>
      <c r="H1306" s="5">
        <v>0</v>
      </c>
      <c r="I1306" s="4">
        <v>10</v>
      </c>
      <c r="J1306" s="4">
        <v>0</v>
      </c>
      <c r="K1306" s="5">
        <v>0.251</v>
      </c>
      <c r="L1306" s="26" t="b">
        <f t="shared" si="91"/>
        <v>1</v>
      </c>
      <c r="M1306" s="26" t="str">
        <f t="shared" si="88"/>
        <v>put</v>
      </c>
      <c r="N1306" s="28">
        <f t="shared" si="89"/>
        <v>46283</v>
      </c>
      <c r="O1306" s="29">
        <f t="shared" si="90"/>
        <v>348</v>
      </c>
    </row>
    <row r="1307" spans="1:15" x14ac:dyDescent="0.45">
      <c r="A1307" s="1" t="s">
        <v>1556</v>
      </c>
      <c r="B1307" s="4" t="s">
        <v>1557</v>
      </c>
      <c r="C1307" s="3">
        <v>5</v>
      </c>
      <c r="D1307" s="4">
        <v>249.2</v>
      </c>
      <c r="E1307" s="4">
        <v>251.3</v>
      </c>
      <c r="F1307" s="4">
        <v>254.5</v>
      </c>
      <c r="G1307" s="4">
        <v>0</v>
      </c>
      <c r="H1307" s="5">
        <v>0</v>
      </c>
      <c r="I1307" s="4">
        <v>1</v>
      </c>
      <c r="J1307" s="4">
        <v>5</v>
      </c>
      <c r="K1307" s="5">
        <v>2.3837999999999999</v>
      </c>
      <c r="L1307" s="26" t="b">
        <f t="shared" si="91"/>
        <v>1</v>
      </c>
      <c r="M1307" s="26" t="str">
        <f t="shared" si="88"/>
        <v>call</v>
      </c>
      <c r="N1307" s="28">
        <f t="shared" si="89"/>
        <v>46374</v>
      </c>
      <c r="O1307" s="29">
        <f t="shared" si="90"/>
        <v>439</v>
      </c>
    </row>
    <row r="1308" spans="1:15" x14ac:dyDescent="0.45">
      <c r="A1308" s="1" t="s">
        <v>1558</v>
      </c>
      <c r="B1308" s="4" t="s">
        <v>1559</v>
      </c>
      <c r="C1308" s="3">
        <v>10</v>
      </c>
      <c r="D1308" s="4">
        <v>245.23</v>
      </c>
      <c r="E1308" s="4">
        <v>246.45</v>
      </c>
      <c r="F1308" s="4">
        <v>249.55</v>
      </c>
      <c r="G1308" s="4">
        <v>0</v>
      </c>
      <c r="H1308" s="5">
        <v>0</v>
      </c>
      <c r="I1308" s="4">
        <v>10</v>
      </c>
      <c r="J1308" s="4">
        <v>15</v>
      </c>
      <c r="K1308" s="5">
        <v>1.8179000000000001</v>
      </c>
      <c r="L1308" s="26" t="b">
        <f t="shared" si="91"/>
        <v>1</v>
      </c>
      <c r="M1308" s="26" t="str">
        <f t="shared" si="88"/>
        <v>call</v>
      </c>
      <c r="N1308" s="28">
        <f t="shared" si="89"/>
        <v>46374</v>
      </c>
      <c r="O1308" s="29">
        <f t="shared" si="90"/>
        <v>439</v>
      </c>
    </row>
    <row r="1309" spans="1:15" x14ac:dyDescent="0.45">
      <c r="A1309" s="1" t="s">
        <v>1560</v>
      </c>
      <c r="B1309" s="4" t="s">
        <v>1561</v>
      </c>
      <c r="C1309" s="3">
        <v>15</v>
      </c>
      <c r="D1309" s="4">
        <v>186.06</v>
      </c>
      <c r="E1309" s="4">
        <v>238.95</v>
      </c>
      <c r="F1309" s="4">
        <v>242.35</v>
      </c>
      <c r="G1309" s="4">
        <v>0</v>
      </c>
      <c r="H1309" s="5">
        <v>0</v>
      </c>
      <c r="I1309" s="4">
        <v>4</v>
      </c>
      <c r="J1309" s="4">
        <v>5</v>
      </c>
      <c r="K1309" s="5">
        <v>0</v>
      </c>
      <c r="L1309" s="26" t="b">
        <f t="shared" si="91"/>
        <v>1</v>
      </c>
      <c r="M1309" s="26" t="str">
        <f t="shared" si="88"/>
        <v>call</v>
      </c>
      <c r="N1309" s="28">
        <f t="shared" si="89"/>
        <v>46374</v>
      </c>
      <c r="O1309" s="29">
        <f t="shared" si="90"/>
        <v>439</v>
      </c>
    </row>
    <row r="1310" spans="1:15" x14ac:dyDescent="0.45">
      <c r="A1310" s="1" t="s">
        <v>1562</v>
      </c>
      <c r="B1310" s="2">
        <v>45667.587500000001</v>
      </c>
      <c r="C1310" s="3">
        <v>20</v>
      </c>
      <c r="D1310" s="4">
        <v>237.07</v>
      </c>
      <c r="E1310" s="4">
        <v>236.7</v>
      </c>
      <c r="F1310" s="4">
        <v>239.8</v>
      </c>
      <c r="G1310" s="6">
        <v>0</v>
      </c>
      <c r="H1310" s="7">
        <v>0</v>
      </c>
      <c r="I1310" s="4">
        <v>1</v>
      </c>
      <c r="J1310" s="4">
        <v>7</v>
      </c>
      <c r="K1310" s="5">
        <v>0.99609999999999999</v>
      </c>
      <c r="L1310" s="26" t="b">
        <f t="shared" si="91"/>
        <v>1</v>
      </c>
      <c r="M1310" s="26" t="str">
        <f t="shared" si="88"/>
        <v>call</v>
      </c>
      <c r="N1310" s="28">
        <f t="shared" si="89"/>
        <v>46374</v>
      </c>
      <c r="O1310" s="29">
        <f t="shared" si="90"/>
        <v>439</v>
      </c>
    </row>
    <row r="1311" spans="1:15" x14ac:dyDescent="0.45">
      <c r="A1311" s="1" t="s">
        <v>1563</v>
      </c>
      <c r="B1311" s="2">
        <v>45907.557638888888</v>
      </c>
      <c r="C1311" s="3">
        <v>25</v>
      </c>
      <c r="D1311" s="4">
        <v>184.65</v>
      </c>
      <c r="E1311" s="4">
        <v>229.35</v>
      </c>
      <c r="F1311" s="4">
        <v>232.75</v>
      </c>
      <c r="G1311" s="4">
        <v>0</v>
      </c>
      <c r="H1311" s="5">
        <v>0</v>
      </c>
      <c r="I1311" s="4">
        <v>1</v>
      </c>
      <c r="J1311" s="4">
        <v>2</v>
      </c>
      <c r="K1311" s="5">
        <v>0</v>
      </c>
      <c r="L1311" s="26" t="b">
        <f t="shared" si="91"/>
        <v>1</v>
      </c>
      <c r="M1311" s="26" t="str">
        <f t="shared" si="88"/>
        <v>call</v>
      </c>
      <c r="N1311" s="28">
        <f t="shared" si="89"/>
        <v>46374</v>
      </c>
      <c r="O1311" s="29">
        <f t="shared" si="90"/>
        <v>439</v>
      </c>
    </row>
    <row r="1312" spans="1:15" x14ac:dyDescent="0.45">
      <c r="A1312" s="1" t="s">
        <v>1564</v>
      </c>
      <c r="B1312" s="2">
        <v>45999.40347222222</v>
      </c>
      <c r="C1312" s="3">
        <v>30</v>
      </c>
      <c r="D1312" s="4">
        <v>199.1</v>
      </c>
      <c r="E1312" s="4">
        <v>224.7</v>
      </c>
      <c r="F1312" s="4">
        <v>227.9</v>
      </c>
      <c r="G1312" s="4">
        <v>0</v>
      </c>
      <c r="H1312" s="5">
        <v>0</v>
      </c>
      <c r="I1312" s="4">
        <v>2</v>
      </c>
      <c r="J1312" s="4">
        <v>10</v>
      </c>
      <c r="K1312" s="5">
        <v>0</v>
      </c>
      <c r="L1312" s="26" t="b">
        <f t="shared" si="91"/>
        <v>1</v>
      </c>
      <c r="M1312" s="26" t="str">
        <f t="shared" si="88"/>
        <v>call</v>
      </c>
      <c r="N1312" s="28">
        <f t="shared" si="89"/>
        <v>46374</v>
      </c>
      <c r="O1312" s="29">
        <f t="shared" si="90"/>
        <v>439</v>
      </c>
    </row>
    <row r="1313" spans="1:15" x14ac:dyDescent="0.45">
      <c r="A1313" s="1" t="s">
        <v>1565</v>
      </c>
      <c r="B1313" s="2">
        <v>45904.477083333331</v>
      </c>
      <c r="C1313" s="3">
        <v>35</v>
      </c>
      <c r="D1313" s="4">
        <v>146.19999999999999</v>
      </c>
      <c r="E1313" s="4">
        <v>162.80000000000001</v>
      </c>
      <c r="F1313" s="4">
        <v>166.55</v>
      </c>
      <c r="G1313" s="6">
        <v>0</v>
      </c>
      <c r="H1313" s="7">
        <v>0</v>
      </c>
      <c r="I1313" s="4">
        <v>1</v>
      </c>
      <c r="J1313" s="4">
        <v>3</v>
      </c>
      <c r="K1313" s="5">
        <v>0</v>
      </c>
      <c r="L1313" s="26" t="b">
        <f t="shared" si="91"/>
        <v>1</v>
      </c>
      <c r="M1313" s="26" t="str">
        <f t="shared" si="88"/>
        <v>call</v>
      </c>
      <c r="N1313" s="28">
        <f t="shared" si="89"/>
        <v>46374</v>
      </c>
      <c r="O1313" s="29">
        <f t="shared" si="90"/>
        <v>439</v>
      </c>
    </row>
    <row r="1314" spans="1:15" x14ac:dyDescent="0.45">
      <c r="A1314" s="1" t="s">
        <v>1566</v>
      </c>
      <c r="B1314" s="4" t="s">
        <v>1179</v>
      </c>
      <c r="C1314" s="3">
        <v>40</v>
      </c>
      <c r="D1314" s="4">
        <v>161.68</v>
      </c>
      <c r="E1314" s="4">
        <v>160.5</v>
      </c>
      <c r="F1314" s="4">
        <v>164.55</v>
      </c>
      <c r="G1314" s="4">
        <v>0</v>
      </c>
      <c r="H1314" s="5">
        <v>0</v>
      </c>
      <c r="I1314" s="4">
        <v>3</v>
      </c>
      <c r="J1314" s="4">
        <v>5</v>
      </c>
      <c r="K1314" s="5">
        <v>0</v>
      </c>
      <c r="L1314" s="26" t="b">
        <f t="shared" si="91"/>
        <v>1</v>
      </c>
      <c r="M1314" s="26" t="str">
        <f t="shared" si="88"/>
        <v>call</v>
      </c>
      <c r="N1314" s="28">
        <f t="shared" si="89"/>
        <v>46374</v>
      </c>
      <c r="O1314" s="29">
        <f t="shared" si="90"/>
        <v>439</v>
      </c>
    </row>
    <row r="1315" spans="1:15" x14ac:dyDescent="0.45">
      <c r="A1315" s="1" t="s">
        <v>1567</v>
      </c>
      <c r="B1315" s="2">
        <v>45813.565972222219</v>
      </c>
      <c r="C1315" s="3">
        <v>45</v>
      </c>
      <c r="D1315" s="4">
        <v>156.53</v>
      </c>
      <c r="E1315" s="4">
        <v>155.9</v>
      </c>
      <c r="F1315" s="4">
        <v>159.80000000000001</v>
      </c>
      <c r="G1315" s="6">
        <v>0</v>
      </c>
      <c r="H1315" s="7">
        <v>0</v>
      </c>
      <c r="I1315" s="4">
        <v>1</v>
      </c>
      <c r="J1315" s="4">
        <v>57</v>
      </c>
      <c r="K1315" s="5">
        <v>0</v>
      </c>
      <c r="L1315" s="26" t="b">
        <f t="shared" si="91"/>
        <v>1</v>
      </c>
      <c r="M1315" s="26" t="str">
        <f t="shared" si="88"/>
        <v>call</v>
      </c>
      <c r="N1315" s="28">
        <f t="shared" si="89"/>
        <v>46374</v>
      </c>
      <c r="O1315" s="29">
        <f t="shared" si="90"/>
        <v>439</v>
      </c>
    </row>
    <row r="1316" spans="1:15" x14ac:dyDescent="0.45">
      <c r="A1316" s="1" t="s">
        <v>1568</v>
      </c>
      <c r="B1316" s="4" t="s">
        <v>840</v>
      </c>
      <c r="C1316" s="3">
        <v>50</v>
      </c>
      <c r="D1316" s="4">
        <v>205.5</v>
      </c>
      <c r="E1316" s="4">
        <v>207.8</v>
      </c>
      <c r="F1316" s="4">
        <v>211.7</v>
      </c>
      <c r="G1316" s="6">
        <v>0</v>
      </c>
      <c r="H1316" s="7">
        <v>0</v>
      </c>
      <c r="I1316" s="4">
        <v>1</v>
      </c>
      <c r="J1316" s="10">
        <v>1985</v>
      </c>
      <c r="K1316" s="5">
        <v>0.86819999999999997</v>
      </c>
      <c r="L1316" s="26" t="b">
        <f t="shared" si="91"/>
        <v>1</v>
      </c>
      <c r="M1316" s="26" t="str">
        <f t="shared" si="88"/>
        <v>call</v>
      </c>
      <c r="N1316" s="28">
        <f t="shared" si="89"/>
        <v>46374</v>
      </c>
      <c r="O1316" s="29">
        <f t="shared" si="90"/>
        <v>439</v>
      </c>
    </row>
    <row r="1317" spans="1:15" x14ac:dyDescent="0.45">
      <c r="A1317" s="1" t="s">
        <v>1569</v>
      </c>
      <c r="B1317" s="2">
        <v>45725.59097222222</v>
      </c>
      <c r="C1317" s="3">
        <v>60</v>
      </c>
      <c r="D1317" s="4">
        <v>179.31</v>
      </c>
      <c r="E1317" s="4">
        <v>198.6</v>
      </c>
      <c r="F1317" s="4">
        <v>201.7</v>
      </c>
      <c r="G1317" s="6">
        <v>0</v>
      </c>
      <c r="H1317" s="7">
        <v>0</v>
      </c>
      <c r="I1317" s="4">
        <v>1</v>
      </c>
      <c r="J1317" s="4">
        <v>302</v>
      </c>
      <c r="K1317" s="5">
        <v>0.80620000000000003</v>
      </c>
      <c r="L1317" s="26" t="b">
        <f t="shared" si="91"/>
        <v>1</v>
      </c>
      <c r="M1317" s="26" t="str">
        <f t="shared" si="88"/>
        <v>call</v>
      </c>
      <c r="N1317" s="28">
        <f t="shared" si="89"/>
        <v>46374</v>
      </c>
      <c r="O1317" s="29">
        <f t="shared" si="90"/>
        <v>439</v>
      </c>
    </row>
    <row r="1318" spans="1:15" x14ac:dyDescent="0.45">
      <c r="A1318" s="1" t="s">
        <v>1570</v>
      </c>
      <c r="B1318" s="4" t="s">
        <v>1571</v>
      </c>
      <c r="C1318" s="3">
        <v>70</v>
      </c>
      <c r="D1318" s="4">
        <v>159.36000000000001</v>
      </c>
      <c r="E1318" s="4">
        <v>186.35</v>
      </c>
      <c r="F1318" s="4">
        <v>190.05</v>
      </c>
      <c r="G1318" s="6">
        <v>0</v>
      </c>
      <c r="H1318" s="7">
        <v>0</v>
      </c>
      <c r="I1318" s="4">
        <v>2</v>
      </c>
      <c r="J1318" s="10">
        <v>2526</v>
      </c>
      <c r="K1318" s="5">
        <v>0.71679999999999999</v>
      </c>
      <c r="L1318" s="26" t="b">
        <f t="shared" si="91"/>
        <v>1</v>
      </c>
      <c r="M1318" s="26" t="str">
        <f t="shared" si="88"/>
        <v>call</v>
      </c>
      <c r="N1318" s="28">
        <f t="shared" si="89"/>
        <v>46374</v>
      </c>
      <c r="O1318" s="29">
        <f t="shared" si="90"/>
        <v>439</v>
      </c>
    </row>
    <row r="1319" spans="1:15" x14ac:dyDescent="0.45">
      <c r="A1319" s="1" t="s">
        <v>1572</v>
      </c>
      <c r="B1319" s="4" t="s">
        <v>142</v>
      </c>
      <c r="C1319" s="3">
        <v>80</v>
      </c>
      <c r="D1319" s="4">
        <v>177.2</v>
      </c>
      <c r="E1319" s="4">
        <v>179.45</v>
      </c>
      <c r="F1319" s="4">
        <v>182.75</v>
      </c>
      <c r="G1319" s="6">
        <v>0</v>
      </c>
      <c r="H1319" s="7">
        <v>0</v>
      </c>
      <c r="I1319" s="4">
        <v>1</v>
      </c>
      <c r="J1319" s="4">
        <v>422</v>
      </c>
      <c r="K1319" s="5">
        <v>0.70899999999999996</v>
      </c>
      <c r="L1319" s="26" t="b">
        <f t="shared" si="91"/>
        <v>1</v>
      </c>
      <c r="M1319" s="26" t="str">
        <f t="shared" si="88"/>
        <v>call</v>
      </c>
      <c r="N1319" s="28">
        <f t="shared" si="89"/>
        <v>46374</v>
      </c>
      <c r="O1319" s="29">
        <f t="shared" si="90"/>
        <v>439</v>
      </c>
    </row>
    <row r="1320" spans="1:15" x14ac:dyDescent="0.45">
      <c r="A1320" s="1" t="s">
        <v>1573</v>
      </c>
      <c r="B1320" s="2">
        <v>45877.56527777778</v>
      </c>
      <c r="C1320" s="3">
        <v>85</v>
      </c>
      <c r="D1320" s="4">
        <v>148.01</v>
      </c>
      <c r="E1320" s="4">
        <v>172.2</v>
      </c>
      <c r="F1320" s="4">
        <v>175.9</v>
      </c>
      <c r="G1320" s="6">
        <v>0</v>
      </c>
      <c r="H1320" s="7">
        <v>0</v>
      </c>
      <c r="I1320" s="4">
        <v>29</v>
      </c>
      <c r="J1320" s="4">
        <v>486</v>
      </c>
      <c r="K1320" s="5">
        <v>0.5413</v>
      </c>
      <c r="L1320" s="26" t="b">
        <f t="shared" si="91"/>
        <v>1</v>
      </c>
      <c r="M1320" s="26" t="str">
        <f t="shared" si="88"/>
        <v>call</v>
      </c>
      <c r="N1320" s="28">
        <f t="shared" si="89"/>
        <v>46374</v>
      </c>
      <c r="O1320" s="29">
        <f t="shared" si="90"/>
        <v>439</v>
      </c>
    </row>
    <row r="1321" spans="1:15" x14ac:dyDescent="0.45">
      <c r="A1321" s="1" t="s">
        <v>1574</v>
      </c>
      <c r="B1321" s="4" t="s">
        <v>1575</v>
      </c>
      <c r="C1321" s="3">
        <v>90</v>
      </c>
      <c r="D1321" s="4">
        <v>115.22</v>
      </c>
      <c r="E1321" s="4">
        <v>114.7</v>
      </c>
      <c r="F1321" s="4">
        <v>118</v>
      </c>
      <c r="G1321" s="6">
        <v>0</v>
      </c>
      <c r="H1321" s="7">
        <v>0</v>
      </c>
      <c r="I1321" s="4">
        <v>1</v>
      </c>
      <c r="J1321" s="4">
        <v>497</v>
      </c>
      <c r="K1321" s="5">
        <v>0</v>
      </c>
      <c r="L1321" s="26" t="b">
        <f t="shared" si="91"/>
        <v>1</v>
      </c>
      <c r="M1321" s="26" t="str">
        <f t="shared" si="88"/>
        <v>call</v>
      </c>
      <c r="N1321" s="28">
        <f t="shared" si="89"/>
        <v>46374</v>
      </c>
      <c r="O1321" s="29">
        <f t="shared" si="90"/>
        <v>439</v>
      </c>
    </row>
    <row r="1322" spans="1:15" x14ac:dyDescent="0.45">
      <c r="A1322" s="1" t="s">
        <v>1576</v>
      </c>
      <c r="B1322" s="2">
        <v>45937.62222222222</v>
      </c>
      <c r="C1322" s="3">
        <v>95</v>
      </c>
      <c r="D1322" s="4">
        <v>122.9</v>
      </c>
      <c r="E1322" s="4">
        <v>163.15</v>
      </c>
      <c r="F1322" s="4">
        <v>166.45</v>
      </c>
      <c r="G1322" s="6">
        <v>0</v>
      </c>
      <c r="H1322" s="7">
        <v>0</v>
      </c>
      <c r="I1322" s="4">
        <v>10</v>
      </c>
      <c r="J1322" s="4">
        <v>99</v>
      </c>
      <c r="K1322" s="5">
        <v>0.54420000000000002</v>
      </c>
      <c r="L1322" s="26" t="b">
        <f t="shared" si="91"/>
        <v>1</v>
      </c>
      <c r="M1322" s="26" t="str">
        <f t="shared" si="88"/>
        <v>call</v>
      </c>
      <c r="N1322" s="28">
        <f t="shared" si="89"/>
        <v>46374</v>
      </c>
      <c r="O1322" s="29">
        <f t="shared" si="90"/>
        <v>439</v>
      </c>
    </row>
    <row r="1323" spans="1:15" x14ac:dyDescent="0.45">
      <c r="A1323" s="1" t="s">
        <v>1577</v>
      </c>
      <c r="B1323" s="2">
        <v>45726.53402777778</v>
      </c>
      <c r="C1323" s="3">
        <v>100</v>
      </c>
      <c r="D1323" s="4">
        <v>163.02000000000001</v>
      </c>
      <c r="E1323" s="4">
        <v>161.35</v>
      </c>
      <c r="F1323" s="4">
        <v>163.80000000000001</v>
      </c>
      <c r="G1323" s="6">
        <v>0.62</v>
      </c>
      <c r="H1323" s="7">
        <v>3.8E-3</v>
      </c>
      <c r="I1323" s="4">
        <v>110</v>
      </c>
      <c r="J1323" s="10">
        <v>3319</v>
      </c>
      <c r="K1323" s="5">
        <v>0.64419999999999999</v>
      </c>
      <c r="L1323" s="26" t="b">
        <f t="shared" si="91"/>
        <v>1</v>
      </c>
      <c r="M1323" s="26" t="str">
        <f t="shared" si="88"/>
        <v>call</v>
      </c>
      <c r="N1323" s="28">
        <f t="shared" si="89"/>
        <v>46374</v>
      </c>
      <c r="O1323" s="29">
        <f t="shared" si="90"/>
        <v>439</v>
      </c>
    </row>
    <row r="1324" spans="1:15" x14ac:dyDescent="0.45">
      <c r="A1324" s="1" t="s">
        <v>1578</v>
      </c>
      <c r="B1324" s="2">
        <v>45785.64166666667</v>
      </c>
      <c r="C1324" s="3">
        <v>105</v>
      </c>
      <c r="D1324" s="4">
        <v>104.25</v>
      </c>
      <c r="E1324" s="4">
        <v>154.15</v>
      </c>
      <c r="F1324" s="4">
        <v>156.30000000000001</v>
      </c>
      <c r="G1324" s="8">
        <v>0</v>
      </c>
      <c r="H1324" s="9">
        <v>0</v>
      </c>
      <c r="I1324" s="4">
        <v>1</v>
      </c>
      <c r="J1324" s="4">
        <v>180</v>
      </c>
      <c r="K1324" s="5">
        <v>0.51719999999999999</v>
      </c>
      <c r="L1324" s="26" t="b">
        <f t="shared" si="91"/>
        <v>1</v>
      </c>
      <c r="M1324" s="26" t="str">
        <f t="shared" si="88"/>
        <v>call</v>
      </c>
      <c r="N1324" s="28">
        <f t="shared" si="89"/>
        <v>46374</v>
      </c>
      <c r="O1324" s="29">
        <f t="shared" si="90"/>
        <v>439</v>
      </c>
    </row>
    <row r="1325" spans="1:15" x14ac:dyDescent="0.45">
      <c r="A1325" s="1" t="s">
        <v>1579</v>
      </c>
      <c r="B1325" s="4" t="s">
        <v>1580</v>
      </c>
      <c r="C1325" s="3">
        <v>110</v>
      </c>
      <c r="D1325" s="4">
        <v>150.11000000000001</v>
      </c>
      <c r="E1325" s="4">
        <v>151.25</v>
      </c>
      <c r="F1325" s="4">
        <v>154.44999999999999</v>
      </c>
      <c r="G1325" s="6">
        <v>0</v>
      </c>
      <c r="H1325" s="7">
        <v>0</v>
      </c>
      <c r="I1325" s="4">
        <v>11</v>
      </c>
      <c r="J1325" s="4">
        <v>484</v>
      </c>
      <c r="K1325" s="5">
        <v>0.59640000000000004</v>
      </c>
      <c r="L1325" s="26" t="b">
        <f t="shared" si="91"/>
        <v>1</v>
      </c>
      <c r="M1325" s="26" t="str">
        <f t="shared" si="88"/>
        <v>call</v>
      </c>
      <c r="N1325" s="28">
        <f t="shared" si="89"/>
        <v>46374</v>
      </c>
      <c r="O1325" s="29">
        <f t="shared" si="90"/>
        <v>439</v>
      </c>
    </row>
    <row r="1326" spans="1:15" x14ac:dyDescent="0.45">
      <c r="A1326" s="1" t="s">
        <v>1581</v>
      </c>
      <c r="B1326" s="4" t="s">
        <v>1582</v>
      </c>
      <c r="C1326" s="3">
        <v>115</v>
      </c>
      <c r="D1326" s="4">
        <v>120.5</v>
      </c>
      <c r="E1326" s="4">
        <v>144.5</v>
      </c>
      <c r="F1326" s="4">
        <v>147.75</v>
      </c>
      <c r="G1326" s="6">
        <v>0</v>
      </c>
      <c r="H1326" s="7">
        <v>0</v>
      </c>
      <c r="I1326" s="4">
        <v>1</v>
      </c>
      <c r="J1326" s="4">
        <v>237</v>
      </c>
      <c r="K1326" s="5">
        <v>0.50870000000000004</v>
      </c>
      <c r="L1326" s="26" t="b">
        <f t="shared" si="91"/>
        <v>1</v>
      </c>
      <c r="M1326" s="26" t="str">
        <f t="shared" si="88"/>
        <v>call</v>
      </c>
      <c r="N1326" s="28">
        <f t="shared" si="89"/>
        <v>46374</v>
      </c>
      <c r="O1326" s="29">
        <f t="shared" si="90"/>
        <v>439</v>
      </c>
    </row>
    <row r="1327" spans="1:15" x14ac:dyDescent="0.45">
      <c r="A1327" s="1" t="s">
        <v>1583</v>
      </c>
      <c r="B1327" s="4" t="s">
        <v>1584</v>
      </c>
      <c r="C1327" s="3">
        <v>120</v>
      </c>
      <c r="D1327" s="4">
        <v>141.29</v>
      </c>
      <c r="E1327" s="4">
        <v>141.94999999999999</v>
      </c>
      <c r="F1327" s="4">
        <v>144.9</v>
      </c>
      <c r="G1327" s="8">
        <v>0</v>
      </c>
      <c r="H1327" s="9">
        <v>0</v>
      </c>
      <c r="I1327" s="4">
        <v>5</v>
      </c>
      <c r="J1327" s="10">
        <v>1183</v>
      </c>
      <c r="K1327" s="5">
        <v>0.56120000000000003</v>
      </c>
      <c r="L1327" s="26" t="b">
        <f t="shared" si="91"/>
        <v>1</v>
      </c>
      <c r="M1327" s="26" t="str">
        <f t="shared" si="88"/>
        <v>call</v>
      </c>
      <c r="N1327" s="28">
        <f t="shared" si="89"/>
        <v>46374</v>
      </c>
      <c r="O1327" s="29">
        <f t="shared" si="90"/>
        <v>439</v>
      </c>
    </row>
    <row r="1328" spans="1:15" x14ac:dyDescent="0.45">
      <c r="A1328" s="1" t="s">
        <v>1585</v>
      </c>
      <c r="B1328" s="4" t="s">
        <v>1586</v>
      </c>
      <c r="C1328" s="3">
        <v>125</v>
      </c>
      <c r="D1328" s="4">
        <v>133.41</v>
      </c>
      <c r="E1328" s="4">
        <v>138.4</v>
      </c>
      <c r="F1328" s="4">
        <v>140.55000000000001</v>
      </c>
      <c r="G1328" s="8">
        <v>0</v>
      </c>
      <c r="H1328" s="9">
        <v>0</v>
      </c>
      <c r="I1328" s="4">
        <v>1</v>
      </c>
      <c r="J1328" s="4">
        <v>348</v>
      </c>
      <c r="K1328" s="5">
        <v>0.56459999999999999</v>
      </c>
      <c r="L1328" s="26" t="b">
        <f t="shared" si="91"/>
        <v>1</v>
      </c>
      <c r="M1328" s="26" t="str">
        <f t="shared" si="88"/>
        <v>call</v>
      </c>
      <c r="N1328" s="28">
        <f t="shared" si="89"/>
        <v>46374</v>
      </c>
      <c r="O1328" s="29">
        <f t="shared" si="90"/>
        <v>439</v>
      </c>
    </row>
    <row r="1329" spans="1:15" x14ac:dyDescent="0.45">
      <c r="A1329" s="1" t="s">
        <v>1587</v>
      </c>
      <c r="B1329" s="2">
        <v>45667.513194444444</v>
      </c>
      <c r="C1329" s="3">
        <v>130</v>
      </c>
      <c r="D1329" s="4">
        <v>132.87</v>
      </c>
      <c r="E1329" s="4">
        <v>132.65</v>
      </c>
      <c r="F1329" s="4">
        <v>135</v>
      </c>
      <c r="G1329" s="8">
        <v>0</v>
      </c>
      <c r="H1329" s="9">
        <v>0</v>
      </c>
      <c r="I1329" s="4">
        <v>15</v>
      </c>
      <c r="J1329" s="10">
        <v>1415</v>
      </c>
      <c r="K1329" s="5">
        <v>0.52249999999999996</v>
      </c>
      <c r="L1329" s="26" t="b">
        <f t="shared" si="91"/>
        <v>1</v>
      </c>
      <c r="M1329" s="26" t="str">
        <f t="shared" si="88"/>
        <v>call</v>
      </c>
      <c r="N1329" s="28">
        <f t="shared" si="89"/>
        <v>46374</v>
      </c>
      <c r="O1329" s="29">
        <f t="shared" si="90"/>
        <v>439</v>
      </c>
    </row>
    <row r="1330" spans="1:15" x14ac:dyDescent="0.45">
      <c r="A1330" s="1" t="s">
        <v>1588</v>
      </c>
      <c r="B1330" s="2">
        <v>45667.513888888891</v>
      </c>
      <c r="C1330" s="3">
        <v>135</v>
      </c>
      <c r="D1330" s="4">
        <v>128.26</v>
      </c>
      <c r="E1330" s="4">
        <v>128.1</v>
      </c>
      <c r="F1330" s="4">
        <v>131.4</v>
      </c>
      <c r="G1330" s="6">
        <v>0</v>
      </c>
      <c r="H1330" s="7">
        <v>0</v>
      </c>
      <c r="I1330" s="4">
        <v>20</v>
      </c>
      <c r="J1330" s="4">
        <v>662</v>
      </c>
      <c r="K1330" s="5">
        <v>0.52170000000000005</v>
      </c>
      <c r="L1330" s="26" t="b">
        <f t="shared" si="91"/>
        <v>1</v>
      </c>
      <c r="M1330" s="26" t="str">
        <f t="shared" si="88"/>
        <v>call</v>
      </c>
      <c r="N1330" s="28">
        <f t="shared" si="89"/>
        <v>46374</v>
      </c>
      <c r="O1330" s="29">
        <f t="shared" si="90"/>
        <v>439</v>
      </c>
    </row>
    <row r="1331" spans="1:15" x14ac:dyDescent="0.45">
      <c r="A1331" s="1" t="s">
        <v>1589</v>
      </c>
      <c r="B1331" s="2">
        <v>45698.46875</v>
      </c>
      <c r="C1331" s="3">
        <v>140</v>
      </c>
      <c r="D1331" s="4">
        <v>123.65</v>
      </c>
      <c r="E1331" s="4">
        <v>124.05</v>
      </c>
      <c r="F1331" s="4">
        <v>126.9</v>
      </c>
      <c r="G1331" s="6">
        <v>0</v>
      </c>
      <c r="H1331" s="7">
        <v>0</v>
      </c>
      <c r="I1331" s="4">
        <v>2</v>
      </c>
      <c r="J1331" s="10">
        <v>1031</v>
      </c>
      <c r="K1331" s="5">
        <v>0.51470000000000005</v>
      </c>
      <c r="L1331" s="26" t="b">
        <f t="shared" si="91"/>
        <v>1</v>
      </c>
      <c r="M1331" s="26" t="str">
        <f t="shared" si="88"/>
        <v>call</v>
      </c>
      <c r="N1331" s="28">
        <f t="shared" si="89"/>
        <v>46374</v>
      </c>
      <c r="O1331" s="29">
        <f t="shared" si="90"/>
        <v>439</v>
      </c>
    </row>
    <row r="1332" spans="1:15" x14ac:dyDescent="0.45">
      <c r="A1332" s="1" t="s">
        <v>1590</v>
      </c>
      <c r="B1332" s="2">
        <v>45698.523611111108</v>
      </c>
      <c r="C1332" s="3">
        <v>145</v>
      </c>
      <c r="D1332" s="4">
        <v>120.37</v>
      </c>
      <c r="E1332" s="4">
        <v>119</v>
      </c>
      <c r="F1332" s="4">
        <v>122.45</v>
      </c>
      <c r="G1332" s="6">
        <v>0</v>
      </c>
      <c r="H1332" s="7">
        <v>0</v>
      </c>
      <c r="I1332" s="4">
        <v>20</v>
      </c>
      <c r="J1332" s="4">
        <v>478</v>
      </c>
      <c r="K1332" s="5">
        <v>0.53239999999999998</v>
      </c>
      <c r="L1332" s="26" t="b">
        <f t="shared" si="91"/>
        <v>1</v>
      </c>
      <c r="M1332" s="26" t="str">
        <f t="shared" si="88"/>
        <v>call</v>
      </c>
      <c r="N1332" s="28">
        <f t="shared" si="89"/>
        <v>46374</v>
      </c>
      <c r="O1332" s="29">
        <f t="shared" si="90"/>
        <v>439</v>
      </c>
    </row>
    <row r="1333" spans="1:15" x14ac:dyDescent="0.45">
      <c r="A1333" s="1" t="s">
        <v>1591</v>
      </c>
      <c r="B1333" s="2">
        <v>45726.490972222222</v>
      </c>
      <c r="C1333" s="3">
        <v>150</v>
      </c>
      <c r="D1333" s="4">
        <v>117.2</v>
      </c>
      <c r="E1333" s="4">
        <v>115.2</v>
      </c>
      <c r="F1333" s="4">
        <v>117.6</v>
      </c>
      <c r="G1333" s="6">
        <v>5.71</v>
      </c>
      <c r="H1333" s="7">
        <v>5.1200000000000002E-2</v>
      </c>
      <c r="I1333" s="4">
        <v>1</v>
      </c>
      <c r="J1333" s="4">
        <v>515</v>
      </c>
      <c r="K1333" s="5">
        <v>0.51119999999999999</v>
      </c>
      <c r="L1333" s="26" t="b">
        <f t="shared" si="91"/>
        <v>1</v>
      </c>
      <c r="M1333" s="26" t="str">
        <f t="shared" si="88"/>
        <v>call</v>
      </c>
      <c r="N1333" s="28">
        <f t="shared" si="89"/>
        <v>46374</v>
      </c>
      <c r="O1333" s="29">
        <f t="shared" si="90"/>
        <v>439</v>
      </c>
    </row>
    <row r="1334" spans="1:15" x14ac:dyDescent="0.45">
      <c r="A1334" s="1" t="s">
        <v>1592</v>
      </c>
      <c r="B1334" s="4" t="s">
        <v>1593</v>
      </c>
      <c r="C1334" s="3">
        <v>155</v>
      </c>
      <c r="D1334" s="4">
        <v>107.29</v>
      </c>
      <c r="E1334" s="4">
        <v>111.3</v>
      </c>
      <c r="F1334" s="4">
        <v>113.15</v>
      </c>
      <c r="G1334" s="6">
        <v>0</v>
      </c>
      <c r="H1334" s="7">
        <v>0</v>
      </c>
      <c r="I1334" s="4">
        <v>1</v>
      </c>
      <c r="J1334" s="4">
        <v>295</v>
      </c>
      <c r="K1334" s="5">
        <v>0.498</v>
      </c>
      <c r="L1334" s="26" t="b">
        <f t="shared" si="91"/>
        <v>1</v>
      </c>
      <c r="M1334" s="26" t="str">
        <f t="shared" si="88"/>
        <v>call</v>
      </c>
      <c r="N1334" s="28">
        <f t="shared" si="89"/>
        <v>46374</v>
      </c>
      <c r="O1334" s="29">
        <f t="shared" si="90"/>
        <v>439</v>
      </c>
    </row>
    <row r="1335" spans="1:15" x14ac:dyDescent="0.45">
      <c r="A1335" s="1" t="s">
        <v>1594</v>
      </c>
      <c r="B1335" s="4" t="s">
        <v>1595</v>
      </c>
      <c r="C1335" s="3">
        <v>160</v>
      </c>
      <c r="D1335" s="4">
        <v>104.25</v>
      </c>
      <c r="E1335" s="4">
        <v>106.25</v>
      </c>
      <c r="F1335" s="4">
        <v>108.95</v>
      </c>
      <c r="G1335" s="8">
        <v>0</v>
      </c>
      <c r="H1335" s="9">
        <v>0</v>
      </c>
      <c r="I1335" s="4">
        <v>2</v>
      </c>
      <c r="J1335" s="10">
        <v>1032</v>
      </c>
      <c r="K1335" s="5">
        <v>0.48899999999999999</v>
      </c>
      <c r="L1335" s="26" t="b">
        <f t="shared" si="91"/>
        <v>1</v>
      </c>
      <c r="M1335" s="26" t="str">
        <f t="shared" si="88"/>
        <v>call</v>
      </c>
      <c r="N1335" s="28">
        <f t="shared" si="89"/>
        <v>46374</v>
      </c>
      <c r="O1335" s="29">
        <f t="shared" si="90"/>
        <v>439</v>
      </c>
    </row>
    <row r="1336" spans="1:15" x14ac:dyDescent="0.45">
      <c r="A1336" s="1" t="s">
        <v>1596</v>
      </c>
      <c r="B1336" s="4" t="s">
        <v>454</v>
      </c>
      <c r="C1336" s="3">
        <v>165</v>
      </c>
      <c r="D1336" s="4">
        <v>101.32</v>
      </c>
      <c r="E1336" s="4">
        <v>102.6</v>
      </c>
      <c r="F1336" s="4">
        <v>103.85</v>
      </c>
      <c r="G1336" s="6">
        <v>0</v>
      </c>
      <c r="H1336" s="7">
        <v>0</v>
      </c>
      <c r="I1336" s="4">
        <v>6</v>
      </c>
      <c r="J1336" s="4">
        <v>484</v>
      </c>
      <c r="K1336" s="5">
        <v>0.46450000000000002</v>
      </c>
      <c r="L1336" s="26" t="b">
        <f t="shared" si="91"/>
        <v>1</v>
      </c>
      <c r="M1336" s="26" t="str">
        <f t="shared" si="88"/>
        <v>call</v>
      </c>
      <c r="N1336" s="28">
        <f t="shared" si="89"/>
        <v>46374</v>
      </c>
      <c r="O1336" s="29">
        <f t="shared" si="90"/>
        <v>439</v>
      </c>
    </row>
    <row r="1337" spans="1:15" x14ac:dyDescent="0.45">
      <c r="A1337" s="1" t="s">
        <v>1597</v>
      </c>
      <c r="B1337" s="2">
        <v>45698.638194444444</v>
      </c>
      <c r="C1337" s="3">
        <v>170</v>
      </c>
      <c r="D1337" s="4">
        <v>98.35</v>
      </c>
      <c r="E1337" s="4">
        <v>98.35</v>
      </c>
      <c r="F1337" s="4">
        <v>99.45</v>
      </c>
      <c r="G1337" s="4">
        <v>0</v>
      </c>
      <c r="H1337" s="5">
        <v>0</v>
      </c>
      <c r="I1337" s="4">
        <v>8</v>
      </c>
      <c r="J1337" s="10">
        <v>1004</v>
      </c>
      <c r="K1337" s="5">
        <v>0.4521</v>
      </c>
      <c r="L1337" s="26" t="b">
        <f t="shared" si="91"/>
        <v>1</v>
      </c>
      <c r="M1337" s="26" t="str">
        <f t="shared" si="88"/>
        <v>call</v>
      </c>
      <c r="N1337" s="28">
        <f t="shared" si="89"/>
        <v>46374</v>
      </c>
      <c r="O1337" s="29">
        <f t="shared" si="90"/>
        <v>439</v>
      </c>
    </row>
    <row r="1338" spans="1:15" x14ac:dyDescent="0.45">
      <c r="A1338" s="1" t="s">
        <v>1598</v>
      </c>
      <c r="B1338" s="2">
        <v>45667.651388888888</v>
      </c>
      <c r="C1338" s="3">
        <v>175</v>
      </c>
      <c r="D1338" s="4">
        <v>92.6</v>
      </c>
      <c r="E1338" s="4">
        <v>93.9</v>
      </c>
      <c r="F1338" s="4">
        <v>95.15</v>
      </c>
      <c r="G1338" s="8">
        <v>0</v>
      </c>
      <c r="H1338" s="9">
        <v>0</v>
      </c>
      <c r="I1338" s="4">
        <v>7</v>
      </c>
      <c r="J1338" s="4">
        <v>827</v>
      </c>
      <c r="K1338" s="5">
        <v>0.441</v>
      </c>
      <c r="L1338" s="26" t="b">
        <f t="shared" si="91"/>
        <v>1</v>
      </c>
      <c r="M1338" s="26" t="str">
        <f t="shared" si="88"/>
        <v>call</v>
      </c>
      <c r="N1338" s="28">
        <f t="shared" si="89"/>
        <v>46374</v>
      </c>
      <c r="O1338" s="29">
        <f t="shared" si="90"/>
        <v>439</v>
      </c>
    </row>
    <row r="1339" spans="1:15" x14ac:dyDescent="0.45">
      <c r="A1339" s="1" t="s">
        <v>1599</v>
      </c>
      <c r="B1339" s="2">
        <v>45698.582638888889</v>
      </c>
      <c r="C1339" s="3">
        <v>180</v>
      </c>
      <c r="D1339" s="4">
        <v>89.4</v>
      </c>
      <c r="E1339" s="4">
        <v>89.85</v>
      </c>
      <c r="F1339" s="4">
        <v>90.9</v>
      </c>
      <c r="G1339" s="4">
        <v>0</v>
      </c>
      <c r="H1339" s="5">
        <v>0</v>
      </c>
      <c r="I1339" s="4">
        <v>1</v>
      </c>
      <c r="J1339" s="10">
        <v>1090</v>
      </c>
      <c r="K1339" s="5">
        <v>0.43030000000000002</v>
      </c>
      <c r="L1339" s="26" t="b">
        <f t="shared" si="91"/>
        <v>1</v>
      </c>
      <c r="M1339" s="26" t="str">
        <f t="shared" si="88"/>
        <v>call</v>
      </c>
      <c r="N1339" s="28">
        <f t="shared" si="89"/>
        <v>46374</v>
      </c>
      <c r="O1339" s="29">
        <f t="shared" si="90"/>
        <v>439</v>
      </c>
    </row>
    <row r="1340" spans="1:15" x14ac:dyDescent="0.45">
      <c r="A1340" s="1" t="s">
        <v>1600</v>
      </c>
      <c r="B1340" s="2">
        <v>45726.644444444442</v>
      </c>
      <c r="C1340" s="3">
        <v>185</v>
      </c>
      <c r="D1340" s="4">
        <v>86.07</v>
      </c>
      <c r="E1340" s="4">
        <v>85.6</v>
      </c>
      <c r="F1340" s="4">
        <v>86.55</v>
      </c>
      <c r="G1340" s="6">
        <v>0.56999999999999995</v>
      </c>
      <c r="H1340" s="7">
        <v>6.7000000000000002E-3</v>
      </c>
      <c r="I1340" s="4">
        <v>2</v>
      </c>
      <c r="J1340" s="10">
        <v>1281</v>
      </c>
      <c r="K1340" s="5">
        <v>0.4178</v>
      </c>
      <c r="L1340" s="26" t="b">
        <f t="shared" si="91"/>
        <v>1</v>
      </c>
      <c r="M1340" s="26" t="str">
        <f t="shared" si="88"/>
        <v>call</v>
      </c>
      <c r="N1340" s="28">
        <f t="shared" si="89"/>
        <v>46374</v>
      </c>
      <c r="O1340" s="29">
        <f t="shared" si="90"/>
        <v>439</v>
      </c>
    </row>
    <row r="1341" spans="1:15" x14ac:dyDescent="0.45">
      <c r="A1341" s="1" t="s">
        <v>1601</v>
      </c>
      <c r="B1341" s="2">
        <v>45726.647916666669</v>
      </c>
      <c r="C1341" s="3">
        <v>190</v>
      </c>
      <c r="D1341" s="4">
        <v>82</v>
      </c>
      <c r="E1341" s="4">
        <v>81.650000000000006</v>
      </c>
      <c r="F1341" s="4">
        <v>82.35</v>
      </c>
      <c r="G1341" s="6">
        <v>0.15</v>
      </c>
      <c r="H1341" s="7">
        <v>1.8E-3</v>
      </c>
      <c r="I1341" s="4">
        <v>9</v>
      </c>
      <c r="J1341" s="4">
        <v>991</v>
      </c>
      <c r="K1341" s="5">
        <v>0.40720000000000001</v>
      </c>
      <c r="L1341" s="26" t="b">
        <f t="shared" si="91"/>
        <v>1</v>
      </c>
      <c r="M1341" s="26" t="str">
        <f t="shared" ref="M1341:M1404" si="92">IF(MID(A1341,11,1)="C","call","put")</f>
        <v>call</v>
      </c>
      <c r="N1341" s="28">
        <f t="shared" ref="N1341:N1404" si="93">DATE(MID(A1341,5,2)+2000,MID(A1341,7,2),MID(A1341,9,2))</f>
        <v>46374</v>
      </c>
      <c r="O1341" s="29">
        <f t="shared" si="90"/>
        <v>439</v>
      </c>
    </row>
    <row r="1342" spans="1:15" x14ac:dyDescent="0.45">
      <c r="A1342" s="1" t="s">
        <v>1602</v>
      </c>
      <c r="B1342" s="2">
        <v>45726.644444444442</v>
      </c>
      <c r="C1342" s="3">
        <v>195</v>
      </c>
      <c r="D1342" s="4">
        <v>78.05</v>
      </c>
      <c r="E1342" s="4">
        <v>77.599999999999994</v>
      </c>
      <c r="F1342" s="4">
        <v>78.25</v>
      </c>
      <c r="G1342" s="6">
        <v>0.2</v>
      </c>
      <c r="H1342" s="7">
        <v>2.5999999999999999E-3</v>
      </c>
      <c r="I1342" s="4">
        <v>18</v>
      </c>
      <c r="J1342" s="10">
        <v>1343</v>
      </c>
      <c r="K1342" s="5">
        <v>0.39739999999999998</v>
      </c>
      <c r="L1342" s="26" t="b">
        <f t="shared" si="91"/>
        <v>1</v>
      </c>
      <c r="M1342" s="26" t="str">
        <f t="shared" si="92"/>
        <v>call</v>
      </c>
      <c r="N1342" s="28">
        <f t="shared" si="93"/>
        <v>46374</v>
      </c>
      <c r="O1342" s="29">
        <f t="shared" ref="O1342:O1405" si="94">N1342-DATE(2025,10,5)</f>
        <v>439</v>
      </c>
    </row>
    <row r="1343" spans="1:15" x14ac:dyDescent="0.45">
      <c r="A1343" s="1" t="s">
        <v>1603</v>
      </c>
      <c r="B1343" s="2">
        <v>45726.650694444441</v>
      </c>
      <c r="C1343" s="3">
        <v>200</v>
      </c>
      <c r="D1343" s="4">
        <v>73.97</v>
      </c>
      <c r="E1343" s="4">
        <v>73.75</v>
      </c>
      <c r="F1343" s="4">
        <v>74.2</v>
      </c>
      <c r="G1343" s="6">
        <v>-0.09</v>
      </c>
      <c r="H1343" s="7">
        <v>-1.1999999999999999E-3</v>
      </c>
      <c r="I1343" s="4">
        <v>90</v>
      </c>
      <c r="J1343" s="10">
        <v>5616</v>
      </c>
      <c r="K1343" s="5">
        <v>0.38779999999999998</v>
      </c>
      <c r="L1343" s="26" t="b">
        <f t="shared" si="91"/>
        <v>1</v>
      </c>
      <c r="M1343" s="26" t="str">
        <f t="shared" si="92"/>
        <v>call</v>
      </c>
      <c r="N1343" s="28">
        <f t="shared" si="93"/>
        <v>46374</v>
      </c>
      <c r="O1343" s="29">
        <f t="shared" si="94"/>
        <v>439</v>
      </c>
    </row>
    <row r="1344" spans="1:15" x14ac:dyDescent="0.45">
      <c r="A1344" s="1" t="s">
        <v>1604</v>
      </c>
      <c r="B1344" s="2">
        <v>45726.644444444442</v>
      </c>
      <c r="C1344" s="3">
        <v>210</v>
      </c>
      <c r="D1344" s="4">
        <v>66.349999999999994</v>
      </c>
      <c r="E1344" s="4">
        <v>66.05</v>
      </c>
      <c r="F1344" s="4">
        <v>66.5</v>
      </c>
      <c r="G1344" s="6">
        <v>0.7</v>
      </c>
      <c r="H1344" s="7">
        <v>1.0699999999999999E-2</v>
      </c>
      <c r="I1344" s="4">
        <v>21</v>
      </c>
      <c r="J1344" s="10">
        <v>6084</v>
      </c>
      <c r="K1344" s="5">
        <v>0.37180000000000002</v>
      </c>
      <c r="L1344" s="26" t="b">
        <f t="shared" ref="L1344:L1407" si="95">IF(M1344="call",C1344&lt;$P$1,C1344&gt;$P$1)</f>
        <v>1</v>
      </c>
      <c r="M1344" s="26" t="str">
        <f t="shared" si="92"/>
        <v>call</v>
      </c>
      <c r="N1344" s="28">
        <f t="shared" si="93"/>
        <v>46374</v>
      </c>
      <c r="O1344" s="29">
        <f t="shared" si="94"/>
        <v>439</v>
      </c>
    </row>
    <row r="1345" spans="1:15" x14ac:dyDescent="0.45">
      <c r="A1345" s="1" t="s">
        <v>1605</v>
      </c>
      <c r="B1345" s="2">
        <v>45726.645833333336</v>
      </c>
      <c r="C1345" s="3">
        <v>220</v>
      </c>
      <c r="D1345" s="4">
        <v>58.95</v>
      </c>
      <c r="E1345" s="4">
        <v>58.65</v>
      </c>
      <c r="F1345" s="4">
        <v>59.1</v>
      </c>
      <c r="G1345" s="8">
        <v>0.55000000000000004</v>
      </c>
      <c r="H1345" s="9">
        <v>9.4000000000000004E-3</v>
      </c>
      <c r="I1345" s="4">
        <v>26</v>
      </c>
      <c r="J1345" s="10">
        <v>2812</v>
      </c>
      <c r="K1345" s="5">
        <v>0.35649999999999998</v>
      </c>
      <c r="L1345" s="26" t="b">
        <f t="shared" si="95"/>
        <v>1</v>
      </c>
      <c r="M1345" s="26" t="str">
        <f t="shared" si="92"/>
        <v>call</v>
      </c>
      <c r="N1345" s="28">
        <f t="shared" si="93"/>
        <v>46374</v>
      </c>
      <c r="O1345" s="29">
        <f t="shared" si="94"/>
        <v>439</v>
      </c>
    </row>
    <row r="1346" spans="1:15" x14ac:dyDescent="0.45">
      <c r="A1346" s="1" t="s">
        <v>1606</v>
      </c>
      <c r="B1346" s="2">
        <v>45726.643750000003</v>
      </c>
      <c r="C1346" s="3">
        <v>230</v>
      </c>
      <c r="D1346" s="4">
        <v>51.9</v>
      </c>
      <c r="E1346" s="4">
        <v>51.7</v>
      </c>
      <c r="F1346" s="4">
        <v>52.05</v>
      </c>
      <c r="G1346" s="6">
        <v>-0.1</v>
      </c>
      <c r="H1346" s="7">
        <v>-1.9E-3</v>
      </c>
      <c r="I1346" s="4">
        <v>38</v>
      </c>
      <c r="J1346" s="10">
        <v>5385</v>
      </c>
      <c r="K1346" s="5">
        <v>0.3422</v>
      </c>
      <c r="L1346" s="26" t="b">
        <f t="shared" si="95"/>
        <v>1</v>
      </c>
      <c r="M1346" s="26" t="str">
        <f t="shared" si="92"/>
        <v>call</v>
      </c>
      <c r="N1346" s="28">
        <f t="shared" si="93"/>
        <v>46374</v>
      </c>
      <c r="O1346" s="29">
        <f t="shared" si="94"/>
        <v>439</v>
      </c>
    </row>
    <row r="1347" spans="1:15" x14ac:dyDescent="0.45">
      <c r="A1347" s="1" t="s">
        <v>1607</v>
      </c>
      <c r="B1347" s="2">
        <v>45726.644444444442</v>
      </c>
      <c r="C1347" s="3">
        <v>240</v>
      </c>
      <c r="D1347" s="4">
        <v>45.35</v>
      </c>
      <c r="E1347" s="4">
        <v>45</v>
      </c>
      <c r="F1347" s="4">
        <v>45.5</v>
      </c>
      <c r="G1347" s="8">
        <v>0.12</v>
      </c>
      <c r="H1347" s="9">
        <v>2.7000000000000001E-3</v>
      </c>
      <c r="I1347" s="4">
        <v>86</v>
      </c>
      <c r="J1347" s="10">
        <v>5981</v>
      </c>
      <c r="K1347" s="5">
        <v>0.32969999999999999</v>
      </c>
      <c r="L1347" s="26" t="b">
        <f t="shared" si="95"/>
        <v>1</v>
      </c>
      <c r="M1347" s="26" t="str">
        <f t="shared" si="92"/>
        <v>call</v>
      </c>
      <c r="N1347" s="28">
        <f t="shared" si="93"/>
        <v>46374</v>
      </c>
      <c r="O1347" s="29">
        <f t="shared" si="94"/>
        <v>439</v>
      </c>
    </row>
    <row r="1348" spans="1:15" x14ac:dyDescent="0.45">
      <c r="A1348" s="1" t="s">
        <v>1608</v>
      </c>
      <c r="B1348" s="2">
        <v>45726.631249999999</v>
      </c>
      <c r="C1348" s="3">
        <v>250</v>
      </c>
      <c r="D1348" s="4">
        <v>39.25</v>
      </c>
      <c r="E1348" s="4">
        <v>39</v>
      </c>
      <c r="F1348" s="4">
        <v>39.4</v>
      </c>
      <c r="G1348" s="6">
        <v>0.44</v>
      </c>
      <c r="H1348" s="7">
        <v>1.1299999999999999E-2</v>
      </c>
      <c r="I1348" s="4">
        <v>143</v>
      </c>
      <c r="J1348" s="10">
        <v>10140</v>
      </c>
      <c r="K1348" s="5">
        <v>0.31830000000000003</v>
      </c>
      <c r="L1348" s="26" t="b">
        <f t="shared" si="95"/>
        <v>1</v>
      </c>
      <c r="M1348" s="26" t="str">
        <f t="shared" si="92"/>
        <v>call</v>
      </c>
      <c r="N1348" s="28">
        <f t="shared" si="93"/>
        <v>46374</v>
      </c>
      <c r="O1348" s="29">
        <f t="shared" si="94"/>
        <v>439</v>
      </c>
    </row>
    <row r="1349" spans="1:15" x14ac:dyDescent="0.45">
      <c r="A1349" s="11" t="s">
        <v>1609</v>
      </c>
      <c r="B1349" s="12">
        <v>45726.663888888892</v>
      </c>
      <c r="C1349" s="13">
        <v>260</v>
      </c>
      <c r="D1349" s="14">
        <v>33.35</v>
      </c>
      <c r="E1349" s="14">
        <v>33.4</v>
      </c>
      <c r="F1349" s="14">
        <v>33.75</v>
      </c>
      <c r="G1349" s="19">
        <v>-0.26</v>
      </c>
      <c r="H1349" s="20">
        <v>-7.7000000000000002E-3</v>
      </c>
      <c r="I1349" s="14">
        <v>75</v>
      </c>
      <c r="J1349" s="17">
        <v>4055</v>
      </c>
      <c r="K1349" s="18">
        <v>0.3075</v>
      </c>
      <c r="L1349" s="26" t="b">
        <f t="shared" si="95"/>
        <v>0</v>
      </c>
      <c r="M1349" s="26" t="str">
        <f t="shared" si="92"/>
        <v>call</v>
      </c>
      <c r="N1349" s="28">
        <f t="shared" si="93"/>
        <v>46374</v>
      </c>
      <c r="O1349" s="29">
        <f t="shared" si="94"/>
        <v>439</v>
      </c>
    </row>
    <row r="1350" spans="1:15" x14ac:dyDescent="0.45">
      <c r="A1350" s="11" t="s">
        <v>1610</v>
      </c>
      <c r="B1350" s="12">
        <v>45726.57708333333</v>
      </c>
      <c r="C1350" s="13">
        <v>270</v>
      </c>
      <c r="D1350" s="14">
        <v>28.5</v>
      </c>
      <c r="E1350" s="14">
        <v>28.3</v>
      </c>
      <c r="F1350" s="14">
        <v>28.55</v>
      </c>
      <c r="G1350" s="15">
        <v>0.25</v>
      </c>
      <c r="H1350" s="16">
        <v>8.8000000000000005E-3</v>
      </c>
      <c r="I1350" s="14">
        <v>81</v>
      </c>
      <c r="J1350" s="17">
        <v>4574</v>
      </c>
      <c r="K1350" s="18">
        <v>0.29699999999999999</v>
      </c>
      <c r="L1350" s="26" t="b">
        <f t="shared" si="95"/>
        <v>0</v>
      </c>
      <c r="M1350" s="26" t="str">
        <f t="shared" si="92"/>
        <v>call</v>
      </c>
      <c r="N1350" s="28">
        <f t="shared" si="93"/>
        <v>46374</v>
      </c>
      <c r="O1350" s="29">
        <f t="shared" si="94"/>
        <v>439</v>
      </c>
    </row>
    <row r="1351" spans="1:15" x14ac:dyDescent="0.45">
      <c r="A1351" s="11" t="s">
        <v>1611</v>
      </c>
      <c r="B1351" s="12">
        <v>45726.661805555559</v>
      </c>
      <c r="C1351" s="13">
        <v>280</v>
      </c>
      <c r="D1351" s="14">
        <v>23.75</v>
      </c>
      <c r="E1351" s="14">
        <v>23.75</v>
      </c>
      <c r="F1351" s="14">
        <v>24</v>
      </c>
      <c r="G1351" s="15">
        <v>-0.15</v>
      </c>
      <c r="H1351" s="16">
        <v>-6.3E-3</v>
      </c>
      <c r="I1351" s="14">
        <v>133</v>
      </c>
      <c r="J1351" s="17">
        <v>3363</v>
      </c>
      <c r="K1351" s="18">
        <v>0.28860000000000002</v>
      </c>
      <c r="L1351" s="26" t="b">
        <f t="shared" si="95"/>
        <v>0</v>
      </c>
      <c r="M1351" s="26" t="str">
        <f t="shared" si="92"/>
        <v>call</v>
      </c>
      <c r="N1351" s="28">
        <f t="shared" si="93"/>
        <v>46374</v>
      </c>
      <c r="O1351" s="29">
        <f t="shared" si="94"/>
        <v>439</v>
      </c>
    </row>
    <row r="1352" spans="1:15" x14ac:dyDescent="0.45">
      <c r="A1352" s="11" t="s">
        <v>1612</v>
      </c>
      <c r="B1352" s="12">
        <v>45726.628472222219</v>
      </c>
      <c r="C1352" s="13">
        <v>290</v>
      </c>
      <c r="D1352" s="14">
        <v>20.05</v>
      </c>
      <c r="E1352" s="14">
        <v>19.8</v>
      </c>
      <c r="F1352" s="14">
        <v>20</v>
      </c>
      <c r="G1352" s="15">
        <v>-0.15</v>
      </c>
      <c r="H1352" s="16">
        <v>-7.4000000000000003E-3</v>
      </c>
      <c r="I1352" s="14">
        <v>55</v>
      </c>
      <c r="J1352" s="17">
        <v>4511</v>
      </c>
      <c r="K1352" s="18">
        <v>0.28129999999999999</v>
      </c>
      <c r="L1352" s="26" t="b">
        <f t="shared" si="95"/>
        <v>0</v>
      </c>
      <c r="M1352" s="26" t="str">
        <f t="shared" si="92"/>
        <v>call</v>
      </c>
      <c r="N1352" s="28">
        <f t="shared" si="93"/>
        <v>46374</v>
      </c>
      <c r="O1352" s="29">
        <f t="shared" si="94"/>
        <v>439</v>
      </c>
    </row>
    <row r="1353" spans="1:15" x14ac:dyDescent="0.45">
      <c r="A1353" s="11" t="s">
        <v>1613</v>
      </c>
      <c r="B1353" s="12">
        <v>45726.592361111114</v>
      </c>
      <c r="C1353" s="13">
        <v>300</v>
      </c>
      <c r="D1353" s="14">
        <v>16.3</v>
      </c>
      <c r="E1353" s="14">
        <v>16.350000000000001</v>
      </c>
      <c r="F1353" s="14">
        <v>16.55</v>
      </c>
      <c r="G1353" s="15">
        <v>-0.32</v>
      </c>
      <c r="H1353" s="16">
        <v>-1.9300000000000001E-2</v>
      </c>
      <c r="I1353" s="14">
        <v>415</v>
      </c>
      <c r="J1353" s="17">
        <v>7340</v>
      </c>
      <c r="K1353" s="18">
        <v>0.27500000000000002</v>
      </c>
      <c r="L1353" s="26" t="b">
        <f t="shared" si="95"/>
        <v>0</v>
      </c>
      <c r="M1353" s="26" t="str">
        <f t="shared" si="92"/>
        <v>call</v>
      </c>
      <c r="N1353" s="28">
        <f t="shared" si="93"/>
        <v>46374</v>
      </c>
      <c r="O1353" s="29">
        <f t="shared" si="94"/>
        <v>439</v>
      </c>
    </row>
    <row r="1354" spans="1:15" x14ac:dyDescent="0.45">
      <c r="A1354" s="11" t="s">
        <v>1614</v>
      </c>
      <c r="B1354" s="12">
        <v>45726.63958333333</v>
      </c>
      <c r="C1354" s="13">
        <v>310</v>
      </c>
      <c r="D1354" s="14">
        <v>13.5</v>
      </c>
      <c r="E1354" s="14">
        <v>13.4</v>
      </c>
      <c r="F1354" s="14">
        <v>13.6</v>
      </c>
      <c r="G1354" s="19">
        <v>-0.1</v>
      </c>
      <c r="H1354" s="20">
        <v>-7.4000000000000003E-3</v>
      </c>
      <c r="I1354" s="14">
        <v>2</v>
      </c>
      <c r="J1354" s="14">
        <v>691</v>
      </c>
      <c r="K1354" s="18">
        <v>0.2697</v>
      </c>
      <c r="L1354" s="26" t="b">
        <f t="shared" si="95"/>
        <v>0</v>
      </c>
      <c r="M1354" s="26" t="str">
        <f t="shared" si="92"/>
        <v>call</v>
      </c>
      <c r="N1354" s="28">
        <f t="shared" si="93"/>
        <v>46374</v>
      </c>
      <c r="O1354" s="29">
        <f t="shared" si="94"/>
        <v>439</v>
      </c>
    </row>
    <row r="1355" spans="1:15" x14ac:dyDescent="0.45">
      <c r="A1355" s="11" t="s">
        <v>1615</v>
      </c>
      <c r="B1355" s="12">
        <v>45726.579861111109</v>
      </c>
      <c r="C1355" s="13">
        <v>320</v>
      </c>
      <c r="D1355" s="14">
        <v>11.05</v>
      </c>
      <c r="E1355" s="14">
        <v>10.95</v>
      </c>
      <c r="F1355" s="14">
        <v>11.15</v>
      </c>
      <c r="G1355" s="19">
        <v>0.7</v>
      </c>
      <c r="H1355" s="20">
        <v>6.7599999999999993E-2</v>
      </c>
      <c r="I1355" s="14">
        <v>55</v>
      </c>
      <c r="J1355" s="17">
        <v>2490</v>
      </c>
      <c r="K1355" s="18">
        <v>0.26550000000000001</v>
      </c>
      <c r="L1355" s="26" t="b">
        <f t="shared" si="95"/>
        <v>0</v>
      </c>
      <c r="M1355" s="26" t="str">
        <f t="shared" si="92"/>
        <v>call</v>
      </c>
      <c r="N1355" s="28">
        <f t="shared" si="93"/>
        <v>46374</v>
      </c>
      <c r="O1355" s="29">
        <f t="shared" si="94"/>
        <v>439</v>
      </c>
    </row>
    <row r="1356" spans="1:15" x14ac:dyDescent="0.45">
      <c r="A1356" s="11" t="s">
        <v>1616</v>
      </c>
      <c r="B1356" s="12">
        <v>45726.554861111108</v>
      </c>
      <c r="C1356" s="13">
        <v>330</v>
      </c>
      <c r="D1356" s="14">
        <v>9.0500000000000007</v>
      </c>
      <c r="E1356" s="14">
        <v>8.9</v>
      </c>
      <c r="F1356" s="14">
        <v>9.1</v>
      </c>
      <c r="G1356" s="19">
        <v>-0.11</v>
      </c>
      <c r="H1356" s="20">
        <v>-1.2E-2</v>
      </c>
      <c r="I1356" s="14">
        <v>18</v>
      </c>
      <c r="J1356" s="17">
        <v>1352</v>
      </c>
      <c r="K1356" s="18">
        <v>0.2621</v>
      </c>
      <c r="L1356" s="26" t="b">
        <f t="shared" si="95"/>
        <v>0</v>
      </c>
      <c r="M1356" s="26" t="str">
        <f t="shared" si="92"/>
        <v>call</v>
      </c>
      <c r="N1356" s="28">
        <f t="shared" si="93"/>
        <v>46374</v>
      </c>
      <c r="O1356" s="29">
        <f t="shared" si="94"/>
        <v>439</v>
      </c>
    </row>
    <row r="1357" spans="1:15" x14ac:dyDescent="0.45">
      <c r="A1357" s="11" t="s">
        <v>1617</v>
      </c>
      <c r="B1357" s="12">
        <v>45698.640277777777</v>
      </c>
      <c r="C1357" s="13">
        <v>340</v>
      </c>
      <c r="D1357" s="14">
        <v>7.45</v>
      </c>
      <c r="E1357" s="14">
        <v>7.3</v>
      </c>
      <c r="F1357" s="14">
        <v>7.45</v>
      </c>
      <c r="G1357" s="15">
        <v>0</v>
      </c>
      <c r="H1357" s="16">
        <v>0</v>
      </c>
      <c r="I1357" s="14">
        <v>25</v>
      </c>
      <c r="J1357" s="14">
        <v>736</v>
      </c>
      <c r="K1357" s="18">
        <v>0.25979999999999998</v>
      </c>
      <c r="L1357" s="26" t="b">
        <f t="shared" si="95"/>
        <v>0</v>
      </c>
      <c r="M1357" s="26" t="str">
        <f t="shared" si="92"/>
        <v>call</v>
      </c>
      <c r="N1357" s="28">
        <f t="shared" si="93"/>
        <v>46374</v>
      </c>
      <c r="O1357" s="29">
        <f t="shared" si="94"/>
        <v>439</v>
      </c>
    </row>
    <row r="1358" spans="1:15" x14ac:dyDescent="0.45">
      <c r="A1358" s="11" t="s">
        <v>1618</v>
      </c>
      <c r="B1358" s="12">
        <v>45726.602777777778</v>
      </c>
      <c r="C1358" s="13">
        <v>350</v>
      </c>
      <c r="D1358" s="14">
        <v>6.11</v>
      </c>
      <c r="E1358" s="14">
        <v>5.9</v>
      </c>
      <c r="F1358" s="14">
        <v>6.1</v>
      </c>
      <c r="G1358" s="19">
        <v>0.01</v>
      </c>
      <c r="H1358" s="20">
        <v>1.6000000000000001E-3</v>
      </c>
      <c r="I1358" s="14">
        <v>36</v>
      </c>
      <c r="J1358" s="17">
        <v>4453</v>
      </c>
      <c r="K1358" s="18">
        <v>0.25819999999999999</v>
      </c>
      <c r="L1358" s="26" t="b">
        <f t="shared" si="95"/>
        <v>0</v>
      </c>
      <c r="M1358" s="26" t="str">
        <f t="shared" si="92"/>
        <v>call</v>
      </c>
      <c r="N1358" s="28">
        <f t="shared" si="93"/>
        <v>46374</v>
      </c>
      <c r="O1358" s="29">
        <f t="shared" si="94"/>
        <v>439</v>
      </c>
    </row>
    <row r="1359" spans="1:15" x14ac:dyDescent="0.45">
      <c r="A1359" s="11" t="s">
        <v>1619</v>
      </c>
      <c r="B1359" s="12">
        <v>45698.453472222223</v>
      </c>
      <c r="C1359" s="13">
        <v>360</v>
      </c>
      <c r="D1359" s="14">
        <v>4.75</v>
      </c>
      <c r="E1359" s="14">
        <v>4.8499999999999996</v>
      </c>
      <c r="F1359" s="14">
        <v>4.95</v>
      </c>
      <c r="G1359" s="19">
        <v>0</v>
      </c>
      <c r="H1359" s="20">
        <v>0</v>
      </c>
      <c r="I1359" s="14">
        <v>1</v>
      </c>
      <c r="J1359" s="17">
        <v>2132</v>
      </c>
      <c r="K1359" s="18">
        <v>0.25640000000000002</v>
      </c>
      <c r="L1359" s="26" t="b">
        <f t="shared" si="95"/>
        <v>0</v>
      </c>
      <c r="M1359" s="26" t="str">
        <f t="shared" si="92"/>
        <v>call</v>
      </c>
      <c r="N1359" s="28">
        <f t="shared" si="93"/>
        <v>46374</v>
      </c>
      <c r="O1359" s="29">
        <f t="shared" si="94"/>
        <v>439</v>
      </c>
    </row>
    <row r="1360" spans="1:15" x14ac:dyDescent="0.45">
      <c r="A1360" s="11" t="s">
        <v>1620</v>
      </c>
      <c r="B1360" s="12">
        <v>45726.45208333333</v>
      </c>
      <c r="C1360" s="13">
        <v>370</v>
      </c>
      <c r="D1360" s="14">
        <v>4.05</v>
      </c>
      <c r="E1360" s="14">
        <v>3.95</v>
      </c>
      <c r="F1360" s="14">
        <v>4.05</v>
      </c>
      <c r="G1360" s="15">
        <v>0.18</v>
      </c>
      <c r="H1360" s="16">
        <v>4.65E-2</v>
      </c>
      <c r="I1360" s="14">
        <v>5</v>
      </c>
      <c r="J1360" s="17">
        <v>1754</v>
      </c>
      <c r="K1360" s="18">
        <v>0.2555</v>
      </c>
      <c r="L1360" s="26" t="b">
        <f t="shared" si="95"/>
        <v>0</v>
      </c>
      <c r="M1360" s="26" t="str">
        <f t="shared" si="92"/>
        <v>call</v>
      </c>
      <c r="N1360" s="28">
        <f t="shared" si="93"/>
        <v>46374</v>
      </c>
      <c r="O1360" s="29">
        <f t="shared" si="94"/>
        <v>439</v>
      </c>
    </row>
    <row r="1361" spans="1:15" x14ac:dyDescent="0.45">
      <c r="A1361" s="11" t="s">
        <v>1621</v>
      </c>
      <c r="B1361" s="14" t="s">
        <v>1622</v>
      </c>
      <c r="C1361" s="13">
        <v>380</v>
      </c>
      <c r="D1361" s="14">
        <v>3.45</v>
      </c>
      <c r="E1361" s="14">
        <v>3.2</v>
      </c>
      <c r="F1361" s="14">
        <v>3.35</v>
      </c>
      <c r="G1361" s="15">
        <v>0</v>
      </c>
      <c r="H1361" s="16">
        <v>0</v>
      </c>
      <c r="I1361" s="14">
        <v>8</v>
      </c>
      <c r="J1361" s="14">
        <v>865</v>
      </c>
      <c r="K1361" s="18">
        <v>0.25559999999999999</v>
      </c>
      <c r="L1361" s="26" t="b">
        <f t="shared" si="95"/>
        <v>0</v>
      </c>
      <c r="M1361" s="26" t="str">
        <f t="shared" si="92"/>
        <v>call</v>
      </c>
      <c r="N1361" s="28">
        <f t="shared" si="93"/>
        <v>46374</v>
      </c>
      <c r="O1361" s="29">
        <f t="shared" si="94"/>
        <v>439</v>
      </c>
    </row>
    <row r="1362" spans="1:15" x14ac:dyDescent="0.45">
      <c r="A1362" s="11" t="s">
        <v>1623</v>
      </c>
      <c r="B1362" s="12">
        <v>45667.40902777778</v>
      </c>
      <c r="C1362" s="13">
        <v>390</v>
      </c>
      <c r="D1362" s="14">
        <v>2.59</v>
      </c>
      <c r="E1362" s="14">
        <v>2.65</v>
      </c>
      <c r="F1362" s="14">
        <v>2.72</v>
      </c>
      <c r="G1362" s="14">
        <v>0</v>
      </c>
      <c r="H1362" s="18">
        <v>0</v>
      </c>
      <c r="I1362" s="14">
        <v>5</v>
      </c>
      <c r="J1362" s="14">
        <v>218</v>
      </c>
      <c r="K1362" s="18">
        <v>0.25469999999999998</v>
      </c>
      <c r="L1362" s="26" t="b">
        <f t="shared" si="95"/>
        <v>0</v>
      </c>
      <c r="M1362" s="26" t="str">
        <f t="shared" si="92"/>
        <v>call</v>
      </c>
      <c r="N1362" s="28">
        <f t="shared" si="93"/>
        <v>46374</v>
      </c>
      <c r="O1362" s="29">
        <f t="shared" si="94"/>
        <v>439</v>
      </c>
    </row>
    <row r="1363" spans="1:15" x14ac:dyDescent="0.45">
      <c r="A1363" s="11" t="s">
        <v>1624</v>
      </c>
      <c r="B1363" s="12">
        <v>45698.457638888889</v>
      </c>
      <c r="C1363" s="13">
        <v>400</v>
      </c>
      <c r="D1363" s="14">
        <v>2.19</v>
      </c>
      <c r="E1363" s="14">
        <v>2.1800000000000002</v>
      </c>
      <c r="F1363" s="14">
        <v>2.2599999999999998</v>
      </c>
      <c r="G1363" s="19">
        <v>-0.02</v>
      </c>
      <c r="H1363" s="20">
        <v>-8.9999999999999993E-3</v>
      </c>
      <c r="I1363" s="14">
        <v>6</v>
      </c>
      <c r="J1363" s="14">
        <v>360</v>
      </c>
      <c r="K1363" s="18">
        <v>0.25530000000000003</v>
      </c>
      <c r="L1363" s="26" t="b">
        <f t="shared" si="95"/>
        <v>0</v>
      </c>
      <c r="M1363" s="26" t="str">
        <f t="shared" si="92"/>
        <v>call</v>
      </c>
      <c r="N1363" s="28">
        <f t="shared" si="93"/>
        <v>46374</v>
      </c>
      <c r="O1363" s="29">
        <f t="shared" si="94"/>
        <v>439</v>
      </c>
    </row>
    <row r="1364" spans="1:15" x14ac:dyDescent="0.45">
      <c r="A1364" s="11" t="s">
        <v>1625</v>
      </c>
      <c r="B1364" s="12">
        <v>45698.613194444442</v>
      </c>
      <c r="C1364" s="13">
        <v>410</v>
      </c>
      <c r="D1364" s="14">
        <v>1.92</v>
      </c>
      <c r="E1364" s="14">
        <v>1.82</v>
      </c>
      <c r="F1364" s="14">
        <v>1.87</v>
      </c>
      <c r="G1364" s="19">
        <v>0</v>
      </c>
      <c r="H1364" s="20">
        <v>0</v>
      </c>
      <c r="I1364" s="14">
        <v>26</v>
      </c>
      <c r="J1364" s="14">
        <v>328</v>
      </c>
      <c r="K1364" s="18">
        <v>0.25559999999999999</v>
      </c>
      <c r="L1364" s="26" t="b">
        <f t="shared" si="95"/>
        <v>0</v>
      </c>
      <c r="M1364" s="26" t="str">
        <f t="shared" si="92"/>
        <v>call</v>
      </c>
      <c r="N1364" s="28">
        <f t="shared" si="93"/>
        <v>46374</v>
      </c>
      <c r="O1364" s="29">
        <f t="shared" si="94"/>
        <v>439</v>
      </c>
    </row>
    <row r="1365" spans="1:15" x14ac:dyDescent="0.45">
      <c r="A1365" s="11" t="s">
        <v>1626</v>
      </c>
      <c r="B1365" s="12">
        <v>45698.457638888889</v>
      </c>
      <c r="C1365" s="13">
        <v>420</v>
      </c>
      <c r="D1365" s="14">
        <v>1.52</v>
      </c>
      <c r="E1365" s="14">
        <v>1.46</v>
      </c>
      <c r="F1365" s="14">
        <v>1.58</v>
      </c>
      <c r="G1365" s="19">
        <v>0</v>
      </c>
      <c r="H1365" s="20">
        <v>0</v>
      </c>
      <c r="I1365" s="14">
        <v>24</v>
      </c>
      <c r="J1365" s="14">
        <v>412</v>
      </c>
      <c r="K1365" s="18">
        <v>0.25700000000000001</v>
      </c>
      <c r="L1365" s="26" t="b">
        <f t="shared" si="95"/>
        <v>0</v>
      </c>
      <c r="M1365" s="26" t="str">
        <f t="shared" si="92"/>
        <v>call</v>
      </c>
      <c r="N1365" s="28">
        <f t="shared" si="93"/>
        <v>46374</v>
      </c>
      <c r="O1365" s="29">
        <f t="shared" si="94"/>
        <v>439</v>
      </c>
    </row>
    <row r="1366" spans="1:15" x14ac:dyDescent="0.45">
      <c r="A1366" s="11" t="s">
        <v>1627</v>
      </c>
      <c r="B1366" s="12">
        <v>45726.395833333336</v>
      </c>
      <c r="C1366" s="13">
        <v>430</v>
      </c>
      <c r="D1366" s="14">
        <v>1.31</v>
      </c>
      <c r="E1366" s="14">
        <v>1.26</v>
      </c>
      <c r="F1366" s="14">
        <v>1.33</v>
      </c>
      <c r="G1366" s="14">
        <v>0.01</v>
      </c>
      <c r="H1366" s="18">
        <v>7.7000000000000002E-3</v>
      </c>
      <c r="I1366" s="14">
        <v>2</v>
      </c>
      <c r="J1366" s="14">
        <v>276</v>
      </c>
      <c r="K1366" s="18">
        <v>0.2581</v>
      </c>
      <c r="L1366" s="26" t="b">
        <f t="shared" si="95"/>
        <v>0</v>
      </c>
      <c r="M1366" s="26" t="str">
        <f t="shared" si="92"/>
        <v>call</v>
      </c>
      <c r="N1366" s="28">
        <f t="shared" si="93"/>
        <v>46374</v>
      </c>
      <c r="O1366" s="29">
        <f t="shared" si="94"/>
        <v>439</v>
      </c>
    </row>
    <row r="1367" spans="1:15" x14ac:dyDescent="0.45">
      <c r="A1367" s="11" t="s">
        <v>1628</v>
      </c>
      <c r="B1367" s="12">
        <v>45667.48333333333</v>
      </c>
      <c r="C1367" s="13">
        <v>440</v>
      </c>
      <c r="D1367" s="14">
        <v>1.08</v>
      </c>
      <c r="E1367" s="14">
        <v>1.05</v>
      </c>
      <c r="F1367" s="14">
        <v>1.1299999999999999</v>
      </c>
      <c r="G1367" s="15">
        <v>0.02</v>
      </c>
      <c r="H1367" s="16">
        <v>1.89E-2</v>
      </c>
      <c r="I1367" s="14">
        <v>50</v>
      </c>
      <c r="J1367" s="14">
        <v>138</v>
      </c>
      <c r="K1367" s="18">
        <v>0.25950000000000001</v>
      </c>
      <c r="L1367" s="26" t="b">
        <f t="shared" si="95"/>
        <v>0</v>
      </c>
      <c r="M1367" s="26" t="str">
        <f t="shared" si="92"/>
        <v>call</v>
      </c>
      <c r="N1367" s="28">
        <f t="shared" si="93"/>
        <v>46374</v>
      </c>
      <c r="O1367" s="29">
        <f t="shared" si="94"/>
        <v>439</v>
      </c>
    </row>
    <row r="1368" spans="1:15" x14ac:dyDescent="0.45">
      <c r="A1368" s="11" t="s">
        <v>1629</v>
      </c>
      <c r="B1368" s="12">
        <v>45726.59375</v>
      </c>
      <c r="C1368" s="13">
        <v>450</v>
      </c>
      <c r="D1368" s="14">
        <v>0.92</v>
      </c>
      <c r="E1368" s="14">
        <v>0.89</v>
      </c>
      <c r="F1368" s="14">
        <v>0.95</v>
      </c>
      <c r="G1368" s="15">
        <v>-0.03</v>
      </c>
      <c r="H1368" s="16">
        <v>-3.1600000000000003E-2</v>
      </c>
      <c r="I1368" s="14">
        <v>112</v>
      </c>
      <c r="J1368" s="17">
        <v>2469</v>
      </c>
      <c r="K1368" s="18">
        <v>0.26040000000000002</v>
      </c>
      <c r="L1368" s="26" t="b">
        <f t="shared" si="95"/>
        <v>0</v>
      </c>
      <c r="M1368" s="26" t="str">
        <f t="shared" si="92"/>
        <v>call</v>
      </c>
      <c r="N1368" s="28">
        <f t="shared" si="93"/>
        <v>46374</v>
      </c>
      <c r="O1368" s="29">
        <f t="shared" si="94"/>
        <v>439</v>
      </c>
    </row>
    <row r="1369" spans="1:15" x14ac:dyDescent="0.45">
      <c r="A1369" s="11" t="s">
        <v>1630</v>
      </c>
      <c r="B1369" s="14" t="s">
        <v>1631</v>
      </c>
      <c r="C1369" s="13">
        <v>5</v>
      </c>
      <c r="D1369" s="14">
        <v>0.03</v>
      </c>
      <c r="E1369" s="14">
        <v>0</v>
      </c>
      <c r="F1369" s="14">
        <v>0.27</v>
      </c>
      <c r="G1369" s="14">
        <v>0</v>
      </c>
      <c r="H1369" s="18">
        <v>0</v>
      </c>
      <c r="I1369" s="14">
        <v>1</v>
      </c>
      <c r="J1369" s="14">
        <v>104</v>
      </c>
      <c r="K1369" s="18">
        <v>1.5156000000000001</v>
      </c>
      <c r="L1369" s="26" t="b">
        <f t="shared" si="95"/>
        <v>0</v>
      </c>
      <c r="M1369" s="26" t="str">
        <f t="shared" si="92"/>
        <v>put</v>
      </c>
      <c r="N1369" s="28">
        <f t="shared" si="93"/>
        <v>46374</v>
      </c>
      <c r="O1369" s="29">
        <f t="shared" si="94"/>
        <v>439</v>
      </c>
    </row>
    <row r="1370" spans="1:15" x14ac:dyDescent="0.45">
      <c r="A1370" s="11" t="s">
        <v>1632</v>
      </c>
      <c r="B1370" s="14" t="s">
        <v>1633</v>
      </c>
      <c r="C1370" s="13">
        <v>10</v>
      </c>
      <c r="D1370" s="14">
        <v>0.02</v>
      </c>
      <c r="E1370" s="14">
        <v>0</v>
      </c>
      <c r="F1370" s="14">
        <v>0.24</v>
      </c>
      <c r="G1370" s="14">
        <v>0</v>
      </c>
      <c r="H1370" s="18">
        <v>0</v>
      </c>
      <c r="I1370" s="14">
        <v>1</v>
      </c>
      <c r="J1370" s="14">
        <v>93</v>
      </c>
      <c r="K1370" s="18">
        <v>1.1953</v>
      </c>
      <c r="L1370" s="26" t="b">
        <f t="shared" si="95"/>
        <v>0</v>
      </c>
      <c r="M1370" s="26" t="str">
        <f t="shared" si="92"/>
        <v>put</v>
      </c>
      <c r="N1370" s="28">
        <f t="shared" si="93"/>
        <v>46374</v>
      </c>
      <c r="O1370" s="29">
        <f t="shared" si="94"/>
        <v>439</v>
      </c>
    </row>
    <row r="1371" spans="1:15" x14ac:dyDescent="0.45">
      <c r="A1371" s="11" t="s">
        <v>1634</v>
      </c>
      <c r="B1371" s="14" t="s">
        <v>1635</v>
      </c>
      <c r="C1371" s="13">
        <v>15</v>
      </c>
      <c r="D1371" s="14">
        <v>0.01</v>
      </c>
      <c r="E1371" s="14">
        <v>0</v>
      </c>
      <c r="F1371" s="14">
        <v>0.04</v>
      </c>
      <c r="G1371" s="14">
        <v>0</v>
      </c>
      <c r="H1371" s="18">
        <v>0</v>
      </c>
      <c r="I1371" s="14">
        <v>1</v>
      </c>
      <c r="J1371" s="14">
        <v>615</v>
      </c>
      <c r="K1371" s="18">
        <v>0.85940000000000005</v>
      </c>
      <c r="L1371" s="26" t="b">
        <f t="shared" si="95"/>
        <v>0</v>
      </c>
      <c r="M1371" s="26" t="str">
        <f t="shared" si="92"/>
        <v>put</v>
      </c>
      <c r="N1371" s="28">
        <f t="shared" si="93"/>
        <v>46374</v>
      </c>
      <c r="O1371" s="29">
        <f t="shared" si="94"/>
        <v>439</v>
      </c>
    </row>
    <row r="1372" spans="1:15" x14ac:dyDescent="0.45">
      <c r="A1372" s="11" t="s">
        <v>1636</v>
      </c>
      <c r="B1372" s="14" t="s">
        <v>1635</v>
      </c>
      <c r="C1372" s="13">
        <v>20</v>
      </c>
      <c r="D1372" s="14">
        <v>0.01</v>
      </c>
      <c r="E1372" s="14">
        <v>0.01</v>
      </c>
      <c r="F1372" s="14">
        <v>0.04</v>
      </c>
      <c r="G1372" s="14">
        <v>-0.03</v>
      </c>
      <c r="H1372" s="18">
        <v>-0.75</v>
      </c>
      <c r="I1372" s="14">
        <v>1</v>
      </c>
      <c r="J1372" s="17">
        <v>2866</v>
      </c>
      <c r="K1372" s="18">
        <v>0.78910000000000002</v>
      </c>
      <c r="L1372" s="26" t="b">
        <f t="shared" si="95"/>
        <v>0</v>
      </c>
      <c r="M1372" s="26" t="str">
        <f t="shared" si="92"/>
        <v>put</v>
      </c>
      <c r="N1372" s="28">
        <f t="shared" si="93"/>
        <v>46374</v>
      </c>
      <c r="O1372" s="29">
        <f t="shared" si="94"/>
        <v>439</v>
      </c>
    </row>
    <row r="1373" spans="1:15" x14ac:dyDescent="0.45">
      <c r="A1373" s="11" t="s">
        <v>1637</v>
      </c>
      <c r="B1373" s="12">
        <v>45698.588888888888</v>
      </c>
      <c r="C1373" s="13">
        <v>25</v>
      </c>
      <c r="D1373" s="14">
        <v>0.03</v>
      </c>
      <c r="E1373" s="14">
        <v>0</v>
      </c>
      <c r="F1373" s="14">
        <v>0.45</v>
      </c>
      <c r="G1373" s="14">
        <v>0.02</v>
      </c>
      <c r="H1373" s="18">
        <v>2</v>
      </c>
      <c r="I1373" s="14">
        <v>1</v>
      </c>
      <c r="J1373" s="14">
        <v>529</v>
      </c>
      <c r="K1373" s="18">
        <v>0.90329999999999999</v>
      </c>
      <c r="L1373" s="26" t="b">
        <f t="shared" si="95"/>
        <v>0</v>
      </c>
      <c r="M1373" s="26" t="str">
        <f t="shared" si="92"/>
        <v>put</v>
      </c>
      <c r="N1373" s="28">
        <f t="shared" si="93"/>
        <v>46374</v>
      </c>
      <c r="O1373" s="29">
        <f t="shared" si="94"/>
        <v>439</v>
      </c>
    </row>
    <row r="1374" spans="1:15" x14ac:dyDescent="0.45">
      <c r="A1374" s="11" t="s">
        <v>1638</v>
      </c>
      <c r="B1374" s="12">
        <v>45698.397222222222</v>
      </c>
      <c r="C1374" s="13">
        <v>30</v>
      </c>
      <c r="D1374" s="14">
        <v>0.03</v>
      </c>
      <c r="E1374" s="14">
        <v>0</v>
      </c>
      <c r="F1374" s="14">
        <v>0.06</v>
      </c>
      <c r="G1374" s="15">
        <v>0</v>
      </c>
      <c r="H1374" s="16">
        <v>0</v>
      </c>
      <c r="I1374" s="14">
        <v>1</v>
      </c>
      <c r="J1374" s="17">
        <v>1385</v>
      </c>
      <c r="K1374" s="18">
        <v>0.66800000000000004</v>
      </c>
      <c r="L1374" s="26" t="b">
        <f t="shared" si="95"/>
        <v>0</v>
      </c>
      <c r="M1374" s="26" t="str">
        <f t="shared" si="92"/>
        <v>put</v>
      </c>
      <c r="N1374" s="28">
        <f t="shared" si="93"/>
        <v>46374</v>
      </c>
      <c r="O1374" s="29">
        <f t="shared" si="94"/>
        <v>439</v>
      </c>
    </row>
    <row r="1375" spans="1:15" x14ac:dyDescent="0.45">
      <c r="A1375" s="11" t="s">
        <v>1639</v>
      </c>
      <c r="B1375" s="12">
        <v>45667.397916666669</v>
      </c>
      <c r="C1375" s="13">
        <v>35</v>
      </c>
      <c r="D1375" s="14">
        <v>0.04</v>
      </c>
      <c r="E1375" s="14">
        <v>0</v>
      </c>
      <c r="F1375" s="14">
        <v>0.27</v>
      </c>
      <c r="G1375" s="14">
        <v>0</v>
      </c>
      <c r="H1375" s="18">
        <v>0</v>
      </c>
      <c r="I1375" s="14">
        <v>1</v>
      </c>
      <c r="J1375" s="17">
        <v>1276</v>
      </c>
      <c r="K1375" s="18">
        <v>0.72360000000000002</v>
      </c>
      <c r="L1375" s="26" t="b">
        <f t="shared" si="95"/>
        <v>0</v>
      </c>
      <c r="M1375" s="26" t="str">
        <f t="shared" si="92"/>
        <v>put</v>
      </c>
      <c r="N1375" s="28">
        <f t="shared" si="93"/>
        <v>46374</v>
      </c>
      <c r="O1375" s="29">
        <f t="shared" si="94"/>
        <v>439</v>
      </c>
    </row>
    <row r="1376" spans="1:15" x14ac:dyDescent="0.45">
      <c r="A1376" s="11" t="s">
        <v>1640</v>
      </c>
      <c r="B1376" s="14" t="s">
        <v>1641</v>
      </c>
      <c r="C1376" s="13">
        <v>40</v>
      </c>
      <c r="D1376" s="14">
        <v>7.0000000000000007E-2</v>
      </c>
      <c r="E1376" s="14">
        <v>0.01</v>
      </c>
      <c r="F1376" s="14">
        <v>0.15</v>
      </c>
      <c r="G1376" s="14">
        <v>0</v>
      </c>
      <c r="H1376" s="18">
        <v>0</v>
      </c>
      <c r="I1376" s="14">
        <v>1</v>
      </c>
      <c r="J1376" s="14">
        <v>291</v>
      </c>
      <c r="K1376" s="18">
        <v>0.63670000000000004</v>
      </c>
      <c r="L1376" s="26" t="b">
        <f t="shared" si="95"/>
        <v>0</v>
      </c>
      <c r="M1376" s="26" t="str">
        <f t="shared" si="92"/>
        <v>put</v>
      </c>
      <c r="N1376" s="28">
        <f t="shared" si="93"/>
        <v>46374</v>
      </c>
      <c r="O1376" s="29">
        <f t="shared" si="94"/>
        <v>439</v>
      </c>
    </row>
    <row r="1377" spans="1:15" x14ac:dyDescent="0.45">
      <c r="A1377" s="11" t="s">
        <v>1642</v>
      </c>
      <c r="B1377" s="14" t="s">
        <v>1643</v>
      </c>
      <c r="C1377" s="13">
        <v>45</v>
      </c>
      <c r="D1377" s="14">
        <v>0.09</v>
      </c>
      <c r="E1377" s="14">
        <v>0.03</v>
      </c>
      <c r="F1377" s="14">
        <v>0.14000000000000001</v>
      </c>
      <c r="G1377" s="14">
        <v>0</v>
      </c>
      <c r="H1377" s="18">
        <v>0</v>
      </c>
      <c r="I1377" s="14">
        <v>501</v>
      </c>
      <c r="J1377" s="14">
        <v>669</v>
      </c>
      <c r="K1377" s="18">
        <v>0.60060000000000002</v>
      </c>
      <c r="L1377" s="26" t="b">
        <f t="shared" si="95"/>
        <v>0</v>
      </c>
      <c r="M1377" s="26" t="str">
        <f t="shared" si="92"/>
        <v>put</v>
      </c>
      <c r="N1377" s="28">
        <f t="shared" si="93"/>
        <v>46374</v>
      </c>
      <c r="O1377" s="29">
        <f t="shared" si="94"/>
        <v>439</v>
      </c>
    </row>
    <row r="1378" spans="1:15" x14ac:dyDescent="0.45">
      <c r="A1378" s="11" t="s">
        <v>1644</v>
      </c>
      <c r="B1378" s="12">
        <v>45698.481249999997</v>
      </c>
      <c r="C1378" s="13">
        <v>50</v>
      </c>
      <c r="D1378" s="14">
        <v>0.08</v>
      </c>
      <c r="E1378" s="14">
        <v>0.06</v>
      </c>
      <c r="F1378" s="14">
        <v>0.1</v>
      </c>
      <c r="G1378" s="19">
        <v>0</v>
      </c>
      <c r="H1378" s="20">
        <v>0</v>
      </c>
      <c r="I1378" s="14">
        <v>10</v>
      </c>
      <c r="J1378" s="17">
        <v>1904</v>
      </c>
      <c r="K1378" s="18">
        <v>0.56059999999999999</v>
      </c>
      <c r="L1378" s="26" t="b">
        <f t="shared" si="95"/>
        <v>0</v>
      </c>
      <c r="M1378" s="26" t="str">
        <f t="shared" si="92"/>
        <v>put</v>
      </c>
      <c r="N1378" s="28">
        <f t="shared" si="93"/>
        <v>46374</v>
      </c>
      <c r="O1378" s="29">
        <f t="shared" si="94"/>
        <v>439</v>
      </c>
    </row>
    <row r="1379" spans="1:15" x14ac:dyDescent="0.45">
      <c r="A1379" s="11" t="s">
        <v>1645</v>
      </c>
      <c r="B1379" s="14" t="s">
        <v>1646</v>
      </c>
      <c r="C1379" s="13">
        <v>60</v>
      </c>
      <c r="D1379" s="14">
        <v>0.16</v>
      </c>
      <c r="E1379" s="14">
        <v>0.1</v>
      </c>
      <c r="F1379" s="14">
        <v>0.13</v>
      </c>
      <c r="G1379" s="19">
        <v>0</v>
      </c>
      <c r="H1379" s="20">
        <v>0</v>
      </c>
      <c r="I1379" s="14">
        <v>3</v>
      </c>
      <c r="J1379" s="17">
        <v>1150</v>
      </c>
      <c r="K1379" s="18">
        <v>0.51949999999999996</v>
      </c>
      <c r="L1379" s="26" t="b">
        <f t="shared" si="95"/>
        <v>0</v>
      </c>
      <c r="M1379" s="26" t="str">
        <f t="shared" si="92"/>
        <v>put</v>
      </c>
      <c r="N1379" s="28">
        <f t="shared" si="93"/>
        <v>46374</v>
      </c>
      <c r="O1379" s="29">
        <f t="shared" si="94"/>
        <v>439</v>
      </c>
    </row>
    <row r="1380" spans="1:15" x14ac:dyDescent="0.45">
      <c r="A1380" s="11" t="s">
        <v>1647</v>
      </c>
      <c r="B1380" s="14" t="s">
        <v>1648</v>
      </c>
      <c r="C1380" s="13">
        <v>70</v>
      </c>
      <c r="D1380" s="14">
        <v>0.24</v>
      </c>
      <c r="E1380" s="14">
        <v>0.2</v>
      </c>
      <c r="F1380" s="14">
        <v>0.28000000000000003</v>
      </c>
      <c r="G1380" s="14">
        <v>0</v>
      </c>
      <c r="H1380" s="18">
        <v>0</v>
      </c>
      <c r="I1380" s="14">
        <v>1</v>
      </c>
      <c r="J1380" s="14">
        <v>179</v>
      </c>
      <c r="K1380" s="18">
        <v>0.50880000000000003</v>
      </c>
      <c r="L1380" s="26" t="b">
        <f t="shared" si="95"/>
        <v>0</v>
      </c>
      <c r="M1380" s="26" t="str">
        <f t="shared" si="92"/>
        <v>put</v>
      </c>
      <c r="N1380" s="28">
        <f t="shared" si="93"/>
        <v>46374</v>
      </c>
      <c r="O1380" s="29">
        <f t="shared" si="94"/>
        <v>439</v>
      </c>
    </row>
    <row r="1381" spans="1:15" x14ac:dyDescent="0.45">
      <c r="A1381" s="11" t="s">
        <v>1649</v>
      </c>
      <c r="B1381" s="12">
        <v>45698.410416666666</v>
      </c>
      <c r="C1381" s="13">
        <v>80</v>
      </c>
      <c r="D1381" s="14">
        <v>0.3</v>
      </c>
      <c r="E1381" s="14">
        <v>0.28000000000000003</v>
      </c>
      <c r="F1381" s="14">
        <v>0.32</v>
      </c>
      <c r="G1381" s="15">
        <v>0</v>
      </c>
      <c r="H1381" s="16">
        <v>0</v>
      </c>
      <c r="I1381" s="14">
        <v>1</v>
      </c>
      <c r="J1381" s="17">
        <v>3473</v>
      </c>
      <c r="K1381" s="18">
        <v>0.47660000000000002</v>
      </c>
      <c r="L1381" s="26" t="b">
        <f t="shared" si="95"/>
        <v>0</v>
      </c>
      <c r="M1381" s="26" t="str">
        <f t="shared" si="92"/>
        <v>put</v>
      </c>
      <c r="N1381" s="28">
        <f t="shared" si="93"/>
        <v>46374</v>
      </c>
      <c r="O1381" s="29">
        <f t="shared" si="94"/>
        <v>439</v>
      </c>
    </row>
    <row r="1382" spans="1:15" x14ac:dyDescent="0.45">
      <c r="A1382" s="11" t="s">
        <v>1650</v>
      </c>
      <c r="B1382" s="14" t="s">
        <v>1651</v>
      </c>
      <c r="C1382" s="13">
        <v>85</v>
      </c>
      <c r="D1382" s="14">
        <v>0.33</v>
      </c>
      <c r="E1382" s="14">
        <v>0.34</v>
      </c>
      <c r="F1382" s="14">
        <v>0.37</v>
      </c>
      <c r="G1382" s="15">
        <v>0</v>
      </c>
      <c r="H1382" s="16">
        <v>0</v>
      </c>
      <c r="I1382" s="14">
        <v>1</v>
      </c>
      <c r="J1382" s="14">
        <v>206</v>
      </c>
      <c r="K1382" s="18">
        <v>0.4622</v>
      </c>
      <c r="L1382" s="26" t="b">
        <f t="shared" si="95"/>
        <v>0</v>
      </c>
      <c r="M1382" s="26" t="str">
        <f t="shared" si="92"/>
        <v>put</v>
      </c>
      <c r="N1382" s="28">
        <f t="shared" si="93"/>
        <v>46374</v>
      </c>
      <c r="O1382" s="29">
        <f t="shared" si="94"/>
        <v>439</v>
      </c>
    </row>
    <row r="1383" spans="1:15" x14ac:dyDescent="0.45">
      <c r="A1383" s="11" t="s">
        <v>1652</v>
      </c>
      <c r="B1383" s="14" t="s">
        <v>1653</v>
      </c>
      <c r="C1383" s="13">
        <v>90</v>
      </c>
      <c r="D1383" s="14">
        <v>0.4</v>
      </c>
      <c r="E1383" s="14">
        <v>0.37</v>
      </c>
      <c r="F1383" s="14">
        <v>0.44</v>
      </c>
      <c r="G1383" s="15">
        <v>0</v>
      </c>
      <c r="H1383" s="16">
        <v>0</v>
      </c>
      <c r="I1383" s="14">
        <v>1</v>
      </c>
      <c r="J1383" s="17">
        <v>1654</v>
      </c>
      <c r="K1383" s="18">
        <v>0.45069999999999999</v>
      </c>
      <c r="L1383" s="26" t="b">
        <f t="shared" si="95"/>
        <v>0</v>
      </c>
      <c r="M1383" s="26" t="str">
        <f t="shared" si="92"/>
        <v>put</v>
      </c>
      <c r="N1383" s="28">
        <f t="shared" si="93"/>
        <v>46374</v>
      </c>
      <c r="O1383" s="29">
        <f t="shared" si="94"/>
        <v>439</v>
      </c>
    </row>
    <row r="1384" spans="1:15" x14ac:dyDescent="0.45">
      <c r="A1384" s="11" t="s">
        <v>1654</v>
      </c>
      <c r="B1384" s="12">
        <v>45726.606944444444</v>
      </c>
      <c r="C1384" s="13">
        <v>95</v>
      </c>
      <c r="D1384" s="14">
        <v>0.49</v>
      </c>
      <c r="E1384" s="14">
        <v>0.46</v>
      </c>
      <c r="F1384" s="14">
        <v>0.51</v>
      </c>
      <c r="G1384" s="14">
        <v>0.01</v>
      </c>
      <c r="H1384" s="18">
        <v>2.0799999999999999E-2</v>
      </c>
      <c r="I1384" s="14">
        <v>4</v>
      </c>
      <c r="J1384" s="17">
        <v>2517</v>
      </c>
      <c r="K1384" s="18">
        <v>0.4385</v>
      </c>
      <c r="L1384" s="26" t="b">
        <f t="shared" si="95"/>
        <v>0</v>
      </c>
      <c r="M1384" s="26" t="str">
        <f t="shared" si="92"/>
        <v>put</v>
      </c>
      <c r="N1384" s="28">
        <f t="shared" si="93"/>
        <v>46374</v>
      </c>
      <c r="O1384" s="29">
        <f t="shared" si="94"/>
        <v>439</v>
      </c>
    </row>
    <row r="1385" spans="1:15" x14ac:dyDescent="0.45">
      <c r="A1385" s="11" t="s">
        <v>1655</v>
      </c>
      <c r="B1385" s="12">
        <v>45726.637499999997</v>
      </c>
      <c r="C1385" s="13">
        <v>100</v>
      </c>
      <c r="D1385" s="14">
        <v>0.59</v>
      </c>
      <c r="E1385" s="14">
        <v>0.54</v>
      </c>
      <c r="F1385" s="14">
        <v>0.59</v>
      </c>
      <c r="G1385" s="15">
        <v>0.01</v>
      </c>
      <c r="H1385" s="16">
        <v>1.72E-2</v>
      </c>
      <c r="I1385" s="14">
        <v>8</v>
      </c>
      <c r="J1385" s="17">
        <v>2132</v>
      </c>
      <c r="K1385" s="18">
        <v>0.42699999999999999</v>
      </c>
      <c r="L1385" s="26" t="b">
        <f t="shared" si="95"/>
        <v>0</v>
      </c>
      <c r="M1385" s="26" t="str">
        <f t="shared" si="92"/>
        <v>put</v>
      </c>
      <c r="N1385" s="28">
        <f t="shared" si="93"/>
        <v>46374</v>
      </c>
      <c r="O1385" s="29">
        <f t="shared" si="94"/>
        <v>439</v>
      </c>
    </row>
    <row r="1386" spans="1:15" x14ac:dyDescent="0.45">
      <c r="A1386" s="11" t="s">
        <v>1656</v>
      </c>
      <c r="B1386" s="12">
        <v>45726.638194444444</v>
      </c>
      <c r="C1386" s="13">
        <v>105</v>
      </c>
      <c r="D1386" s="14">
        <v>0.67</v>
      </c>
      <c r="E1386" s="14">
        <v>0.63</v>
      </c>
      <c r="F1386" s="14">
        <v>0.68</v>
      </c>
      <c r="G1386" s="19">
        <v>0.02</v>
      </c>
      <c r="H1386" s="20">
        <v>3.0800000000000001E-2</v>
      </c>
      <c r="I1386" s="14">
        <v>8</v>
      </c>
      <c r="J1386" s="17">
        <v>2680</v>
      </c>
      <c r="K1386" s="18">
        <v>0.41599999999999998</v>
      </c>
      <c r="L1386" s="26" t="b">
        <f t="shared" si="95"/>
        <v>0</v>
      </c>
      <c r="M1386" s="26" t="str">
        <f t="shared" si="92"/>
        <v>put</v>
      </c>
      <c r="N1386" s="28">
        <f t="shared" si="93"/>
        <v>46374</v>
      </c>
      <c r="O1386" s="29">
        <f t="shared" si="94"/>
        <v>439</v>
      </c>
    </row>
    <row r="1387" spans="1:15" x14ac:dyDescent="0.45">
      <c r="A1387" s="11" t="s">
        <v>1657</v>
      </c>
      <c r="B1387" s="12">
        <v>45726.638888888891</v>
      </c>
      <c r="C1387" s="13">
        <v>110</v>
      </c>
      <c r="D1387" s="14">
        <v>0.78</v>
      </c>
      <c r="E1387" s="14">
        <v>0.73</v>
      </c>
      <c r="F1387" s="14">
        <v>0.79</v>
      </c>
      <c r="G1387" s="15">
        <v>-0.01</v>
      </c>
      <c r="H1387" s="16">
        <v>-1.2699999999999999E-2</v>
      </c>
      <c r="I1387" s="14">
        <v>12</v>
      </c>
      <c r="J1387" s="17">
        <v>1608</v>
      </c>
      <c r="K1387" s="18">
        <v>0.40629999999999999</v>
      </c>
      <c r="L1387" s="26" t="b">
        <f t="shared" si="95"/>
        <v>0</v>
      </c>
      <c r="M1387" s="26" t="str">
        <f t="shared" si="92"/>
        <v>put</v>
      </c>
      <c r="N1387" s="28">
        <f t="shared" si="93"/>
        <v>46374</v>
      </c>
      <c r="O1387" s="29">
        <f t="shared" si="94"/>
        <v>439</v>
      </c>
    </row>
    <row r="1388" spans="1:15" x14ac:dyDescent="0.45">
      <c r="A1388" s="11" t="s">
        <v>1658</v>
      </c>
      <c r="B1388" s="12">
        <v>45726.638888888891</v>
      </c>
      <c r="C1388" s="13">
        <v>115</v>
      </c>
      <c r="D1388" s="14">
        <v>0.9</v>
      </c>
      <c r="E1388" s="14">
        <v>0.85</v>
      </c>
      <c r="F1388" s="14">
        <v>0.91</v>
      </c>
      <c r="G1388" s="15">
        <v>0.02</v>
      </c>
      <c r="H1388" s="16">
        <v>2.2700000000000001E-2</v>
      </c>
      <c r="I1388" s="14">
        <v>12</v>
      </c>
      <c r="J1388" s="17">
        <v>1361</v>
      </c>
      <c r="K1388" s="18">
        <v>0.39650000000000002</v>
      </c>
      <c r="L1388" s="26" t="b">
        <f t="shared" si="95"/>
        <v>0</v>
      </c>
      <c r="M1388" s="26" t="str">
        <f t="shared" si="92"/>
        <v>put</v>
      </c>
      <c r="N1388" s="28">
        <f t="shared" si="93"/>
        <v>46374</v>
      </c>
      <c r="O1388" s="29">
        <f t="shared" si="94"/>
        <v>439</v>
      </c>
    </row>
    <row r="1389" spans="1:15" x14ac:dyDescent="0.45">
      <c r="A1389" s="11" t="s">
        <v>1659</v>
      </c>
      <c r="B1389" s="12">
        <v>45726.63958333333</v>
      </c>
      <c r="C1389" s="13">
        <v>120</v>
      </c>
      <c r="D1389" s="14">
        <v>1.04</v>
      </c>
      <c r="E1389" s="14">
        <v>0.99</v>
      </c>
      <c r="F1389" s="14">
        <v>1.05</v>
      </c>
      <c r="G1389" s="15">
        <v>0.02</v>
      </c>
      <c r="H1389" s="16">
        <v>1.9599999999999999E-2</v>
      </c>
      <c r="I1389" s="14">
        <v>12</v>
      </c>
      <c r="J1389" s="17">
        <v>1576</v>
      </c>
      <c r="K1389" s="18">
        <v>0.38750000000000001</v>
      </c>
      <c r="L1389" s="26" t="b">
        <f t="shared" si="95"/>
        <v>0</v>
      </c>
      <c r="M1389" s="26" t="str">
        <f t="shared" si="92"/>
        <v>put</v>
      </c>
      <c r="N1389" s="28">
        <f t="shared" si="93"/>
        <v>46374</v>
      </c>
      <c r="O1389" s="29">
        <f t="shared" si="94"/>
        <v>439</v>
      </c>
    </row>
    <row r="1390" spans="1:15" x14ac:dyDescent="0.45">
      <c r="A1390" s="11" t="s">
        <v>1660</v>
      </c>
      <c r="B1390" s="12">
        <v>45726.640277777777</v>
      </c>
      <c r="C1390" s="13">
        <v>125</v>
      </c>
      <c r="D1390" s="14">
        <v>1.19</v>
      </c>
      <c r="E1390" s="14">
        <v>1.1399999999999999</v>
      </c>
      <c r="F1390" s="14">
        <v>1.21</v>
      </c>
      <c r="G1390" s="15">
        <v>0.02</v>
      </c>
      <c r="H1390" s="16">
        <v>1.7100000000000001E-2</v>
      </c>
      <c r="I1390" s="14">
        <v>14</v>
      </c>
      <c r="J1390" s="17">
        <v>3189</v>
      </c>
      <c r="K1390" s="18">
        <v>0.37880000000000003</v>
      </c>
      <c r="L1390" s="26" t="b">
        <f t="shared" si="95"/>
        <v>0</v>
      </c>
      <c r="M1390" s="26" t="str">
        <f t="shared" si="92"/>
        <v>put</v>
      </c>
      <c r="N1390" s="28">
        <f t="shared" si="93"/>
        <v>46374</v>
      </c>
      <c r="O1390" s="29">
        <f t="shared" si="94"/>
        <v>439</v>
      </c>
    </row>
    <row r="1391" spans="1:15" x14ac:dyDescent="0.45">
      <c r="A1391" s="11" t="s">
        <v>1661</v>
      </c>
      <c r="B1391" s="12">
        <v>45726.640277777777</v>
      </c>
      <c r="C1391" s="13">
        <v>130</v>
      </c>
      <c r="D1391" s="14">
        <v>1.38</v>
      </c>
      <c r="E1391" s="14">
        <v>1.31</v>
      </c>
      <c r="F1391" s="14">
        <v>1.38</v>
      </c>
      <c r="G1391" s="15">
        <v>0.05</v>
      </c>
      <c r="H1391" s="16">
        <v>3.7600000000000001E-2</v>
      </c>
      <c r="I1391" s="14">
        <v>6</v>
      </c>
      <c r="J1391" s="17">
        <v>1020</v>
      </c>
      <c r="K1391" s="18">
        <v>0.37</v>
      </c>
      <c r="L1391" s="26" t="b">
        <f t="shared" si="95"/>
        <v>0</v>
      </c>
      <c r="M1391" s="26" t="str">
        <f t="shared" si="92"/>
        <v>put</v>
      </c>
      <c r="N1391" s="28">
        <f t="shared" si="93"/>
        <v>46374</v>
      </c>
      <c r="O1391" s="29">
        <f t="shared" si="94"/>
        <v>439</v>
      </c>
    </row>
    <row r="1392" spans="1:15" x14ac:dyDescent="0.45">
      <c r="A1392" s="11" t="s">
        <v>1662</v>
      </c>
      <c r="B1392" s="12">
        <v>45726.640972222223</v>
      </c>
      <c r="C1392" s="13">
        <v>135</v>
      </c>
      <c r="D1392" s="14">
        <v>1.57</v>
      </c>
      <c r="E1392" s="14">
        <v>1.52</v>
      </c>
      <c r="F1392" s="14">
        <v>1.58</v>
      </c>
      <c r="G1392" s="15">
        <v>0.05</v>
      </c>
      <c r="H1392" s="16">
        <v>3.2899999999999999E-2</v>
      </c>
      <c r="I1392" s="14">
        <v>8</v>
      </c>
      <c r="J1392" s="17">
        <v>1495</v>
      </c>
      <c r="K1392" s="18">
        <v>0.3619</v>
      </c>
      <c r="L1392" s="26" t="b">
        <f t="shared" si="95"/>
        <v>0</v>
      </c>
      <c r="M1392" s="26" t="str">
        <f t="shared" si="92"/>
        <v>put</v>
      </c>
      <c r="N1392" s="28">
        <f t="shared" si="93"/>
        <v>46374</v>
      </c>
      <c r="O1392" s="29">
        <f t="shared" si="94"/>
        <v>439</v>
      </c>
    </row>
    <row r="1393" spans="1:15" x14ac:dyDescent="0.45">
      <c r="A1393" s="11" t="s">
        <v>1663</v>
      </c>
      <c r="B1393" s="12">
        <v>45726.64166666667</v>
      </c>
      <c r="C1393" s="13">
        <v>140</v>
      </c>
      <c r="D1393" s="14">
        <v>1.8</v>
      </c>
      <c r="E1393" s="14">
        <v>1.75</v>
      </c>
      <c r="F1393" s="14">
        <v>1.81</v>
      </c>
      <c r="G1393" s="15">
        <v>-0.01</v>
      </c>
      <c r="H1393" s="16">
        <v>-5.4999999999999997E-3</v>
      </c>
      <c r="I1393" s="14">
        <v>10</v>
      </c>
      <c r="J1393" s="17">
        <v>1278</v>
      </c>
      <c r="K1393" s="18">
        <v>0.3543</v>
      </c>
      <c r="L1393" s="26" t="b">
        <f t="shared" si="95"/>
        <v>0</v>
      </c>
      <c r="M1393" s="26" t="str">
        <f t="shared" si="92"/>
        <v>put</v>
      </c>
      <c r="N1393" s="28">
        <f t="shared" si="93"/>
        <v>46374</v>
      </c>
      <c r="O1393" s="29">
        <f t="shared" si="94"/>
        <v>439</v>
      </c>
    </row>
    <row r="1394" spans="1:15" x14ac:dyDescent="0.45">
      <c r="A1394" s="11" t="s">
        <v>1664</v>
      </c>
      <c r="B1394" s="12">
        <v>45726.643055555556</v>
      </c>
      <c r="C1394" s="13">
        <v>145</v>
      </c>
      <c r="D1394" s="14">
        <v>2.0499999999999998</v>
      </c>
      <c r="E1394" s="14">
        <v>2</v>
      </c>
      <c r="F1394" s="14">
        <v>2.06</v>
      </c>
      <c r="G1394" s="15">
        <v>0.03</v>
      </c>
      <c r="H1394" s="16">
        <v>1.49E-2</v>
      </c>
      <c r="I1394" s="14">
        <v>8</v>
      </c>
      <c r="J1394" s="17">
        <v>1066</v>
      </c>
      <c r="K1394" s="18">
        <v>0.34670000000000001</v>
      </c>
      <c r="L1394" s="26" t="b">
        <f t="shared" si="95"/>
        <v>0</v>
      </c>
      <c r="M1394" s="26" t="str">
        <f t="shared" si="92"/>
        <v>put</v>
      </c>
      <c r="N1394" s="28">
        <f t="shared" si="93"/>
        <v>46374</v>
      </c>
      <c r="O1394" s="29">
        <f t="shared" si="94"/>
        <v>439</v>
      </c>
    </row>
    <row r="1395" spans="1:15" x14ac:dyDescent="0.45">
      <c r="A1395" s="11" t="s">
        <v>1665</v>
      </c>
      <c r="B1395" s="12">
        <v>45726.643055555556</v>
      </c>
      <c r="C1395" s="13">
        <v>150</v>
      </c>
      <c r="D1395" s="14">
        <v>2.3199999999999998</v>
      </c>
      <c r="E1395" s="14">
        <v>2.2799999999999998</v>
      </c>
      <c r="F1395" s="14">
        <v>2.35</v>
      </c>
      <c r="G1395" s="15">
        <v>0.05</v>
      </c>
      <c r="H1395" s="16">
        <v>2.1999999999999999E-2</v>
      </c>
      <c r="I1395" s="14">
        <v>8</v>
      </c>
      <c r="J1395" s="17">
        <v>1955</v>
      </c>
      <c r="K1395" s="18">
        <v>0.33960000000000001</v>
      </c>
      <c r="L1395" s="26" t="b">
        <f t="shared" si="95"/>
        <v>0</v>
      </c>
      <c r="M1395" s="26" t="str">
        <f t="shared" si="92"/>
        <v>put</v>
      </c>
      <c r="N1395" s="28">
        <f t="shared" si="93"/>
        <v>46374</v>
      </c>
      <c r="O1395" s="29">
        <f t="shared" si="94"/>
        <v>439</v>
      </c>
    </row>
    <row r="1396" spans="1:15" x14ac:dyDescent="0.45">
      <c r="A1396" s="11" t="s">
        <v>1666</v>
      </c>
      <c r="B1396" s="12">
        <v>45726.643055555556</v>
      </c>
      <c r="C1396" s="13">
        <v>155</v>
      </c>
      <c r="D1396" s="14">
        <v>2.65</v>
      </c>
      <c r="E1396" s="14">
        <v>2.6</v>
      </c>
      <c r="F1396" s="14">
        <v>2.67</v>
      </c>
      <c r="G1396" s="15">
        <v>-0.02</v>
      </c>
      <c r="H1396" s="16">
        <v>-7.4999999999999997E-3</v>
      </c>
      <c r="I1396" s="14">
        <v>10</v>
      </c>
      <c r="J1396" s="14">
        <v>699</v>
      </c>
      <c r="K1396" s="18">
        <v>0.33260000000000001</v>
      </c>
      <c r="L1396" s="26" t="b">
        <f t="shared" si="95"/>
        <v>0</v>
      </c>
      <c r="M1396" s="26" t="str">
        <f t="shared" si="92"/>
        <v>put</v>
      </c>
      <c r="N1396" s="28">
        <f t="shared" si="93"/>
        <v>46374</v>
      </c>
      <c r="O1396" s="29">
        <f t="shared" si="94"/>
        <v>439</v>
      </c>
    </row>
    <row r="1397" spans="1:15" x14ac:dyDescent="0.45">
      <c r="A1397" s="11" t="s">
        <v>1667</v>
      </c>
      <c r="B1397" s="12">
        <v>45726.648611111108</v>
      </c>
      <c r="C1397" s="13">
        <v>160</v>
      </c>
      <c r="D1397" s="14">
        <v>3</v>
      </c>
      <c r="E1397" s="14">
        <v>2.94</v>
      </c>
      <c r="F1397" s="14">
        <v>3.05</v>
      </c>
      <c r="G1397" s="15">
        <v>0.01</v>
      </c>
      <c r="H1397" s="16">
        <v>3.3E-3</v>
      </c>
      <c r="I1397" s="14">
        <v>21</v>
      </c>
      <c r="J1397" s="17">
        <v>3105</v>
      </c>
      <c r="K1397" s="18">
        <v>0.32640000000000002</v>
      </c>
      <c r="L1397" s="26" t="b">
        <f t="shared" si="95"/>
        <v>0</v>
      </c>
      <c r="M1397" s="26" t="str">
        <f t="shared" si="92"/>
        <v>put</v>
      </c>
      <c r="N1397" s="28">
        <f t="shared" si="93"/>
        <v>46374</v>
      </c>
      <c r="O1397" s="29">
        <f t="shared" si="94"/>
        <v>439</v>
      </c>
    </row>
    <row r="1398" spans="1:15" x14ac:dyDescent="0.45">
      <c r="A1398" s="11" t="s">
        <v>1668</v>
      </c>
      <c r="B1398" s="12">
        <v>45667.65902777778</v>
      </c>
      <c r="C1398" s="13">
        <v>165</v>
      </c>
      <c r="D1398" s="14">
        <v>3.4</v>
      </c>
      <c r="E1398" s="14">
        <v>3.3</v>
      </c>
      <c r="F1398" s="14">
        <v>3.45</v>
      </c>
      <c r="G1398" s="15">
        <v>0</v>
      </c>
      <c r="H1398" s="16">
        <v>0</v>
      </c>
      <c r="I1398" s="14">
        <v>9</v>
      </c>
      <c r="J1398" s="17">
        <v>1422</v>
      </c>
      <c r="K1398" s="18">
        <v>0.31979999999999997</v>
      </c>
      <c r="L1398" s="26" t="b">
        <f t="shared" si="95"/>
        <v>0</v>
      </c>
      <c r="M1398" s="26" t="str">
        <f t="shared" si="92"/>
        <v>put</v>
      </c>
      <c r="N1398" s="28">
        <f t="shared" si="93"/>
        <v>46374</v>
      </c>
      <c r="O1398" s="29">
        <f t="shared" si="94"/>
        <v>439</v>
      </c>
    </row>
    <row r="1399" spans="1:15" x14ac:dyDescent="0.45">
      <c r="A1399" s="11" t="s">
        <v>1669</v>
      </c>
      <c r="B1399" s="12">
        <v>45667.541666666664</v>
      </c>
      <c r="C1399" s="13">
        <v>170</v>
      </c>
      <c r="D1399" s="14">
        <v>3.85</v>
      </c>
      <c r="E1399" s="14">
        <v>3.75</v>
      </c>
      <c r="F1399" s="14">
        <v>3.9</v>
      </c>
      <c r="G1399" s="15">
        <v>0</v>
      </c>
      <c r="H1399" s="16">
        <v>0</v>
      </c>
      <c r="I1399" s="14">
        <v>2</v>
      </c>
      <c r="J1399" s="17">
        <v>2252</v>
      </c>
      <c r="K1399" s="18">
        <v>0.3135</v>
      </c>
      <c r="L1399" s="26" t="b">
        <f t="shared" si="95"/>
        <v>0</v>
      </c>
      <c r="M1399" s="26" t="str">
        <f t="shared" si="92"/>
        <v>put</v>
      </c>
      <c r="N1399" s="28">
        <f t="shared" si="93"/>
        <v>46374</v>
      </c>
      <c r="O1399" s="29">
        <f t="shared" si="94"/>
        <v>439</v>
      </c>
    </row>
    <row r="1400" spans="1:15" x14ac:dyDescent="0.45">
      <c r="A1400" s="11" t="s">
        <v>1670</v>
      </c>
      <c r="B1400" s="14" t="s">
        <v>1671</v>
      </c>
      <c r="C1400" s="13">
        <v>175</v>
      </c>
      <c r="D1400" s="14">
        <v>4.55</v>
      </c>
      <c r="E1400" s="14">
        <v>4.25</v>
      </c>
      <c r="F1400" s="14">
        <v>4.4000000000000004</v>
      </c>
      <c r="G1400" s="15">
        <v>0</v>
      </c>
      <c r="H1400" s="16">
        <v>0</v>
      </c>
      <c r="I1400" s="14">
        <v>4</v>
      </c>
      <c r="J1400" s="17">
        <v>1572</v>
      </c>
      <c r="K1400" s="18">
        <v>0.30730000000000002</v>
      </c>
      <c r="L1400" s="26" t="b">
        <f t="shared" si="95"/>
        <v>0</v>
      </c>
      <c r="M1400" s="26" t="str">
        <f t="shared" si="92"/>
        <v>put</v>
      </c>
      <c r="N1400" s="28">
        <f t="shared" si="93"/>
        <v>46374</v>
      </c>
      <c r="O1400" s="29">
        <f t="shared" si="94"/>
        <v>439</v>
      </c>
    </row>
    <row r="1401" spans="1:15" x14ac:dyDescent="0.45">
      <c r="A1401" s="11" t="s">
        <v>1672</v>
      </c>
      <c r="B1401" s="12">
        <v>45726.479861111111</v>
      </c>
      <c r="C1401" s="13">
        <v>180</v>
      </c>
      <c r="D1401" s="14">
        <v>4.8499999999999996</v>
      </c>
      <c r="E1401" s="14">
        <v>4.8</v>
      </c>
      <c r="F1401" s="14">
        <v>4.95</v>
      </c>
      <c r="G1401" s="15">
        <v>-0.05</v>
      </c>
      <c r="H1401" s="16">
        <v>-1.0200000000000001E-2</v>
      </c>
      <c r="I1401" s="14">
        <v>26</v>
      </c>
      <c r="J1401" s="17">
        <v>3840</v>
      </c>
      <c r="K1401" s="18">
        <v>0.30120000000000002</v>
      </c>
      <c r="L1401" s="26" t="b">
        <f t="shared" si="95"/>
        <v>0</v>
      </c>
      <c r="M1401" s="26" t="str">
        <f t="shared" si="92"/>
        <v>put</v>
      </c>
      <c r="N1401" s="28">
        <f t="shared" si="93"/>
        <v>46374</v>
      </c>
      <c r="O1401" s="29">
        <f t="shared" si="94"/>
        <v>439</v>
      </c>
    </row>
    <row r="1402" spans="1:15" x14ac:dyDescent="0.45">
      <c r="A1402" s="11" t="s">
        <v>1673</v>
      </c>
      <c r="B1402" s="12">
        <v>45726.458333333336</v>
      </c>
      <c r="C1402" s="13">
        <v>185</v>
      </c>
      <c r="D1402" s="14">
        <v>5.38</v>
      </c>
      <c r="E1402" s="14">
        <v>5.4</v>
      </c>
      <c r="F1402" s="14">
        <v>5.55</v>
      </c>
      <c r="G1402" s="15">
        <v>-0.12</v>
      </c>
      <c r="H1402" s="16">
        <v>-2.18E-2</v>
      </c>
      <c r="I1402" s="14">
        <v>26</v>
      </c>
      <c r="J1402" s="17">
        <v>1342</v>
      </c>
      <c r="K1402" s="18">
        <v>0.29509999999999997</v>
      </c>
      <c r="L1402" s="26" t="b">
        <f t="shared" si="95"/>
        <v>0</v>
      </c>
      <c r="M1402" s="26" t="str">
        <f t="shared" si="92"/>
        <v>put</v>
      </c>
      <c r="N1402" s="28">
        <f t="shared" si="93"/>
        <v>46374</v>
      </c>
      <c r="O1402" s="29">
        <f t="shared" si="94"/>
        <v>439</v>
      </c>
    </row>
    <row r="1403" spans="1:15" x14ac:dyDescent="0.45">
      <c r="A1403" s="11" t="s">
        <v>1674</v>
      </c>
      <c r="B1403" s="12">
        <v>45726.475694444445</v>
      </c>
      <c r="C1403" s="13">
        <v>190</v>
      </c>
      <c r="D1403" s="14">
        <v>6</v>
      </c>
      <c r="E1403" s="14">
        <v>6.05</v>
      </c>
      <c r="F1403" s="14">
        <v>6.2</v>
      </c>
      <c r="G1403" s="15">
        <v>-0.05</v>
      </c>
      <c r="H1403" s="16">
        <v>-8.3000000000000001E-3</v>
      </c>
      <c r="I1403" s="14">
        <v>40</v>
      </c>
      <c r="J1403" s="17">
        <v>3014</v>
      </c>
      <c r="K1403" s="18">
        <v>0.28889999999999999</v>
      </c>
      <c r="L1403" s="26" t="b">
        <f t="shared" si="95"/>
        <v>0</v>
      </c>
      <c r="M1403" s="26" t="str">
        <f t="shared" si="92"/>
        <v>put</v>
      </c>
      <c r="N1403" s="28">
        <f t="shared" si="93"/>
        <v>46374</v>
      </c>
      <c r="O1403" s="29">
        <f t="shared" si="94"/>
        <v>439</v>
      </c>
    </row>
    <row r="1404" spans="1:15" x14ac:dyDescent="0.45">
      <c r="A1404" s="11" t="s">
        <v>1675</v>
      </c>
      <c r="B1404" s="12">
        <v>45698.601388888892</v>
      </c>
      <c r="C1404" s="13">
        <v>195</v>
      </c>
      <c r="D1404" s="14">
        <v>6.75</v>
      </c>
      <c r="E1404" s="14">
        <v>6.8</v>
      </c>
      <c r="F1404" s="14">
        <v>6.95</v>
      </c>
      <c r="G1404" s="19">
        <v>-0.1</v>
      </c>
      <c r="H1404" s="20">
        <v>-1.46E-2</v>
      </c>
      <c r="I1404" s="14">
        <v>2</v>
      </c>
      <c r="J1404" s="17">
        <v>1647</v>
      </c>
      <c r="K1404" s="18">
        <v>0.28339999999999999</v>
      </c>
      <c r="L1404" s="26" t="b">
        <f t="shared" si="95"/>
        <v>0</v>
      </c>
      <c r="M1404" s="26" t="str">
        <f t="shared" si="92"/>
        <v>put</v>
      </c>
      <c r="N1404" s="28">
        <f t="shared" si="93"/>
        <v>46374</v>
      </c>
      <c r="O1404" s="29">
        <f t="shared" si="94"/>
        <v>439</v>
      </c>
    </row>
    <row r="1405" spans="1:15" x14ac:dyDescent="0.45">
      <c r="A1405" s="11" t="s">
        <v>1676</v>
      </c>
      <c r="B1405" s="12">
        <v>45726.657638888886</v>
      </c>
      <c r="C1405" s="13">
        <v>200</v>
      </c>
      <c r="D1405" s="14">
        <v>7.7</v>
      </c>
      <c r="E1405" s="14">
        <v>7.6</v>
      </c>
      <c r="F1405" s="14">
        <v>7.75</v>
      </c>
      <c r="G1405" s="19">
        <v>-0.05</v>
      </c>
      <c r="H1405" s="20">
        <v>-6.4999999999999997E-3</v>
      </c>
      <c r="I1405" s="14">
        <v>43</v>
      </c>
      <c r="J1405" s="17">
        <v>9573</v>
      </c>
      <c r="K1405" s="18">
        <v>0.27760000000000001</v>
      </c>
      <c r="L1405" s="26" t="b">
        <f t="shared" si="95"/>
        <v>0</v>
      </c>
      <c r="M1405" s="26" t="str">
        <f t="shared" ref="M1405:M1468" si="96">IF(MID(A1405,11,1)="C","call","put")</f>
        <v>put</v>
      </c>
      <c r="N1405" s="28">
        <f t="shared" ref="N1405:N1468" si="97">DATE(MID(A1405,5,2)+2000,MID(A1405,7,2),MID(A1405,9,2))</f>
        <v>46374</v>
      </c>
      <c r="O1405" s="29">
        <f t="shared" si="94"/>
        <v>439</v>
      </c>
    </row>
    <row r="1406" spans="1:15" x14ac:dyDescent="0.45">
      <c r="A1406" s="11" t="s">
        <v>1677</v>
      </c>
      <c r="B1406" s="12">
        <v>45726.487500000003</v>
      </c>
      <c r="C1406" s="13">
        <v>210</v>
      </c>
      <c r="D1406" s="14">
        <v>9.4</v>
      </c>
      <c r="E1406" s="14">
        <v>9.5</v>
      </c>
      <c r="F1406" s="14">
        <v>9.65</v>
      </c>
      <c r="G1406" s="15">
        <v>-0.2</v>
      </c>
      <c r="H1406" s="16">
        <v>-2.0799999999999999E-2</v>
      </c>
      <c r="I1406" s="14">
        <v>2</v>
      </c>
      <c r="J1406" s="17">
        <v>2627</v>
      </c>
      <c r="K1406" s="18">
        <v>0.2671</v>
      </c>
      <c r="L1406" s="26" t="b">
        <f t="shared" si="95"/>
        <v>0</v>
      </c>
      <c r="M1406" s="26" t="str">
        <f t="shared" si="96"/>
        <v>put</v>
      </c>
      <c r="N1406" s="28">
        <f t="shared" si="97"/>
        <v>46374</v>
      </c>
      <c r="O1406" s="29">
        <f t="shared" ref="O1406:O1469" si="98">N1406-DATE(2025,10,5)</f>
        <v>439</v>
      </c>
    </row>
    <row r="1407" spans="1:15" x14ac:dyDescent="0.45">
      <c r="A1407" s="11" t="s">
        <v>1678</v>
      </c>
      <c r="B1407" s="12">
        <v>45726.582638888889</v>
      </c>
      <c r="C1407" s="13">
        <v>220</v>
      </c>
      <c r="D1407" s="14">
        <v>12</v>
      </c>
      <c r="E1407" s="14">
        <v>11.7</v>
      </c>
      <c r="F1407" s="14">
        <v>11.9</v>
      </c>
      <c r="G1407" s="15">
        <v>0.03</v>
      </c>
      <c r="H1407" s="16">
        <v>2.5000000000000001E-3</v>
      </c>
      <c r="I1407" s="14">
        <v>66</v>
      </c>
      <c r="J1407" s="17">
        <v>7690</v>
      </c>
      <c r="K1407" s="18">
        <v>0.25669999999999998</v>
      </c>
      <c r="L1407" s="26" t="b">
        <f t="shared" si="95"/>
        <v>0</v>
      </c>
      <c r="M1407" s="26" t="str">
        <f t="shared" si="96"/>
        <v>put</v>
      </c>
      <c r="N1407" s="28">
        <f t="shared" si="97"/>
        <v>46374</v>
      </c>
      <c r="O1407" s="29">
        <f t="shared" si="98"/>
        <v>439</v>
      </c>
    </row>
    <row r="1408" spans="1:15" x14ac:dyDescent="0.45">
      <c r="A1408" s="11" t="s">
        <v>1679</v>
      </c>
      <c r="B1408" s="12">
        <v>45726.509027777778</v>
      </c>
      <c r="C1408" s="13">
        <v>230</v>
      </c>
      <c r="D1408" s="14">
        <v>14.45</v>
      </c>
      <c r="E1408" s="14">
        <v>14.3</v>
      </c>
      <c r="F1408" s="14">
        <v>14.55</v>
      </c>
      <c r="G1408" s="15">
        <v>-0.23</v>
      </c>
      <c r="H1408" s="16">
        <v>-1.5699999999999999E-2</v>
      </c>
      <c r="I1408" s="14">
        <v>28</v>
      </c>
      <c r="J1408" s="17">
        <v>2825</v>
      </c>
      <c r="K1408" s="18">
        <v>0.24640000000000001</v>
      </c>
      <c r="L1408" s="26" t="b">
        <f t="shared" ref="L1408:L1471" si="99">IF(M1408="call",C1408&lt;$P$1,C1408&gt;$P$1)</f>
        <v>0</v>
      </c>
      <c r="M1408" s="26" t="str">
        <f t="shared" si="96"/>
        <v>put</v>
      </c>
      <c r="N1408" s="28">
        <f t="shared" si="97"/>
        <v>46374</v>
      </c>
      <c r="O1408" s="29">
        <f t="shared" si="98"/>
        <v>439</v>
      </c>
    </row>
    <row r="1409" spans="1:15" x14ac:dyDescent="0.45">
      <c r="A1409" s="11" t="s">
        <v>1680</v>
      </c>
      <c r="B1409" s="12">
        <v>45726.54583333333</v>
      </c>
      <c r="C1409" s="13">
        <v>240</v>
      </c>
      <c r="D1409" s="14">
        <v>17.45</v>
      </c>
      <c r="E1409" s="14">
        <v>17.45</v>
      </c>
      <c r="F1409" s="14">
        <v>17.7</v>
      </c>
      <c r="G1409" s="15">
        <v>-0.42</v>
      </c>
      <c r="H1409" s="16">
        <v>-2.35E-2</v>
      </c>
      <c r="I1409" s="14">
        <v>70</v>
      </c>
      <c r="J1409" s="17">
        <v>5097</v>
      </c>
      <c r="K1409" s="18">
        <v>0.2366</v>
      </c>
      <c r="L1409" s="26" t="b">
        <f t="shared" si="99"/>
        <v>0</v>
      </c>
      <c r="M1409" s="26" t="str">
        <f t="shared" si="96"/>
        <v>put</v>
      </c>
      <c r="N1409" s="28">
        <f t="shared" si="97"/>
        <v>46374</v>
      </c>
      <c r="O1409" s="29">
        <f t="shared" si="98"/>
        <v>439</v>
      </c>
    </row>
    <row r="1410" spans="1:15" x14ac:dyDescent="0.45">
      <c r="A1410" s="11" t="s">
        <v>1681</v>
      </c>
      <c r="B1410" s="12">
        <v>45726.642361111109</v>
      </c>
      <c r="C1410" s="13">
        <v>250</v>
      </c>
      <c r="D1410" s="14">
        <v>21.25</v>
      </c>
      <c r="E1410" s="14">
        <v>21.05</v>
      </c>
      <c r="F1410" s="14">
        <v>21.35</v>
      </c>
      <c r="G1410" s="15">
        <v>-0.27</v>
      </c>
      <c r="H1410" s="16">
        <v>-1.2500000000000001E-2</v>
      </c>
      <c r="I1410" s="14">
        <v>46</v>
      </c>
      <c r="J1410" s="14">
        <v>805</v>
      </c>
      <c r="K1410" s="18">
        <v>0.2268</v>
      </c>
      <c r="L1410" s="26" t="b">
        <f t="shared" si="99"/>
        <v>0</v>
      </c>
      <c r="M1410" s="26" t="str">
        <f t="shared" si="96"/>
        <v>put</v>
      </c>
      <c r="N1410" s="28">
        <f t="shared" si="97"/>
        <v>46374</v>
      </c>
      <c r="O1410" s="29">
        <f t="shared" si="98"/>
        <v>439</v>
      </c>
    </row>
    <row r="1411" spans="1:15" x14ac:dyDescent="0.45">
      <c r="A1411" s="1" t="s">
        <v>1682</v>
      </c>
      <c r="B1411" s="2">
        <v>45726.640972222223</v>
      </c>
      <c r="C1411" s="3">
        <v>260</v>
      </c>
      <c r="D1411" s="4">
        <v>25.38</v>
      </c>
      <c r="E1411" s="4">
        <v>25.25</v>
      </c>
      <c r="F1411" s="4">
        <v>25.55</v>
      </c>
      <c r="G1411" s="6">
        <v>-0.42</v>
      </c>
      <c r="H1411" s="7">
        <v>-1.6299999999999999E-2</v>
      </c>
      <c r="I1411" s="4">
        <v>60</v>
      </c>
      <c r="J1411" s="10">
        <v>2695</v>
      </c>
      <c r="K1411" s="5">
        <v>0.217</v>
      </c>
      <c r="L1411" s="26" t="b">
        <f t="shared" si="99"/>
        <v>1</v>
      </c>
      <c r="M1411" s="26" t="str">
        <f t="shared" si="96"/>
        <v>put</v>
      </c>
      <c r="N1411" s="28">
        <f t="shared" si="97"/>
        <v>46374</v>
      </c>
      <c r="O1411" s="29">
        <f t="shared" si="98"/>
        <v>439</v>
      </c>
    </row>
    <row r="1412" spans="1:15" x14ac:dyDescent="0.45">
      <c r="A1412" s="1" t="s">
        <v>1683</v>
      </c>
      <c r="B1412" s="2">
        <v>45726.657638888886</v>
      </c>
      <c r="C1412" s="3">
        <v>270</v>
      </c>
      <c r="D1412" s="4">
        <v>30.2</v>
      </c>
      <c r="E1412" s="4">
        <v>30</v>
      </c>
      <c r="F1412" s="4">
        <v>30.35</v>
      </c>
      <c r="G1412" s="8">
        <v>-0.21</v>
      </c>
      <c r="H1412" s="9">
        <v>-6.8999999999999999E-3</v>
      </c>
      <c r="I1412" s="4">
        <v>53</v>
      </c>
      <c r="J1412" s="10">
        <v>1397</v>
      </c>
      <c r="K1412" s="5">
        <v>0.2072</v>
      </c>
      <c r="L1412" s="26" t="b">
        <f t="shared" si="99"/>
        <v>1</v>
      </c>
      <c r="M1412" s="26" t="str">
        <f t="shared" si="96"/>
        <v>put</v>
      </c>
      <c r="N1412" s="28">
        <f t="shared" si="97"/>
        <v>46374</v>
      </c>
      <c r="O1412" s="29">
        <f t="shared" si="98"/>
        <v>439</v>
      </c>
    </row>
    <row r="1413" spans="1:15" x14ac:dyDescent="0.45">
      <c r="A1413" s="1" t="s">
        <v>1684</v>
      </c>
      <c r="B1413" s="2">
        <v>45726.53125</v>
      </c>
      <c r="C1413" s="3">
        <v>280</v>
      </c>
      <c r="D1413" s="4">
        <v>35.270000000000003</v>
      </c>
      <c r="E1413" s="4">
        <v>35.450000000000003</v>
      </c>
      <c r="F1413" s="4">
        <v>35.799999999999997</v>
      </c>
      <c r="G1413" s="8">
        <v>-0.83</v>
      </c>
      <c r="H1413" s="9">
        <v>-2.3E-2</v>
      </c>
      <c r="I1413" s="4">
        <v>12</v>
      </c>
      <c r="J1413" s="4">
        <v>212</v>
      </c>
      <c r="K1413" s="5">
        <v>0.1973</v>
      </c>
      <c r="L1413" s="26" t="b">
        <f t="shared" si="99"/>
        <v>1</v>
      </c>
      <c r="M1413" s="26" t="str">
        <f t="shared" si="96"/>
        <v>put</v>
      </c>
      <c r="N1413" s="28">
        <f t="shared" si="97"/>
        <v>46374</v>
      </c>
      <c r="O1413" s="29">
        <f t="shared" si="98"/>
        <v>439</v>
      </c>
    </row>
    <row r="1414" spans="1:15" x14ac:dyDescent="0.45">
      <c r="A1414" s="1" t="s">
        <v>1685</v>
      </c>
      <c r="B1414" s="2">
        <v>45726.611805555556</v>
      </c>
      <c r="C1414" s="3">
        <v>290</v>
      </c>
      <c r="D1414" s="4">
        <v>41.46</v>
      </c>
      <c r="E1414" s="4">
        <v>41.55</v>
      </c>
      <c r="F1414" s="4">
        <v>41.9</v>
      </c>
      <c r="G1414" s="8">
        <v>-0.74</v>
      </c>
      <c r="H1414" s="9">
        <v>-1.7500000000000002E-2</v>
      </c>
      <c r="I1414" s="4">
        <v>24</v>
      </c>
      <c r="J1414" s="4">
        <v>32</v>
      </c>
      <c r="K1414" s="5">
        <v>0.18720000000000001</v>
      </c>
      <c r="L1414" s="26" t="b">
        <f t="shared" si="99"/>
        <v>1</v>
      </c>
      <c r="M1414" s="26" t="str">
        <f t="shared" si="96"/>
        <v>put</v>
      </c>
      <c r="N1414" s="28">
        <f t="shared" si="97"/>
        <v>46374</v>
      </c>
      <c r="O1414" s="29">
        <f t="shared" si="98"/>
        <v>439</v>
      </c>
    </row>
    <row r="1415" spans="1:15" x14ac:dyDescent="0.45">
      <c r="A1415" s="1" t="s">
        <v>1686</v>
      </c>
      <c r="B1415" s="2">
        <v>45726.584027777775</v>
      </c>
      <c r="C1415" s="3">
        <v>300</v>
      </c>
      <c r="D1415" s="4">
        <v>49</v>
      </c>
      <c r="E1415" s="4">
        <v>48.25</v>
      </c>
      <c r="F1415" s="4">
        <v>48.95</v>
      </c>
      <c r="G1415" s="8">
        <v>-1.01</v>
      </c>
      <c r="H1415" s="9">
        <v>-2.0199999999999999E-2</v>
      </c>
      <c r="I1415" s="4">
        <v>32</v>
      </c>
      <c r="J1415" s="4">
        <v>21</v>
      </c>
      <c r="K1415" s="5">
        <v>0.17960000000000001</v>
      </c>
      <c r="L1415" s="26" t="b">
        <f t="shared" si="99"/>
        <v>1</v>
      </c>
      <c r="M1415" s="26" t="str">
        <f t="shared" si="96"/>
        <v>put</v>
      </c>
      <c r="N1415" s="28">
        <f t="shared" si="97"/>
        <v>46374</v>
      </c>
      <c r="O1415" s="29">
        <f t="shared" si="98"/>
        <v>439</v>
      </c>
    </row>
    <row r="1416" spans="1:15" x14ac:dyDescent="0.45">
      <c r="A1416" s="1" t="s">
        <v>1687</v>
      </c>
      <c r="B1416" s="2">
        <v>45667.64166666667</v>
      </c>
      <c r="C1416" s="3">
        <v>310</v>
      </c>
      <c r="D1416" s="4">
        <v>57.62</v>
      </c>
      <c r="E1416" s="4">
        <v>55.35</v>
      </c>
      <c r="F1416" s="4">
        <v>56.5</v>
      </c>
      <c r="G1416" s="8">
        <v>0</v>
      </c>
      <c r="H1416" s="9">
        <v>0</v>
      </c>
      <c r="I1416" s="4">
        <v>4</v>
      </c>
      <c r="J1416" s="4">
        <v>40</v>
      </c>
      <c r="K1416" s="5">
        <v>0.17030000000000001</v>
      </c>
      <c r="L1416" s="26" t="b">
        <f t="shared" si="99"/>
        <v>1</v>
      </c>
      <c r="M1416" s="26" t="str">
        <f t="shared" si="96"/>
        <v>put</v>
      </c>
      <c r="N1416" s="28">
        <f t="shared" si="97"/>
        <v>46374</v>
      </c>
      <c r="O1416" s="29">
        <f t="shared" si="98"/>
        <v>439</v>
      </c>
    </row>
    <row r="1417" spans="1:15" x14ac:dyDescent="0.45">
      <c r="A1417" s="1" t="s">
        <v>1688</v>
      </c>
      <c r="B1417" s="2">
        <v>45667.642361111109</v>
      </c>
      <c r="C1417" s="3">
        <v>320</v>
      </c>
      <c r="D1417" s="4">
        <v>65.92</v>
      </c>
      <c r="E1417" s="4">
        <v>63.45</v>
      </c>
      <c r="F1417" s="4">
        <v>64.599999999999994</v>
      </c>
      <c r="G1417" s="8">
        <v>0</v>
      </c>
      <c r="H1417" s="9">
        <v>0</v>
      </c>
      <c r="I1417" s="4">
        <v>4</v>
      </c>
      <c r="J1417" s="4">
        <v>12</v>
      </c>
      <c r="K1417" s="5">
        <v>0.15959999999999999</v>
      </c>
      <c r="L1417" s="26" t="b">
        <f t="shared" si="99"/>
        <v>1</v>
      </c>
      <c r="M1417" s="26" t="str">
        <f t="shared" si="96"/>
        <v>put</v>
      </c>
      <c r="N1417" s="28">
        <f t="shared" si="97"/>
        <v>46374</v>
      </c>
      <c r="O1417" s="29">
        <f t="shared" si="98"/>
        <v>439</v>
      </c>
    </row>
    <row r="1418" spans="1:15" x14ac:dyDescent="0.45">
      <c r="A1418" s="1" t="s">
        <v>1689</v>
      </c>
      <c r="B1418" s="4" t="s">
        <v>1690</v>
      </c>
      <c r="C1418" s="3">
        <v>330</v>
      </c>
      <c r="D1418" s="4">
        <v>76.38</v>
      </c>
      <c r="E1418" s="4">
        <v>72.45</v>
      </c>
      <c r="F1418" s="4">
        <v>73.400000000000006</v>
      </c>
      <c r="G1418" s="8">
        <v>0</v>
      </c>
      <c r="H1418" s="9">
        <v>0</v>
      </c>
      <c r="I1418" s="4">
        <v>6</v>
      </c>
      <c r="J1418" s="4">
        <v>28</v>
      </c>
      <c r="K1418" s="5">
        <v>0.15079999999999999</v>
      </c>
      <c r="L1418" s="26" t="b">
        <f t="shared" si="99"/>
        <v>1</v>
      </c>
      <c r="M1418" s="26" t="str">
        <f t="shared" si="96"/>
        <v>put</v>
      </c>
      <c r="N1418" s="28">
        <f t="shared" si="97"/>
        <v>46374</v>
      </c>
      <c r="O1418" s="29">
        <f t="shared" si="98"/>
        <v>439</v>
      </c>
    </row>
    <row r="1419" spans="1:15" x14ac:dyDescent="0.45">
      <c r="A1419" s="1" t="s">
        <v>1691</v>
      </c>
      <c r="B1419" s="4" t="s">
        <v>1692</v>
      </c>
      <c r="C1419" s="3">
        <v>340</v>
      </c>
      <c r="D1419" s="4">
        <v>97</v>
      </c>
      <c r="E1419" s="4">
        <v>81.7</v>
      </c>
      <c r="F1419" s="4">
        <v>83.25</v>
      </c>
      <c r="G1419" s="8">
        <v>0</v>
      </c>
      <c r="H1419" s="9">
        <v>0</v>
      </c>
      <c r="I1419" s="4">
        <v>10</v>
      </c>
      <c r="J1419" s="4">
        <v>0</v>
      </c>
      <c r="K1419" s="5">
        <v>0.1605</v>
      </c>
      <c r="L1419" s="26" t="b">
        <f t="shared" si="99"/>
        <v>1</v>
      </c>
      <c r="M1419" s="26" t="str">
        <f t="shared" si="96"/>
        <v>put</v>
      </c>
      <c r="N1419" s="28">
        <f t="shared" si="97"/>
        <v>46374</v>
      </c>
      <c r="O1419" s="29">
        <f t="shared" si="98"/>
        <v>439</v>
      </c>
    </row>
    <row r="1420" spans="1:15" x14ac:dyDescent="0.45">
      <c r="A1420" s="1" t="s">
        <v>1693</v>
      </c>
      <c r="B1420" s="4" t="s">
        <v>1694</v>
      </c>
      <c r="C1420" s="3">
        <v>350</v>
      </c>
      <c r="D1420" s="4">
        <v>104.49</v>
      </c>
      <c r="E1420" s="4">
        <v>90.95</v>
      </c>
      <c r="F1420" s="4">
        <v>93.15</v>
      </c>
      <c r="G1420" s="8">
        <v>0</v>
      </c>
      <c r="H1420" s="9">
        <v>0</v>
      </c>
      <c r="I1420" s="4">
        <v>5</v>
      </c>
      <c r="J1420" s="4">
        <v>0</v>
      </c>
      <c r="K1420" s="5">
        <v>0.17030000000000001</v>
      </c>
      <c r="L1420" s="26" t="b">
        <f t="shared" si="99"/>
        <v>1</v>
      </c>
      <c r="M1420" s="26" t="str">
        <f t="shared" si="96"/>
        <v>put</v>
      </c>
      <c r="N1420" s="28">
        <f t="shared" si="97"/>
        <v>46374</v>
      </c>
      <c r="O1420" s="29">
        <f t="shared" si="98"/>
        <v>439</v>
      </c>
    </row>
    <row r="1421" spans="1:15" x14ac:dyDescent="0.45">
      <c r="A1421" s="1" t="s">
        <v>1695</v>
      </c>
      <c r="B1421" s="2">
        <v>45725.428472222222</v>
      </c>
      <c r="C1421" s="3">
        <v>360</v>
      </c>
      <c r="D1421" s="4">
        <v>123.5</v>
      </c>
      <c r="E1421" s="4">
        <v>101.2</v>
      </c>
      <c r="F1421" s="4">
        <v>103.05</v>
      </c>
      <c r="G1421" s="8">
        <v>0</v>
      </c>
      <c r="H1421" s="9">
        <v>0</v>
      </c>
      <c r="I1421" s="4">
        <v>20</v>
      </c>
      <c r="J1421" s="4">
        <v>0</v>
      </c>
      <c r="K1421" s="5">
        <v>0.1792</v>
      </c>
      <c r="L1421" s="26" t="b">
        <f t="shared" si="99"/>
        <v>1</v>
      </c>
      <c r="M1421" s="26" t="str">
        <f t="shared" si="96"/>
        <v>put</v>
      </c>
      <c r="N1421" s="28">
        <f t="shared" si="97"/>
        <v>46374</v>
      </c>
      <c r="O1421" s="29">
        <f t="shared" si="98"/>
        <v>439</v>
      </c>
    </row>
    <row r="1422" spans="1:15" x14ac:dyDescent="0.45">
      <c r="A1422" s="1" t="s">
        <v>1696</v>
      </c>
      <c r="B1422" s="2">
        <v>45877.506249999999</v>
      </c>
      <c r="C1422" s="3">
        <v>380</v>
      </c>
      <c r="D1422" s="4">
        <v>153.5</v>
      </c>
      <c r="E1422" s="4">
        <v>123.55</v>
      </c>
      <c r="F1422" s="4">
        <v>125.7</v>
      </c>
      <c r="G1422" s="4">
        <v>0</v>
      </c>
      <c r="H1422" s="5">
        <v>0</v>
      </c>
      <c r="I1422" s="4">
        <v>20</v>
      </c>
      <c r="J1422" s="4">
        <v>0</v>
      </c>
      <c r="K1422" s="5">
        <v>0.26329999999999998</v>
      </c>
      <c r="L1422" s="26" t="b">
        <f t="shared" si="99"/>
        <v>1</v>
      </c>
      <c r="M1422" s="26" t="str">
        <f t="shared" si="96"/>
        <v>put</v>
      </c>
      <c r="N1422" s="28">
        <f t="shared" si="97"/>
        <v>46374</v>
      </c>
      <c r="O1422" s="29">
        <f t="shared" si="98"/>
        <v>439</v>
      </c>
    </row>
    <row r="1423" spans="1:15" x14ac:dyDescent="0.45">
      <c r="A1423" s="1" t="s">
        <v>1697</v>
      </c>
      <c r="B1423" s="2">
        <v>45846.398611111108</v>
      </c>
      <c r="C1423" s="3">
        <v>390</v>
      </c>
      <c r="D1423" s="4">
        <v>172</v>
      </c>
      <c r="E1423" s="4">
        <v>133.55000000000001</v>
      </c>
      <c r="F1423" s="4">
        <v>135.69999999999999</v>
      </c>
      <c r="G1423" s="4">
        <v>0</v>
      </c>
      <c r="H1423" s="5">
        <v>0</v>
      </c>
      <c r="I1423" s="4">
        <v>0</v>
      </c>
      <c r="J1423" s="4">
        <v>0</v>
      </c>
      <c r="K1423" s="5">
        <v>0.27550000000000002</v>
      </c>
      <c r="L1423" s="26" t="b">
        <f t="shared" si="99"/>
        <v>1</v>
      </c>
      <c r="M1423" s="26" t="str">
        <f t="shared" si="96"/>
        <v>put</v>
      </c>
      <c r="N1423" s="28">
        <f t="shared" si="97"/>
        <v>46374</v>
      </c>
      <c r="O1423" s="29">
        <f t="shared" si="98"/>
        <v>439</v>
      </c>
    </row>
    <row r="1424" spans="1:15" x14ac:dyDescent="0.45">
      <c r="A1424" s="1" t="s">
        <v>1698</v>
      </c>
      <c r="B1424" s="4" t="s">
        <v>1699</v>
      </c>
      <c r="C1424" s="3">
        <v>400</v>
      </c>
      <c r="D1424" s="4">
        <v>147</v>
      </c>
      <c r="E1424" s="4">
        <v>140.9</v>
      </c>
      <c r="F1424" s="4">
        <v>143.1</v>
      </c>
      <c r="G1424" s="4">
        <v>0</v>
      </c>
      <c r="H1424" s="5">
        <v>0</v>
      </c>
      <c r="I1424" s="4">
        <v>20</v>
      </c>
      <c r="J1424" s="4">
        <v>0</v>
      </c>
      <c r="K1424" s="5">
        <v>0.2238</v>
      </c>
      <c r="L1424" s="26" t="b">
        <f t="shared" si="99"/>
        <v>1</v>
      </c>
      <c r="M1424" s="26" t="str">
        <f t="shared" si="96"/>
        <v>put</v>
      </c>
      <c r="N1424" s="28">
        <f t="shared" si="97"/>
        <v>46374</v>
      </c>
      <c r="O1424" s="29">
        <f t="shared" si="98"/>
        <v>439</v>
      </c>
    </row>
    <row r="1425" spans="1:15" x14ac:dyDescent="0.45">
      <c r="A1425" s="1" t="s">
        <v>1700</v>
      </c>
      <c r="B1425" s="2">
        <v>45877.497916666667</v>
      </c>
      <c r="C1425" s="3">
        <v>410</v>
      </c>
      <c r="D1425" s="4">
        <v>184</v>
      </c>
      <c r="E1425" s="4">
        <v>153.5</v>
      </c>
      <c r="F1425" s="4">
        <v>155.75</v>
      </c>
      <c r="G1425" s="4">
        <v>0</v>
      </c>
      <c r="H1425" s="5">
        <v>0</v>
      </c>
      <c r="I1425" s="4">
        <v>20</v>
      </c>
      <c r="J1425" s="4">
        <v>0</v>
      </c>
      <c r="K1425" s="5">
        <v>0.29959999999999998</v>
      </c>
      <c r="L1425" s="26" t="b">
        <f t="shared" si="99"/>
        <v>1</v>
      </c>
      <c r="M1425" s="26" t="str">
        <f t="shared" si="96"/>
        <v>put</v>
      </c>
      <c r="N1425" s="28">
        <f t="shared" si="97"/>
        <v>46374</v>
      </c>
      <c r="O1425" s="29">
        <f t="shared" si="98"/>
        <v>439</v>
      </c>
    </row>
    <row r="1426" spans="1:15" x14ac:dyDescent="0.45">
      <c r="A1426" s="21" t="s">
        <v>1701</v>
      </c>
      <c r="B1426" s="30">
        <v>45717.431250000001</v>
      </c>
      <c r="C1426" s="23">
        <v>440</v>
      </c>
      <c r="D1426" s="22">
        <v>197.3</v>
      </c>
      <c r="E1426" s="22">
        <v>202.2</v>
      </c>
      <c r="F1426" s="22">
        <v>206.15</v>
      </c>
      <c r="G1426" s="22">
        <v>0</v>
      </c>
      <c r="H1426" s="24">
        <v>0</v>
      </c>
      <c r="I1426" s="22">
        <v>4</v>
      </c>
      <c r="J1426" s="22">
        <v>0</v>
      </c>
      <c r="K1426" s="24">
        <v>0.56840000000000002</v>
      </c>
      <c r="L1426" s="26" t="b">
        <f t="shared" si="99"/>
        <v>1</v>
      </c>
      <c r="M1426" s="26" t="str">
        <f t="shared" si="96"/>
        <v>put</v>
      </c>
      <c r="N1426" s="28">
        <f t="shared" si="97"/>
        <v>46374</v>
      </c>
      <c r="O1426" s="29">
        <f t="shared" si="98"/>
        <v>439</v>
      </c>
    </row>
    <row r="1427" spans="1:15" x14ac:dyDescent="0.45">
      <c r="A1427" s="1" t="s">
        <v>1702</v>
      </c>
      <c r="B1427" s="4" t="s">
        <v>1703</v>
      </c>
      <c r="C1427" s="3">
        <v>450</v>
      </c>
      <c r="D1427" s="4">
        <v>193.1</v>
      </c>
      <c r="E1427" s="4">
        <v>190.85</v>
      </c>
      <c r="F1427" s="4">
        <v>193.15</v>
      </c>
      <c r="G1427" s="4">
        <v>0</v>
      </c>
      <c r="H1427" s="5">
        <v>0</v>
      </c>
      <c r="I1427" s="4">
        <v>1</v>
      </c>
      <c r="J1427" s="4">
        <v>0</v>
      </c>
      <c r="K1427" s="5">
        <v>0.27179999999999999</v>
      </c>
      <c r="L1427" s="26" t="b">
        <f t="shared" si="99"/>
        <v>1</v>
      </c>
      <c r="M1427" s="26" t="str">
        <f t="shared" si="96"/>
        <v>put</v>
      </c>
      <c r="N1427" s="28">
        <f t="shared" si="97"/>
        <v>46374</v>
      </c>
      <c r="O1427" s="29">
        <f t="shared" si="98"/>
        <v>439</v>
      </c>
    </row>
    <row r="1428" spans="1:15" x14ac:dyDescent="0.45">
      <c r="A1428" s="1" t="s">
        <v>1704</v>
      </c>
      <c r="B1428" s="2">
        <v>45698.570138888892</v>
      </c>
      <c r="C1428" s="3">
        <v>5</v>
      </c>
      <c r="D1428" s="4">
        <v>252.84</v>
      </c>
      <c r="E1428" s="4">
        <v>251.15</v>
      </c>
      <c r="F1428" s="4">
        <v>254.5</v>
      </c>
      <c r="G1428" s="4">
        <v>0</v>
      </c>
      <c r="H1428" s="5">
        <v>0</v>
      </c>
      <c r="I1428" s="4">
        <v>261</v>
      </c>
      <c r="J1428" s="4">
        <v>743</v>
      </c>
      <c r="K1428" s="5">
        <v>2.3115000000000001</v>
      </c>
      <c r="L1428" s="26" t="b">
        <f t="shared" si="99"/>
        <v>1</v>
      </c>
      <c r="M1428" s="26" t="str">
        <f t="shared" si="96"/>
        <v>call</v>
      </c>
      <c r="N1428" s="28">
        <f t="shared" si="97"/>
        <v>46402</v>
      </c>
      <c r="O1428" s="29">
        <f t="shared" si="98"/>
        <v>467</v>
      </c>
    </row>
    <row r="1429" spans="1:15" x14ac:dyDescent="0.45">
      <c r="A1429" s="1" t="s">
        <v>1705</v>
      </c>
      <c r="B1429" s="4" t="s">
        <v>1706</v>
      </c>
      <c r="C1429" s="3">
        <v>10</v>
      </c>
      <c r="D1429" s="4">
        <v>226.44</v>
      </c>
      <c r="E1429" s="4">
        <v>246.15</v>
      </c>
      <c r="F1429" s="4">
        <v>249.55</v>
      </c>
      <c r="G1429" s="4">
        <v>0</v>
      </c>
      <c r="H1429" s="5">
        <v>0</v>
      </c>
      <c r="I1429" s="4">
        <v>100</v>
      </c>
      <c r="J1429" s="4">
        <v>128</v>
      </c>
      <c r="K1429" s="5">
        <v>1.7626999999999999</v>
      </c>
      <c r="L1429" s="26" t="b">
        <f t="shared" si="99"/>
        <v>1</v>
      </c>
      <c r="M1429" s="26" t="str">
        <f t="shared" si="96"/>
        <v>call</v>
      </c>
      <c r="N1429" s="28">
        <f t="shared" si="97"/>
        <v>46402</v>
      </c>
      <c r="O1429" s="29">
        <f t="shared" si="98"/>
        <v>467</v>
      </c>
    </row>
    <row r="1430" spans="1:15" x14ac:dyDescent="0.45">
      <c r="A1430" s="1" t="s">
        <v>1707</v>
      </c>
      <c r="B1430" s="4" t="s">
        <v>1706</v>
      </c>
      <c r="C1430" s="3">
        <v>15</v>
      </c>
      <c r="D1430" s="4">
        <v>221.56</v>
      </c>
      <c r="E1430" s="4">
        <v>241.25</v>
      </c>
      <c r="F1430" s="4">
        <v>244.65</v>
      </c>
      <c r="G1430" s="4">
        <v>0</v>
      </c>
      <c r="H1430" s="5">
        <v>0</v>
      </c>
      <c r="I1430" s="4">
        <v>100</v>
      </c>
      <c r="J1430" s="4">
        <v>182</v>
      </c>
      <c r="K1430" s="5">
        <v>1.5117</v>
      </c>
      <c r="L1430" s="26" t="b">
        <f t="shared" si="99"/>
        <v>1</v>
      </c>
      <c r="M1430" s="26" t="str">
        <f t="shared" si="96"/>
        <v>call</v>
      </c>
      <c r="N1430" s="28">
        <f t="shared" si="97"/>
        <v>46402</v>
      </c>
      <c r="O1430" s="29">
        <f t="shared" si="98"/>
        <v>467</v>
      </c>
    </row>
    <row r="1431" spans="1:15" x14ac:dyDescent="0.45">
      <c r="A1431" s="1" t="s">
        <v>1708</v>
      </c>
      <c r="B1431" s="4" t="s">
        <v>1709</v>
      </c>
      <c r="C1431" s="3">
        <v>20</v>
      </c>
      <c r="D1431" s="4">
        <v>209.76</v>
      </c>
      <c r="E1431" s="4">
        <v>233.9</v>
      </c>
      <c r="F1431" s="4">
        <v>237.6</v>
      </c>
      <c r="G1431" s="6">
        <v>0</v>
      </c>
      <c r="H1431" s="7">
        <v>0</v>
      </c>
      <c r="I1431" s="4">
        <v>2</v>
      </c>
      <c r="J1431" s="4">
        <v>31</v>
      </c>
      <c r="K1431" s="5">
        <v>0</v>
      </c>
      <c r="L1431" s="26" t="b">
        <f t="shared" si="99"/>
        <v>1</v>
      </c>
      <c r="M1431" s="26" t="str">
        <f t="shared" si="96"/>
        <v>call</v>
      </c>
      <c r="N1431" s="28">
        <f t="shared" si="97"/>
        <v>46402</v>
      </c>
      <c r="O1431" s="29">
        <f t="shared" si="98"/>
        <v>467</v>
      </c>
    </row>
    <row r="1432" spans="1:15" x14ac:dyDescent="0.45">
      <c r="A1432" s="1" t="s">
        <v>1710</v>
      </c>
      <c r="B1432" s="4" t="s">
        <v>1711</v>
      </c>
      <c r="C1432" s="3">
        <v>25</v>
      </c>
      <c r="D1432" s="4">
        <v>172.1</v>
      </c>
      <c r="E1432" s="4">
        <v>174.8</v>
      </c>
      <c r="F1432" s="4">
        <v>178.65</v>
      </c>
      <c r="G1432" s="4">
        <v>0</v>
      </c>
      <c r="H1432" s="5">
        <v>0</v>
      </c>
      <c r="I1432" s="4">
        <v>3</v>
      </c>
      <c r="J1432" s="4">
        <v>5</v>
      </c>
      <c r="K1432" s="5">
        <v>0</v>
      </c>
      <c r="L1432" s="26" t="b">
        <f t="shared" si="99"/>
        <v>1</v>
      </c>
      <c r="M1432" s="26" t="str">
        <f t="shared" si="96"/>
        <v>call</v>
      </c>
      <c r="N1432" s="28">
        <f t="shared" si="97"/>
        <v>46402</v>
      </c>
      <c r="O1432" s="29">
        <f t="shared" si="98"/>
        <v>467</v>
      </c>
    </row>
    <row r="1433" spans="1:15" x14ac:dyDescent="0.45">
      <c r="A1433" s="1" t="s">
        <v>1712</v>
      </c>
      <c r="B1433" s="2">
        <v>45877.414583333331</v>
      </c>
      <c r="C1433" s="3">
        <v>30</v>
      </c>
      <c r="D1433" s="4">
        <v>192.4</v>
      </c>
      <c r="E1433" s="4">
        <v>224.4</v>
      </c>
      <c r="F1433" s="4">
        <v>228.1</v>
      </c>
      <c r="G1433" s="4">
        <v>0</v>
      </c>
      <c r="H1433" s="5">
        <v>0</v>
      </c>
      <c r="I1433" s="4">
        <v>3</v>
      </c>
      <c r="J1433" s="4">
        <v>4</v>
      </c>
      <c r="K1433" s="5">
        <v>0.71089999999999998</v>
      </c>
      <c r="L1433" s="26" t="b">
        <f t="shared" si="99"/>
        <v>1</v>
      </c>
      <c r="M1433" s="26" t="str">
        <f t="shared" si="96"/>
        <v>call</v>
      </c>
      <c r="N1433" s="28">
        <f t="shared" si="97"/>
        <v>46402</v>
      </c>
      <c r="O1433" s="29">
        <f t="shared" si="98"/>
        <v>467</v>
      </c>
    </row>
    <row r="1434" spans="1:15" x14ac:dyDescent="0.45">
      <c r="A1434" s="1" t="s">
        <v>1713</v>
      </c>
      <c r="B1434" s="2">
        <v>45813.529861111114</v>
      </c>
      <c r="C1434" s="3">
        <v>35</v>
      </c>
      <c r="D1434" s="4">
        <v>165.98</v>
      </c>
      <c r="E1434" s="4">
        <v>165.3</v>
      </c>
      <c r="F1434" s="4">
        <v>169.2</v>
      </c>
      <c r="G1434" s="6">
        <v>0</v>
      </c>
      <c r="H1434" s="7">
        <v>0</v>
      </c>
      <c r="I1434" s="4">
        <v>1</v>
      </c>
      <c r="J1434" s="4">
        <v>5</v>
      </c>
      <c r="K1434" s="5">
        <v>0</v>
      </c>
      <c r="L1434" s="26" t="b">
        <f t="shared" si="99"/>
        <v>1</v>
      </c>
      <c r="M1434" s="26" t="str">
        <f t="shared" si="96"/>
        <v>call</v>
      </c>
      <c r="N1434" s="28">
        <f t="shared" si="97"/>
        <v>46402</v>
      </c>
      <c r="O1434" s="29">
        <f t="shared" si="98"/>
        <v>467</v>
      </c>
    </row>
    <row r="1435" spans="1:15" x14ac:dyDescent="0.45">
      <c r="A1435" s="1" t="s">
        <v>1714</v>
      </c>
      <c r="B1435" s="4" t="s">
        <v>609</v>
      </c>
      <c r="C1435" s="3">
        <v>40</v>
      </c>
      <c r="D1435" s="4">
        <v>202.69</v>
      </c>
      <c r="E1435" s="4">
        <v>217.45</v>
      </c>
      <c r="F1435" s="4">
        <v>220.85</v>
      </c>
      <c r="G1435" s="4">
        <v>0</v>
      </c>
      <c r="H1435" s="5">
        <v>0</v>
      </c>
      <c r="I1435" s="4">
        <v>1</v>
      </c>
      <c r="J1435" s="4">
        <v>30</v>
      </c>
      <c r="K1435" s="5">
        <v>0.88400000000000001</v>
      </c>
      <c r="L1435" s="26" t="b">
        <f t="shared" si="99"/>
        <v>1</v>
      </c>
      <c r="M1435" s="26" t="str">
        <f t="shared" si="96"/>
        <v>call</v>
      </c>
      <c r="N1435" s="28">
        <f t="shared" si="97"/>
        <v>46402</v>
      </c>
      <c r="O1435" s="29">
        <f t="shared" si="98"/>
        <v>467</v>
      </c>
    </row>
    <row r="1436" spans="1:15" x14ac:dyDescent="0.45">
      <c r="A1436" s="1" t="s">
        <v>1715</v>
      </c>
      <c r="B1436" s="2">
        <v>45877.425694444442</v>
      </c>
      <c r="C1436" s="3">
        <v>45</v>
      </c>
      <c r="D1436" s="4">
        <v>179.5</v>
      </c>
      <c r="E1436" s="4">
        <v>210.2</v>
      </c>
      <c r="F1436" s="4">
        <v>213.9</v>
      </c>
      <c r="G1436" s="6">
        <v>0</v>
      </c>
      <c r="H1436" s="7">
        <v>0</v>
      </c>
      <c r="I1436" s="4">
        <v>1</v>
      </c>
      <c r="J1436" s="4">
        <v>1</v>
      </c>
      <c r="K1436" s="5">
        <v>0.79220000000000002</v>
      </c>
      <c r="L1436" s="26" t="b">
        <f t="shared" si="99"/>
        <v>1</v>
      </c>
      <c r="M1436" s="26" t="str">
        <f t="shared" si="96"/>
        <v>call</v>
      </c>
      <c r="N1436" s="28">
        <f t="shared" si="97"/>
        <v>46402</v>
      </c>
      <c r="O1436" s="29">
        <f t="shared" si="98"/>
        <v>467</v>
      </c>
    </row>
    <row r="1437" spans="1:15" x14ac:dyDescent="0.45">
      <c r="A1437" s="1" t="s">
        <v>1716</v>
      </c>
      <c r="B1437" s="4" t="s">
        <v>1717</v>
      </c>
      <c r="C1437" s="3">
        <v>50</v>
      </c>
      <c r="D1437" s="4">
        <v>206.44</v>
      </c>
      <c r="E1437" s="4">
        <v>208</v>
      </c>
      <c r="F1437" s="4">
        <v>211.4</v>
      </c>
      <c r="G1437" s="6">
        <v>0</v>
      </c>
      <c r="H1437" s="7">
        <v>0</v>
      </c>
      <c r="I1437" s="4">
        <v>16</v>
      </c>
      <c r="J1437" s="4">
        <v>63</v>
      </c>
      <c r="K1437" s="5">
        <v>0.83689999999999998</v>
      </c>
      <c r="L1437" s="26" t="b">
        <f t="shared" si="99"/>
        <v>1</v>
      </c>
      <c r="M1437" s="26" t="str">
        <f t="shared" si="96"/>
        <v>call</v>
      </c>
      <c r="N1437" s="28">
        <f t="shared" si="97"/>
        <v>46402</v>
      </c>
      <c r="O1437" s="29">
        <f t="shared" si="98"/>
        <v>467</v>
      </c>
    </row>
    <row r="1438" spans="1:15" x14ac:dyDescent="0.45">
      <c r="A1438" s="1" t="s">
        <v>1718</v>
      </c>
      <c r="B1438" s="4" t="s">
        <v>1719</v>
      </c>
      <c r="C1438" s="3">
        <v>60</v>
      </c>
      <c r="D1438" s="4">
        <v>199.95</v>
      </c>
      <c r="E1438" s="4">
        <v>198.55</v>
      </c>
      <c r="F1438" s="4">
        <v>201.95</v>
      </c>
      <c r="G1438" s="6">
        <v>0</v>
      </c>
      <c r="H1438" s="7">
        <v>0</v>
      </c>
      <c r="I1438" s="4">
        <v>10</v>
      </c>
      <c r="J1438" s="4">
        <v>121</v>
      </c>
      <c r="K1438" s="5">
        <v>0.78920000000000001</v>
      </c>
      <c r="L1438" s="26" t="b">
        <f t="shared" si="99"/>
        <v>1</v>
      </c>
      <c r="M1438" s="26" t="str">
        <f t="shared" si="96"/>
        <v>call</v>
      </c>
      <c r="N1438" s="28">
        <f t="shared" si="97"/>
        <v>46402</v>
      </c>
      <c r="O1438" s="29">
        <f t="shared" si="98"/>
        <v>467</v>
      </c>
    </row>
    <row r="1439" spans="1:15" x14ac:dyDescent="0.45">
      <c r="A1439" s="1" t="s">
        <v>1720</v>
      </c>
      <c r="B1439" s="4" t="s">
        <v>1721</v>
      </c>
      <c r="C1439" s="3">
        <v>70</v>
      </c>
      <c r="D1439" s="4">
        <v>172.7</v>
      </c>
      <c r="E1439" s="4">
        <v>189.1</v>
      </c>
      <c r="F1439" s="4">
        <v>192.5</v>
      </c>
      <c r="G1439" s="6">
        <v>0</v>
      </c>
      <c r="H1439" s="7">
        <v>0</v>
      </c>
      <c r="I1439" s="4">
        <v>1</v>
      </c>
      <c r="J1439" s="4">
        <v>162</v>
      </c>
      <c r="K1439" s="5">
        <v>0.74339999999999995</v>
      </c>
      <c r="L1439" s="26" t="b">
        <f t="shared" si="99"/>
        <v>1</v>
      </c>
      <c r="M1439" s="26" t="str">
        <f t="shared" si="96"/>
        <v>call</v>
      </c>
      <c r="N1439" s="28">
        <f t="shared" si="97"/>
        <v>46402</v>
      </c>
      <c r="O1439" s="29">
        <f t="shared" si="98"/>
        <v>467</v>
      </c>
    </row>
    <row r="1440" spans="1:15" x14ac:dyDescent="0.45">
      <c r="A1440" s="1" t="s">
        <v>1722</v>
      </c>
      <c r="B1440" s="4" t="s">
        <v>1723</v>
      </c>
      <c r="C1440" s="3">
        <v>80</v>
      </c>
      <c r="D1440" s="4">
        <v>161.91999999999999</v>
      </c>
      <c r="E1440" s="4">
        <v>179.7</v>
      </c>
      <c r="F1440" s="4">
        <v>183.05</v>
      </c>
      <c r="G1440" s="6">
        <v>0</v>
      </c>
      <c r="H1440" s="7">
        <v>0</v>
      </c>
      <c r="I1440" s="4">
        <v>1</v>
      </c>
      <c r="J1440" s="4">
        <v>287</v>
      </c>
      <c r="K1440" s="5">
        <v>0.70130000000000003</v>
      </c>
      <c r="L1440" s="26" t="b">
        <f t="shared" si="99"/>
        <v>1</v>
      </c>
      <c r="M1440" s="26" t="str">
        <f t="shared" si="96"/>
        <v>call</v>
      </c>
      <c r="N1440" s="28">
        <f t="shared" si="97"/>
        <v>46402</v>
      </c>
      <c r="O1440" s="29">
        <f t="shared" si="98"/>
        <v>467</v>
      </c>
    </row>
    <row r="1441" spans="1:15" x14ac:dyDescent="0.45">
      <c r="A1441" s="1" t="s">
        <v>1724</v>
      </c>
      <c r="B1441" s="4" t="s">
        <v>1725</v>
      </c>
      <c r="C1441" s="3">
        <v>85</v>
      </c>
      <c r="D1441" s="4">
        <v>117.68</v>
      </c>
      <c r="E1441" s="4">
        <v>129.05000000000001</v>
      </c>
      <c r="F1441" s="4">
        <v>132.5</v>
      </c>
      <c r="G1441" s="6">
        <v>0</v>
      </c>
      <c r="H1441" s="7">
        <v>0</v>
      </c>
      <c r="I1441" s="4">
        <v>1</v>
      </c>
      <c r="J1441" s="4">
        <v>166</v>
      </c>
      <c r="K1441" s="5">
        <v>0</v>
      </c>
      <c r="L1441" s="26" t="b">
        <f t="shared" si="99"/>
        <v>1</v>
      </c>
      <c r="M1441" s="26" t="str">
        <f t="shared" si="96"/>
        <v>call</v>
      </c>
      <c r="N1441" s="28">
        <f t="shared" si="97"/>
        <v>46402</v>
      </c>
      <c r="O1441" s="29">
        <f t="shared" si="98"/>
        <v>467</v>
      </c>
    </row>
    <row r="1442" spans="1:15" x14ac:dyDescent="0.45">
      <c r="A1442" s="1" t="s">
        <v>1726</v>
      </c>
      <c r="B1442" s="4" t="s">
        <v>1727</v>
      </c>
      <c r="C1442" s="3">
        <v>90</v>
      </c>
      <c r="D1442" s="4">
        <v>152.13999999999999</v>
      </c>
      <c r="E1442" s="4">
        <v>170.5</v>
      </c>
      <c r="F1442" s="4">
        <v>173.7</v>
      </c>
      <c r="G1442" s="6">
        <v>0</v>
      </c>
      <c r="H1442" s="7">
        <v>0</v>
      </c>
      <c r="I1442" s="4">
        <v>2</v>
      </c>
      <c r="J1442" s="4">
        <v>271</v>
      </c>
      <c r="K1442" s="5">
        <v>0.66739999999999999</v>
      </c>
      <c r="L1442" s="26" t="b">
        <f t="shared" si="99"/>
        <v>1</v>
      </c>
      <c r="M1442" s="26" t="str">
        <f t="shared" si="96"/>
        <v>call</v>
      </c>
      <c r="N1442" s="28">
        <f t="shared" si="97"/>
        <v>46402</v>
      </c>
      <c r="O1442" s="29">
        <f t="shared" si="98"/>
        <v>467</v>
      </c>
    </row>
    <row r="1443" spans="1:15" x14ac:dyDescent="0.45">
      <c r="A1443" s="1" t="s">
        <v>1728</v>
      </c>
      <c r="B1443" s="2">
        <v>45878.536805555559</v>
      </c>
      <c r="C1443" s="3">
        <v>95</v>
      </c>
      <c r="D1443" s="4">
        <v>147</v>
      </c>
      <c r="E1443" s="4">
        <v>166.25</v>
      </c>
      <c r="F1443" s="4">
        <v>169</v>
      </c>
      <c r="G1443" s="6">
        <v>0</v>
      </c>
      <c r="H1443" s="7">
        <v>0</v>
      </c>
      <c r="I1443" s="4">
        <v>1</v>
      </c>
      <c r="J1443" s="4">
        <v>16</v>
      </c>
      <c r="K1443" s="5">
        <v>0.65649999999999997</v>
      </c>
      <c r="L1443" s="26" t="b">
        <f t="shared" si="99"/>
        <v>1</v>
      </c>
      <c r="M1443" s="26" t="str">
        <f t="shared" si="96"/>
        <v>call</v>
      </c>
      <c r="N1443" s="28">
        <f t="shared" si="97"/>
        <v>46402</v>
      </c>
      <c r="O1443" s="29">
        <f t="shared" si="98"/>
        <v>467</v>
      </c>
    </row>
    <row r="1444" spans="1:15" x14ac:dyDescent="0.45">
      <c r="A1444" s="1" t="s">
        <v>1729</v>
      </c>
      <c r="B1444" s="4" t="s">
        <v>750</v>
      </c>
      <c r="C1444" s="3">
        <v>100</v>
      </c>
      <c r="D1444" s="4">
        <v>160.86000000000001</v>
      </c>
      <c r="E1444" s="4">
        <v>161.65</v>
      </c>
      <c r="F1444" s="4">
        <v>164.35</v>
      </c>
      <c r="G1444" s="6">
        <v>0</v>
      </c>
      <c r="H1444" s="7">
        <v>0</v>
      </c>
      <c r="I1444" s="4">
        <v>31</v>
      </c>
      <c r="J1444" s="4">
        <v>502</v>
      </c>
      <c r="K1444" s="5">
        <v>0.63970000000000005</v>
      </c>
      <c r="L1444" s="26" t="b">
        <f t="shared" si="99"/>
        <v>1</v>
      </c>
      <c r="M1444" s="26" t="str">
        <f t="shared" si="96"/>
        <v>call</v>
      </c>
      <c r="N1444" s="28">
        <f t="shared" si="97"/>
        <v>46402</v>
      </c>
      <c r="O1444" s="29">
        <f t="shared" si="98"/>
        <v>467</v>
      </c>
    </row>
    <row r="1445" spans="1:15" x14ac:dyDescent="0.45">
      <c r="A1445" s="1" t="s">
        <v>1730</v>
      </c>
      <c r="B1445" s="4" t="s">
        <v>1731</v>
      </c>
      <c r="C1445" s="3">
        <v>105</v>
      </c>
      <c r="D1445" s="4">
        <v>153.35</v>
      </c>
      <c r="E1445" s="4">
        <v>156.9</v>
      </c>
      <c r="F1445" s="4">
        <v>159.65</v>
      </c>
      <c r="G1445" s="8">
        <v>0</v>
      </c>
      <c r="H1445" s="9">
        <v>0</v>
      </c>
      <c r="I1445" s="4">
        <v>1</v>
      </c>
      <c r="J1445" s="4">
        <v>63</v>
      </c>
      <c r="K1445" s="5">
        <v>0.61970000000000003</v>
      </c>
      <c r="L1445" s="26" t="b">
        <f t="shared" si="99"/>
        <v>1</v>
      </c>
      <c r="M1445" s="26" t="str">
        <f t="shared" si="96"/>
        <v>call</v>
      </c>
      <c r="N1445" s="28">
        <f t="shared" si="97"/>
        <v>46402</v>
      </c>
      <c r="O1445" s="29">
        <f t="shared" si="98"/>
        <v>467</v>
      </c>
    </row>
    <row r="1446" spans="1:15" x14ac:dyDescent="0.45">
      <c r="A1446" s="1" t="s">
        <v>1732</v>
      </c>
      <c r="B1446" s="2">
        <v>45786.543749999997</v>
      </c>
      <c r="C1446" s="3">
        <v>110</v>
      </c>
      <c r="D1446" s="4">
        <v>135</v>
      </c>
      <c r="E1446" s="4">
        <v>152</v>
      </c>
      <c r="F1446" s="4">
        <v>154.94999999999999</v>
      </c>
      <c r="G1446" s="6">
        <v>0</v>
      </c>
      <c r="H1446" s="7">
        <v>0</v>
      </c>
      <c r="I1446" s="4">
        <v>1</v>
      </c>
      <c r="J1446" s="4">
        <v>44</v>
      </c>
      <c r="K1446" s="5">
        <v>0.59799999999999998</v>
      </c>
      <c r="L1446" s="26" t="b">
        <f t="shared" si="99"/>
        <v>1</v>
      </c>
      <c r="M1446" s="26" t="str">
        <f t="shared" si="96"/>
        <v>call</v>
      </c>
      <c r="N1446" s="28">
        <f t="shared" si="97"/>
        <v>46402</v>
      </c>
      <c r="O1446" s="29">
        <f t="shared" si="98"/>
        <v>467</v>
      </c>
    </row>
    <row r="1447" spans="1:15" x14ac:dyDescent="0.45">
      <c r="A1447" s="1" t="s">
        <v>1733</v>
      </c>
      <c r="B1447" s="4" t="s">
        <v>1734</v>
      </c>
      <c r="C1447" s="3">
        <v>115</v>
      </c>
      <c r="D1447" s="4">
        <v>144.72</v>
      </c>
      <c r="E1447" s="4">
        <v>147.44999999999999</v>
      </c>
      <c r="F1447" s="4">
        <v>150.4</v>
      </c>
      <c r="G1447" s="6">
        <v>0</v>
      </c>
      <c r="H1447" s="7">
        <v>0</v>
      </c>
      <c r="I1447" s="4">
        <v>1</v>
      </c>
      <c r="J1447" s="4">
        <v>64</v>
      </c>
      <c r="K1447" s="5">
        <v>0.58420000000000005</v>
      </c>
      <c r="L1447" s="26" t="b">
        <f t="shared" si="99"/>
        <v>1</v>
      </c>
      <c r="M1447" s="26" t="str">
        <f t="shared" si="96"/>
        <v>call</v>
      </c>
      <c r="N1447" s="28">
        <f t="shared" si="97"/>
        <v>46402</v>
      </c>
      <c r="O1447" s="29">
        <f t="shared" si="98"/>
        <v>467</v>
      </c>
    </row>
    <row r="1448" spans="1:15" x14ac:dyDescent="0.45">
      <c r="A1448" s="1" t="s">
        <v>1735</v>
      </c>
      <c r="B1448" s="4" t="s">
        <v>1736</v>
      </c>
      <c r="C1448" s="3">
        <v>120</v>
      </c>
      <c r="D1448" s="4">
        <v>142.18</v>
      </c>
      <c r="E1448" s="4">
        <v>142.69999999999999</v>
      </c>
      <c r="F1448" s="4">
        <v>145.69999999999999</v>
      </c>
      <c r="G1448" s="8">
        <v>0</v>
      </c>
      <c r="H1448" s="9">
        <v>0</v>
      </c>
      <c r="I1448" s="4">
        <v>2</v>
      </c>
      <c r="J1448" s="4">
        <v>572</v>
      </c>
      <c r="K1448" s="5">
        <v>0.56559999999999999</v>
      </c>
      <c r="L1448" s="26" t="b">
        <f t="shared" si="99"/>
        <v>1</v>
      </c>
      <c r="M1448" s="26" t="str">
        <f t="shared" si="96"/>
        <v>call</v>
      </c>
      <c r="N1448" s="28">
        <f t="shared" si="97"/>
        <v>46402</v>
      </c>
      <c r="O1448" s="29">
        <f t="shared" si="98"/>
        <v>467</v>
      </c>
    </row>
    <row r="1449" spans="1:15" x14ac:dyDescent="0.45">
      <c r="A1449" s="1" t="s">
        <v>1737</v>
      </c>
      <c r="B1449" s="4" t="s">
        <v>1738</v>
      </c>
      <c r="C1449" s="3">
        <v>125</v>
      </c>
      <c r="D1449" s="4">
        <v>136.77000000000001</v>
      </c>
      <c r="E1449" s="4">
        <v>137.85</v>
      </c>
      <c r="F1449" s="4">
        <v>141.19999999999999</v>
      </c>
      <c r="G1449" s="8">
        <v>0</v>
      </c>
      <c r="H1449" s="9">
        <v>0</v>
      </c>
      <c r="I1449" s="4">
        <v>1</v>
      </c>
      <c r="J1449" s="4">
        <v>216</v>
      </c>
      <c r="K1449" s="5">
        <v>0.54869999999999997</v>
      </c>
      <c r="L1449" s="26" t="b">
        <f t="shared" si="99"/>
        <v>1</v>
      </c>
      <c r="M1449" s="26" t="str">
        <f t="shared" si="96"/>
        <v>call</v>
      </c>
      <c r="N1449" s="28">
        <f t="shared" si="97"/>
        <v>46402</v>
      </c>
      <c r="O1449" s="29">
        <f t="shared" si="98"/>
        <v>467</v>
      </c>
    </row>
    <row r="1450" spans="1:15" x14ac:dyDescent="0.45">
      <c r="A1450" s="1" t="s">
        <v>1739</v>
      </c>
      <c r="B1450" s="4" t="s">
        <v>1740</v>
      </c>
      <c r="C1450" s="3">
        <v>130</v>
      </c>
      <c r="D1450" s="4">
        <v>132.19999999999999</v>
      </c>
      <c r="E1450" s="4">
        <v>133.30000000000001</v>
      </c>
      <c r="F1450" s="4">
        <v>136.1</v>
      </c>
      <c r="G1450" s="8">
        <v>-1.28</v>
      </c>
      <c r="H1450" s="9">
        <v>-9.5999999999999992E-3</v>
      </c>
      <c r="I1450" s="4">
        <v>1</v>
      </c>
      <c r="J1450" s="4">
        <v>364</v>
      </c>
      <c r="K1450" s="5">
        <v>0.52839999999999998</v>
      </c>
      <c r="L1450" s="26" t="b">
        <f t="shared" si="99"/>
        <v>1</v>
      </c>
      <c r="M1450" s="26" t="str">
        <f t="shared" si="96"/>
        <v>call</v>
      </c>
      <c r="N1450" s="28">
        <f t="shared" si="97"/>
        <v>46402</v>
      </c>
      <c r="O1450" s="29">
        <f t="shared" si="98"/>
        <v>467</v>
      </c>
    </row>
    <row r="1451" spans="1:15" x14ac:dyDescent="0.45">
      <c r="A1451" s="1" t="s">
        <v>1741</v>
      </c>
      <c r="B1451" s="4" t="s">
        <v>1742</v>
      </c>
      <c r="C1451" s="3">
        <v>135</v>
      </c>
      <c r="D1451" s="4">
        <v>128.18</v>
      </c>
      <c r="E1451" s="4">
        <v>129.1</v>
      </c>
      <c r="F1451" s="4">
        <v>132.05000000000001</v>
      </c>
      <c r="G1451" s="6">
        <v>0</v>
      </c>
      <c r="H1451" s="7">
        <v>0</v>
      </c>
      <c r="I1451" s="4">
        <v>1</v>
      </c>
      <c r="J1451" s="10">
        <v>1571</v>
      </c>
      <c r="K1451" s="5">
        <v>0.52480000000000004</v>
      </c>
      <c r="L1451" s="26" t="b">
        <f t="shared" si="99"/>
        <v>1</v>
      </c>
      <c r="M1451" s="26" t="str">
        <f t="shared" si="96"/>
        <v>call</v>
      </c>
      <c r="N1451" s="28">
        <f t="shared" si="97"/>
        <v>46402</v>
      </c>
      <c r="O1451" s="29">
        <f t="shared" si="98"/>
        <v>467</v>
      </c>
    </row>
    <row r="1452" spans="1:15" x14ac:dyDescent="0.45">
      <c r="A1452" s="1" t="s">
        <v>1743</v>
      </c>
      <c r="B1452" s="4" t="s">
        <v>1744</v>
      </c>
      <c r="C1452" s="3">
        <v>140</v>
      </c>
      <c r="D1452" s="4">
        <v>119.85</v>
      </c>
      <c r="E1452" s="4">
        <v>125.25</v>
      </c>
      <c r="F1452" s="4">
        <v>127.55</v>
      </c>
      <c r="G1452" s="6">
        <v>0</v>
      </c>
      <c r="H1452" s="7">
        <v>0</v>
      </c>
      <c r="I1452" s="4">
        <v>150</v>
      </c>
      <c r="J1452" s="10">
        <v>1568</v>
      </c>
      <c r="K1452" s="5">
        <v>0.51880000000000004</v>
      </c>
      <c r="L1452" s="26" t="b">
        <f t="shared" si="99"/>
        <v>1</v>
      </c>
      <c r="M1452" s="26" t="str">
        <f t="shared" si="96"/>
        <v>call</v>
      </c>
      <c r="N1452" s="28">
        <f t="shared" si="97"/>
        <v>46402</v>
      </c>
      <c r="O1452" s="29">
        <f t="shared" si="98"/>
        <v>467</v>
      </c>
    </row>
    <row r="1453" spans="1:15" x14ac:dyDescent="0.45">
      <c r="A1453" s="1" t="s">
        <v>1745</v>
      </c>
      <c r="B1453" s="2">
        <v>45726.570138888892</v>
      </c>
      <c r="C1453" s="3">
        <v>145</v>
      </c>
      <c r="D1453" s="4">
        <v>121.6</v>
      </c>
      <c r="E1453" s="4">
        <v>120.45</v>
      </c>
      <c r="F1453" s="4">
        <v>122.75</v>
      </c>
      <c r="G1453" s="6">
        <v>1.6</v>
      </c>
      <c r="H1453" s="7">
        <v>1.3299999999999999E-2</v>
      </c>
      <c r="I1453" s="4">
        <v>1</v>
      </c>
      <c r="J1453" s="10">
        <v>6388</v>
      </c>
      <c r="K1453" s="5">
        <v>0.52200000000000002</v>
      </c>
      <c r="L1453" s="26" t="b">
        <f t="shared" si="99"/>
        <v>1</v>
      </c>
      <c r="M1453" s="26" t="str">
        <f t="shared" si="96"/>
        <v>call</v>
      </c>
      <c r="N1453" s="28">
        <f t="shared" si="97"/>
        <v>46402</v>
      </c>
      <c r="O1453" s="29">
        <f t="shared" si="98"/>
        <v>467</v>
      </c>
    </row>
    <row r="1454" spans="1:15" x14ac:dyDescent="0.45">
      <c r="A1454" s="1" t="s">
        <v>1746</v>
      </c>
      <c r="B1454" s="2">
        <v>45726.620833333334</v>
      </c>
      <c r="C1454" s="3">
        <v>150</v>
      </c>
      <c r="D1454" s="4">
        <v>117.56</v>
      </c>
      <c r="E1454" s="4">
        <v>115.8</v>
      </c>
      <c r="F1454" s="4">
        <v>118.3</v>
      </c>
      <c r="G1454" s="6">
        <v>1.66</v>
      </c>
      <c r="H1454" s="7">
        <v>1.43E-2</v>
      </c>
      <c r="I1454" s="4">
        <v>5</v>
      </c>
      <c r="J1454" s="10">
        <v>1626</v>
      </c>
      <c r="K1454" s="5">
        <v>0.50860000000000005</v>
      </c>
      <c r="L1454" s="26" t="b">
        <f t="shared" si="99"/>
        <v>1</v>
      </c>
      <c r="M1454" s="26" t="str">
        <f t="shared" si="96"/>
        <v>call</v>
      </c>
      <c r="N1454" s="28">
        <f t="shared" si="97"/>
        <v>46402</v>
      </c>
      <c r="O1454" s="29">
        <f t="shared" si="98"/>
        <v>467</v>
      </c>
    </row>
    <row r="1455" spans="1:15" x14ac:dyDescent="0.45">
      <c r="A1455" s="1" t="s">
        <v>1747</v>
      </c>
      <c r="B1455" s="2">
        <v>45698.512499999997</v>
      </c>
      <c r="C1455" s="3">
        <v>155</v>
      </c>
      <c r="D1455" s="4">
        <v>112.5</v>
      </c>
      <c r="E1455" s="4">
        <v>111.3</v>
      </c>
      <c r="F1455" s="4">
        <v>113.75</v>
      </c>
      <c r="G1455" s="6">
        <v>0</v>
      </c>
      <c r="H1455" s="7">
        <v>0</v>
      </c>
      <c r="I1455" s="4">
        <v>3</v>
      </c>
      <c r="J1455" s="4">
        <v>141</v>
      </c>
      <c r="K1455" s="5">
        <v>0.49340000000000001</v>
      </c>
      <c r="L1455" s="26" t="b">
        <f t="shared" si="99"/>
        <v>1</v>
      </c>
      <c r="M1455" s="26" t="str">
        <f t="shared" si="96"/>
        <v>call</v>
      </c>
      <c r="N1455" s="28">
        <f t="shared" si="97"/>
        <v>46402</v>
      </c>
      <c r="O1455" s="29">
        <f t="shared" si="98"/>
        <v>467</v>
      </c>
    </row>
    <row r="1456" spans="1:15" x14ac:dyDescent="0.45">
      <c r="A1456" s="1" t="s">
        <v>1748</v>
      </c>
      <c r="B1456" s="2">
        <v>45726.620833333334</v>
      </c>
      <c r="C1456" s="3">
        <v>160</v>
      </c>
      <c r="D1456" s="4">
        <v>108.65</v>
      </c>
      <c r="E1456" s="4">
        <v>107.65</v>
      </c>
      <c r="F1456" s="4">
        <v>108.7</v>
      </c>
      <c r="G1456" s="8">
        <v>4.5999999999999996</v>
      </c>
      <c r="H1456" s="9">
        <v>4.4200000000000003E-2</v>
      </c>
      <c r="I1456" s="4">
        <v>4</v>
      </c>
      <c r="J1456" s="4">
        <v>656</v>
      </c>
      <c r="K1456" s="5">
        <v>0.46989999999999998</v>
      </c>
      <c r="L1456" s="26" t="b">
        <f t="shared" si="99"/>
        <v>1</v>
      </c>
      <c r="M1456" s="26" t="str">
        <f t="shared" si="96"/>
        <v>call</v>
      </c>
      <c r="N1456" s="28">
        <f t="shared" si="97"/>
        <v>46402</v>
      </c>
      <c r="O1456" s="29">
        <f t="shared" si="98"/>
        <v>467</v>
      </c>
    </row>
    <row r="1457" spans="1:15" x14ac:dyDescent="0.45">
      <c r="A1457" s="1" t="s">
        <v>1749</v>
      </c>
      <c r="B1457" s="2">
        <v>45698.404861111114</v>
      </c>
      <c r="C1457" s="3">
        <v>165</v>
      </c>
      <c r="D1457" s="4">
        <v>100.8</v>
      </c>
      <c r="E1457" s="4">
        <v>103.45</v>
      </c>
      <c r="F1457" s="4">
        <v>104.4</v>
      </c>
      <c r="G1457" s="6">
        <v>0</v>
      </c>
      <c r="H1457" s="7">
        <v>0</v>
      </c>
      <c r="I1457" s="4">
        <v>1</v>
      </c>
      <c r="J1457" s="4">
        <v>342</v>
      </c>
      <c r="K1457" s="5">
        <v>0.45929999999999999</v>
      </c>
      <c r="L1457" s="26" t="b">
        <f t="shared" si="99"/>
        <v>1</v>
      </c>
      <c r="M1457" s="26" t="str">
        <f t="shared" si="96"/>
        <v>call</v>
      </c>
      <c r="N1457" s="28">
        <f t="shared" si="97"/>
        <v>46402</v>
      </c>
      <c r="O1457" s="29">
        <f t="shared" si="98"/>
        <v>467</v>
      </c>
    </row>
    <row r="1458" spans="1:15" x14ac:dyDescent="0.45">
      <c r="A1458" s="1" t="s">
        <v>1750</v>
      </c>
      <c r="B1458" s="2">
        <v>45726.650694444441</v>
      </c>
      <c r="C1458" s="3">
        <v>170</v>
      </c>
      <c r="D1458" s="4">
        <v>99.6</v>
      </c>
      <c r="E1458" s="4">
        <v>99.1</v>
      </c>
      <c r="F1458" s="4">
        <v>100.1</v>
      </c>
      <c r="G1458" s="4">
        <v>1.1000000000000001</v>
      </c>
      <c r="H1458" s="5">
        <v>1.12E-2</v>
      </c>
      <c r="I1458" s="4">
        <v>686</v>
      </c>
      <c r="J1458" s="4">
        <v>718</v>
      </c>
      <c r="K1458" s="5">
        <v>0.44840000000000002</v>
      </c>
      <c r="L1458" s="26" t="b">
        <f t="shared" si="99"/>
        <v>1</v>
      </c>
      <c r="M1458" s="26" t="str">
        <f t="shared" si="96"/>
        <v>call</v>
      </c>
      <c r="N1458" s="28">
        <f t="shared" si="97"/>
        <v>46402</v>
      </c>
      <c r="O1458" s="29">
        <f t="shared" si="98"/>
        <v>467</v>
      </c>
    </row>
    <row r="1459" spans="1:15" x14ac:dyDescent="0.45">
      <c r="A1459" s="1" t="s">
        <v>1751</v>
      </c>
      <c r="B1459" s="2">
        <v>45667.543055555558</v>
      </c>
      <c r="C1459" s="3">
        <v>175</v>
      </c>
      <c r="D1459" s="4">
        <v>94.2</v>
      </c>
      <c r="E1459" s="4">
        <v>94.75</v>
      </c>
      <c r="F1459" s="4">
        <v>95.8</v>
      </c>
      <c r="G1459" s="8">
        <v>0</v>
      </c>
      <c r="H1459" s="9">
        <v>0</v>
      </c>
      <c r="I1459" s="4">
        <v>7</v>
      </c>
      <c r="J1459" s="10">
        <v>1535</v>
      </c>
      <c r="K1459" s="5">
        <v>0.43709999999999999</v>
      </c>
      <c r="L1459" s="26" t="b">
        <f t="shared" si="99"/>
        <v>1</v>
      </c>
      <c r="M1459" s="26" t="str">
        <f t="shared" si="96"/>
        <v>call</v>
      </c>
      <c r="N1459" s="28">
        <f t="shared" si="97"/>
        <v>46402</v>
      </c>
      <c r="O1459" s="29">
        <f t="shared" si="98"/>
        <v>467</v>
      </c>
    </row>
    <row r="1460" spans="1:15" x14ac:dyDescent="0.45">
      <c r="A1460" s="1" t="s">
        <v>1752</v>
      </c>
      <c r="B1460" s="2">
        <v>45698.658333333333</v>
      </c>
      <c r="C1460" s="3">
        <v>180</v>
      </c>
      <c r="D1460" s="4">
        <v>91.6</v>
      </c>
      <c r="E1460" s="4">
        <v>90.8</v>
      </c>
      <c r="F1460" s="4">
        <v>91.65</v>
      </c>
      <c r="G1460" s="4">
        <v>0.97</v>
      </c>
      <c r="H1460" s="5">
        <v>1.0699999999999999E-2</v>
      </c>
      <c r="I1460" s="4">
        <v>2</v>
      </c>
      <c r="J1460" s="4">
        <v>873</v>
      </c>
      <c r="K1460" s="5">
        <v>0.42770000000000002</v>
      </c>
      <c r="L1460" s="26" t="b">
        <f t="shared" si="99"/>
        <v>1</v>
      </c>
      <c r="M1460" s="26" t="str">
        <f t="shared" si="96"/>
        <v>call</v>
      </c>
      <c r="N1460" s="28">
        <f t="shared" si="97"/>
        <v>46402</v>
      </c>
      <c r="O1460" s="29">
        <f t="shared" si="98"/>
        <v>467</v>
      </c>
    </row>
    <row r="1461" spans="1:15" x14ac:dyDescent="0.45">
      <c r="A1461" s="1" t="s">
        <v>1753</v>
      </c>
      <c r="B1461" s="2">
        <v>45726.642361111109</v>
      </c>
      <c r="C1461" s="3">
        <v>185</v>
      </c>
      <c r="D1461" s="4">
        <v>86.85</v>
      </c>
      <c r="E1461" s="4">
        <v>86.5</v>
      </c>
      <c r="F1461" s="4">
        <v>87.45</v>
      </c>
      <c r="G1461" s="6">
        <v>1.08</v>
      </c>
      <c r="H1461" s="7">
        <v>1.26E-2</v>
      </c>
      <c r="I1461" s="4">
        <v>7</v>
      </c>
      <c r="J1461" s="4">
        <v>694</v>
      </c>
      <c r="K1461" s="5">
        <v>0.41720000000000002</v>
      </c>
      <c r="L1461" s="26" t="b">
        <f t="shared" si="99"/>
        <v>1</v>
      </c>
      <c r="M1461" s="26" t="str">
        <f t="shared" si="96"/>
        <v>call</v>
      </c>
      <c r="N1461" s="28">
        <f t="shared" si="97"/>
        <v>46402</v>
      </c>
      <c r="O1461" s="29">
        <f t="shared" si="98"/>
        <v>467</v>
      </c>
    </row>
    <row r="1462" spans="1:15" x14ac:dyDescent="0.45">
      <c r="A1462" s="1" t="s">
        <v>1754</v>
      </c>
      <c r="B1462" s="2">
        <v>45726.527777777781</v>
      </c>
      <c r="C1462" s="3">
        <v>190</v>
      </c>
      <c r="D1462" s="4">
        <v>82.93</v>
      </c>
      <c r="E1462" s="4">
        <v>82.55</v>
      </c>
      <c r="F1462" s="4">
        <v>83.3</v>
      </c>
      <c r="G1462" s="6">
        <v>0.08</v>
      </c>
      <c r="H1462" s="7">
        <v>1E-3</v>
      </c>
      <c r="I1462" s="4">
        <v>9</v>
      </c>
      <c r="J1462" s="4">
        <v>922</v>
      </c>
      <c r="K1462" s="5">
        <v>0.40699999999999997</v>
      </c>
      <c r="L1462" s="26" t="b">
        <f t="shared" si="99"/>
        <v>1</v>
      </c>
      <c r="M1462" s="26" t="str">
        <f t="shared" si="96"/>
        <v>call</v>
      </c>
      <c r="N1462" s="28">
        <f t="shared" si="97"/>
        <v>46402</v>
      </c>
      <c r="O1462" s="29">
        <f t="shared" si="98"/>
        <v>467</v>
      </c>
    </row>
    <row r="1463" spans="1:15" x14ac:dyDescent="0.45">
      <c r="A1463" s="1" t="s">
        <v>1755</v>
      </c>
      <c r="B1463" s="2">
        <v>45726.607638888891</v>
      </c>
      <c r="C1463" s="3">
        <v>195</v>
      </c>
      <c r="D1463" s="4">
        <v>79.150000000000006</v>
      </c>
      <c r="E1463" s="4">
        <v>78.650000000000006</v>
      </c>
      <c r="F1463" s="4">
        <v>79.2</v>
      </c>
      <c r="G1463" s="6">
        <v>1.85</v>
      </c>
      <c r="H1463" s="7">
        <v>2.3900000000000001E-2</v>
      </c>
      <c r="I1463" s="4">
        <v>7</v>
      </c>
      <c r="J1463" s="4">
        <v>721</v>
      </c>
      <c r="K1463" s="5">
        <v>0.39710000000000001</v>
      </c>
      <c r="L1463" s="26" t="b">
        <f t="shared" si="99"/>
        <v>1</v>
      </c>
      <c r="M1463" s="26" t="str">
        <f t="shared" si="96"/>
        <v>call</v>
      </c>
      <c r="N1463" s="28">
        <f t="shared" si="97"/>
        <v>46402</v>
      </c>
      <c r="O1463" s="29">
        <f t="shared" si="98"/>
        <v>467</v>
      </c>
    </row>
    <row r="1464" spans="1:15" x14ac:dyDescent="0.45">
      <c r="A1464" s="1" t="s">
        <v>1756</v>
      </c>
      <c r="B1464" s="2">
        <v>45726.631944444445</v>
      </c>
      <c r="C1464" s="3">
        <v>200</v>
      </c>
      <c r="D1464" s="4">
        <v>75.02</v>
      </c>
      <c r="E1464" s="4">
        <v>74.7</v>
      </c>
      <c r="F1464" s="4">
        <v>75.2</v>
      </c>
      <c r="G1464" s="6">
        <v>0.11</v>
      </c>
      <c r="H1464" s="7">
        <v>1.5E-3</v>
      </c>
      <c r="I1464" s="4">
        <v>339</v>
      </c>
      <c r="J1464" s="10">
        <v>12755</v>
      </c>
      <c r="K1464" s="5">
        <v>0.38790000000000002</v>
      </c>
      <c r="L1464" s="26" t="b">
        <f t="shared" si="99"/>
        <v>1</v>
      </c>
      <c r="M1464" s="26" t="str">
        <f t="shared" si="96"/>
        <v>call</v>
      </c>
      <c r="N1464" s="28">
        <f t="shared" si="97"/>
        <v>46402</v>
      </c>
      <c r="O1464" s="29">
        <f t="shared" si="98"/>
        <v>467</v>
      </c>
    </row>
    <row r="1465" spans="1:15" x14ac:dyDescent="0.45">
      <c r="A1465" s="1" t="s">
        <v>1757</v>
      </c>
      <c r="B1465" s="2">
        <v>45726.604166666664</v>
      </c>
      <c r="C1465" s="3">
        <v>210</v>
      </c>
      <c r="D1465" s="4">
        <v>67.569999999999993</v>
      </c>
      <c r="E1465" s="4">
        <v>67.05</v>
      </c>
      <c r="F1465" s="4">
        <v>67.349999999999994</v>
      </c>
      <c r="G1465" s="6">
        <v>0.27</v>
      </c>
      <c r="H1465" s="7">
        <v>4.0000000000000001E-3</v>
      </c>
      <c r="I1465" s="4">
        <v>20</v>
      </c>
      <c r="J1465" s="10">
        <v>2427</v>
      </c>
      <c r="K1465" s="5">
        <v>0.36980000000000002</v>
      </c>
      <c r="L1465" s="26" t="b">
        <f t="shared" si="99"/>
        <v>1</v>
      </c>
      <c r="M1465" s="26" t="str">
        <f t="shared" si="96"/>
        <v>call</v>
      </c>
      <c r="N1465" s="28">
        <f t="shared" si="97"/>
        <v>46402</v>
      </c>
      <c r="O1465" s="29">
        <f t="shared" si="98"/>
        <v>467</v>
      </c>
    </row>
    <row r="1466" spans="1:15" x14ac:dyDescent="0.45">
      <c r="A1466" s="1" t="s">
        <v>1758</v>
      </c>
      <c r="B1466" s="2">
        <v>45726.654166666667</v>
      </c>
      <c r="C1466" s="3">
        <v>220</v>
      </c>
      <c r="D1466" s="4">
        <v>60.15</v>
      </c>
      <c r="E1466" s="4">
        <v>59.75</v>
      </c>
      <c r="F1466" s="4">
        <v>60.3</v>
      </c>
      <c r="G1466" s="8">
        <v>0.5</v>
      </c>
      <c r="H1466" s="9">
        <v>8.3999999999999995E-3</v>
      </c>
      <c r="I1466" s="4">
        <v>39</v>
      </c>
      <c r="J1466" s="10">
        <v>7581</v>
      </c>
      <c r="K1466" s="5">
        <v>0.35799999999999998</v>
      </c>
      <c r="L1466" s="26" t="b">
        <f t="shared" si="99"/>
        <v>1</v>
      </c>
      <c r="M1466" s="26" t="str">
        <f t="shared" si="96"/>
        <v>call</v>
      </c>
      <c r="N1466" s="28">
        <f t="shared" si="97"/>
        <v>46402</v>
      </c>
      <c r="O1466" s="29">
        <f t="shared" si="98"/>
        <v>467</v>
      </c>
    </row>
    <row r="1467" spans="1:15" x14ac:dyDescent="0.45">
      <c r="A1467" s="1" t="s">
        <v>1759</v>
      </c>
      <c r="B1467" s="2">
        <v>45726.664583333331</v>
      </c>
      <c r="C1467" s="3">
        <v>230</v>
      </c>
      <c r="D1467" s="4">
        <v>52.8</v>
      </c>
      <c r="E1467" s="4">
        <v>52.75</v>
      </c>
      <c r="F1467" s="4">
        <v>53.05</v>
      </c>
      <c r="G1467" s="6">
        <v>-0.13</v>
      </c>
      <c r="H1467" s="7">
        <v>-2.5000000000000001E-3</v>
      </c>
      <c r="I1467" s="4">
        <v>48</v>
      </c>
      <c r="J1467" s="10">
        <v>9124</v>
      </c>
      <c r="K1467" s="5">
        <v>0.34150000000000003</v>
      </c>
      <c r="L1467" s="26" t="b">
        <f t="shared" si="99"/>
        <v>1</v>
      </c>
      <c r="M1467" s="26" t="str">
        <f t="shared" si="96"/>
        <v>call</v>
      </c>
      <c r="N1467" s="28">
        <f t="shared" si="97"/>
        <v>46402</v>
      </c>
      <c r="O1467" s="29">
        <f t="shared" si="98"/>
        <v>467</v>
      </c>
    </row>
    <row r="1468" spans="1:15" x14ac:dyDescent="0.45">
      <c r="A1468" s="1" t="s">
        <v>1760</v>
      </c>
      <c r="B1468" s="2">
        <v>45726.658333333333</v>
      </c>
      <c r="C1468" s="3">
        <v>240</v>
      </c>
      <c r="D1468" s="4">
        <v>46.5</v>
      </c>
      <c r="E1468" s="4">
        <v>46.25</v>
      </c>
      <c r="F1468" s="4">
        <v>46.55</v>
      </c>
      <c r="G1468" s="8">
        <v>0.2</v>
      </c>
      <c r="H1468" s="9">
        <v>4.3E-3</v>
      </c>
      <c r="I1468" s="4">
        <v>55</v>
      </c>
      <c r="J1468" s="10">
        <v>7693</v>
      </c>
      <c r="K1468" s="5">
        <v>0.32940000000000003</v>
      </c>
      <c r="L1468" s="26" t="b">
        <f t="shared" si="99"/>
        <v>1</v>
      </c>
      <c r="M1468" s="26" t="str">
        <f t="shared" si="96"/>
        <v>call</v>
      </c>
      <c r="N1468" s="28">
        <f t="shared" si="97"/>
        <v>46402</v>
      </c>
      <c r="O1468" s="29">
        <f t="shared" si="98"/>
        <v>467</v>
      </c>
    </row>
    <row r="1469" spans="1:15" x14ac:dyDescent="0.45">
      <c r="A1469" s="1" t="s">
        <v>1761</v>
      </c>
      <c r="B1469" s="2">
        <v>45726.660416666666</v>
      </c>
      <c r="C1469" s="3">
        <v>250</v>
      </c>
      <c r="D1469" s="4">
        <v>40.119999999999997</v>
      </c>
      <c r="E1469" s="4">
        <v>40.15</v>
      </c>
      <c r="F1469" s="4">
        <v>40.450000000000003</v>
      </c>
      <c r="G1469" s="6">
        <v>-0.03</v>
      </c>
      <c r="H1469" s="7">
        <v>-6.9999999999999999E-4</v>
      </c>
      <c r="I1469" s="4">
        <v>351</v>
      </c>
      <c r="J1469" s="10">
        <v>10720</v>
      </c>
      <c r="K1469" s="5">
        <v>0.318</v>
      </c>
      <c r="L1469" s="26" t="b">
        <f t="shared" si="99"/>
        <v>1</v>
      </c>
      <c r="M1469" s="26" t="str">
        <f t="shared" ref="M1469:M1532" si="100">IF(MID(A1469,11,1)="C","call","put")</f>
        <v>call</v>
      </c>
      <c r="N1469" s="28">
        <f t="shared" ref="N1469:N1532" si="101">DATE(MID(A1469,5,2)+2000,MID(A1469,7,2),MID(A1469,9,2))</f>
        <v>46402</v>
      </c>
      <c r="O1469" s="29">
        <f t="shared" si="98"/>
        <v>467</v>
      </c>
    </row>
    <row r="1470" spans="1:15" x14ac:dyDescent="0.45">
      <c r="A1470" s="11" t="s">
        <v>1762</v>
      </c>
      <c r="B1470" s="12">
        <v>45726.659722222219</v>
      </c>
      <c r="C1470" s="13">
        <v>260</v>
      </c>
      <c r="D1470" s="14">
        <v>34.6</v>
      </c>
      <c r="E1470" s="14">
        <v>34.549999999999997</v>
      </c>
      <c r="F1470" s="14">
        <v>34.85</v>
      </c>
      <c r="G1470" s="19">
        <v>0.1</v>
      </c>
      <c r="H1470" s="20">
        <v>2.8999999999999998E-3</v>
      </c>
      <c r="I1470" s="14">
        <v>443</v>
      </c>
      <c r="J1470" s="17">
        <v>11969</v>
      </c>
      <c r="K1470" s="18">
        <v>0.30769999999999997</v>
      </c>
      <c r="L1470" s="26" t="b">
        <f t="shared" si="99"/>
        <v>0</v>
      </c>
      <c r="M1470" s="26" t="str">
        <f t="shared" si="100"/>
        <v>call</v>
      </c>
      <c r="N1470" s="28">
        <f t="shared" si="101"/>
        <v>46402</v>
      </c>
      <c r="O1470" s="29">
        <f t="shared" ref="O1470:O1533" si="102">N1470-DATE(2025,10,5)</f>
        <v>467</v>
      </c>
    </row>
    <row r="1471" spans="1:15" x14ac:dyDescent="0.45">
      <c r="A1471" s="11" t="s">
        <v>1763</v>
      </c>
      <c r="B1471" s="12">
        <v>45726.604861111111</v>
      </c>
      <c r="C1471" s="13">
        <v>270</v>
      </c>
      <c r="D1471" s="14">
        <v>29.8</v>
      </c>
      <c r="E1471" s="14">
        <v>29.45</v>
      </c>
      <c r="F1471" s="14">
        <v>29.75</v>
      </c>
      <c r="G1471" s="15">
        <v>-0.1</v>
      </c>
      <c r="H1471" s="16">
        <v>-3.3E-3</v>
      </c>
      <c r="I1471" s="14">
        <v>282</v>
      </c>
      <c r="J1471" s="17">
        <v>6160</v>
      </c>
      <c r="K1471" s="18">
        <v>0.29830000000000001</v>
      </c>
      <c r="L1471" s="26" t="b">
        <f t="shared" si="99"/>
        <v>0</v>
      </c>
      <c r="M1471" s="26" t="str">
        <f t="shared" si="100"/>
        <v>call</v>
      </c>
      <c r="N1471" s="28">
        <f t="shared" si="101"/>
        <v>46402</v>
      </c>
      <c r="O1471" s="29">
        <f t="shared" si="102"/>
        <v>467</v>
      </c>
    </row>
    <row r="1472" spans="1:15" x14ac:dyDescent="0.45">
      <c r="A1472" s="11" t="s">
        <v>1764</v>
      </c>
      <c r="B1472" s="12">
        <v>45726.660416666666</v>
      </c>
      <c r="C1472" s="13">
        <v>280</v>
      </c>
      <c r="D1472" s="14">
        <v>24.9</v>
      </c>
      <c r="E1472" s="14">
        <v>24.95</v>
      </c>
      <c r="F1472" s="14">
        <v>25.15</v>
      </c>
      <c r="G1472" s="15">
        <v>0.05</v>
      </c>
      <c r="H1472" s="16">
        <v>2E-3</v>
      </c>
      <c r="I1472" s="14">
        <v>513</v>
      </c>
      <c r="J1472" s="17">
        <v>8282</v>
      </c>
      <c r="K1472" s="18">
        <v>0.2898</v>
      </c>
      <c r="L1472" s="26" t="b">
        <f t="shared" ref="L1472:L1535" si="103">IF(M1472="call",C1472&lt;$P$1,C1472&gt;$P$1)</f>
        <v>0</v>
      </c>
      <c r="M1472" s="26" t="str">
        <f t="shared" si="100"/>
        <v>call</v>
      </c>
      <c r="N1472" s="28">
        <f t="shared" si="101"/>
        <v>46402</v>
      </c>
      <c r="O1472" s="29">
        <f t="shared" si="102"/>
        <v>467</v>
      </c>
    </row>
    <row r="1473" spans="1:15" x14ac:dyDescent="0.45">
      <c r="A1473" s="11" t="s">
        <v>1765</v>
      </c>
      <c r="B1473" s="12">
        <v>45726.638194444444</v>
      </c>
      <c r="C1473" s="13">
        <v>290</v>
      </c>
      <c r="D1473" s="14">
        <v>21.1</v>
      </c>
      <c r="E1473" s="14">
        <v>20.9</v>
      </c>
      <c r="F1473" s="14">
        <v>21.15</v>
      </c>
      <c r="G1473" s="15">
        <v>0.09</v>
      </c>
      <c r="H1473" s="16">
        <v>4.3E-3</v>
      </c>
      <c r="I1473" s="14">
        <v>15</v>
      </c>
      <c r="J1473" s="17">
        <v>2167</v>
      </c>
      <c r="K1473" s="18">
        <v>0.2828</v>
      </c>
      <c r="L1473" s="26" t="b">
        <f t="shared" si="103"/>
        <v>0</v>
      </c>
      <c r="M1473" s="26" t="str">
        <f t="shared" si="100"/>
        <v>call</v>
      </c>
      <c r="N1473" s="28">
        <f t="shared" si="101"/>
        <v>46402</v>
      </c>
      <c r="O1473" s="29">
        <f t="shared" si="102"/>
        <v>467</v>
      </c>
    </row>
    <row r="1474" spans="1:15" x14ac:dyDescent="0.45">
      <c r="A1474" s="11" t="s">
        <v>1766</v>
      </c>
      <c r="B1474" s="12">
        <v>45726.65</v>
      </c>
      <c r="C1474" s="13">
        <v>300</v>
      </c>
      <c r="D1474" s="14">
        <v>17.350000000000001</v>
      </c>
      <c r="E1474" s="14">
        <v>17.399999999999999</v>
      </c>
      <c r="F1474" s="14">
        <v>17.649999999999999</v>
      </c>
      <c r="G1474" s="15">
        <v>-0.15</v>
      </c>
      <c r="H1474" s="16">
        <v>-8.6E-3</v>
      </c>
      <c r="I1474" s="14">
        <v>314</v>
      </c>
      <c r="J1474" s="17">
        <v>17498</v>
      </c>
      <c r="K1474" s="18">
        <v>0.27660000000000001</v>
      </c>
      <c r="L1474" s="26" t="b">
        <f t="shared" si="103"/>
        <v>0</v>
      </c>
      <c r="M1474" s="26" t="str">
        <f t="shared" si="100"/>
        <v>call</v>
      </c>
      <c r="N1474" s="28">
        <f t="shared" si="101"/>
        <v>46402</v>
      </c>
      <c r="O1474" s="29">
        <f t="shared" si="102"/>
        <v>467</v>
      </c>
    </row>
    <row r="1475" spans="1:15" x14ac:dyDescent="0.45">
      <c r="A1475" s="11" t="s">
        <v>1767</v>
      </c>
      <c r="B1475" s="12">
        <v>45726.65</v>
      </c>
      <c r="C1475" s="13">
        <v>310</v>
      </c>
      <c r="D1475" s="14">
        <v>14.5</v>
      </c>
      <c r="E1475" s="14">
        <v>14.4</v>
      </c>
      <c r="F1475" s="14">
        <v>14.6</v>
      </c>
      <c r="G1475" s="19">
        <v>-0.1</v>
      </c>
      <c r="H1475" s="20">
        <v>-6.7999999999999996E-3</v>
      </c>
      <c r="I1475" s="14">
        <v>110</v>
      </c>
      <c r="J1475" s="17">
        <v>2027</v>
      </c>
      <c r="K1475" s="18">
        <v>0.27100000000000002</v>
      </c>
      <c r="L1475" s="26" t="b">
        <f t="shared" si="103"/>
        <v>0</v>
      </c>
      <c r="M1475" s="26" t="str">
        <f t="shared" si="100"/>
        <v>call</v>
      </c>
      <c r="N1475" s="28">
        <f t="shared" si="101"/>
        <v>46402</v>
      </c>
      <c r="O1475" s="29">
        <f t="shared" si="102"/>
        <v>467</v>
      </c>
    </row>
    <row r="1476" spans="1:15" x14ac:dyDescent="0.45">
      <c r="A1476" s="11" t="s">
        <v>1768</v>
      </c>
      <c r="B1476" s="12">
        <v>45726.651388888888</v>
      </c>
      <c r="C1476" s="13">
        <v>320</v>
      </c>
      <c r="D1476" s="14">
        <v>12</v>
      </c>
      <c r="E1476" s="14">
        <v>11.9</v>
      </c>
      <c r="F1476" s="14">
        <v>12.1</v>
      </c>
      <c r="G1476" s="19">
        <v>-0.05</v>
      </c>
      <c r="H1476" s="20">
        <v>-4.1000000000000003E-3</v>
      </c>
      <c r="I1476" s="14">
        <v>240</v>
      </c>
      <c r="J1476" s="17">
        <v>7211</v>
      </c>
      <c r="K1476" s="18">
        <v>0.2671</v>
      </c>
      <c r="L1476" s="26" t="b">
        <f t="shared" si="103"/>
        <v>0</v>
      </c>
      <c r="M1476" s="26" t="str">
        <f t="shared" si="100"/>
        <v>call</v>
      </c>
      <c r="N1476" s="28">
        <f t="shared" si="101"/>
        <v>46402</v>
      </c>
      <c r="O1476" s="29">
        <f t="shared" si="102"/>
        <v>467</v>
      </c>
    </row>
    <row r="1477" spans="1:15" x14ac:dyDescent="0.45">
      <c r="A1477" s="11" t="s">
        <v>1769</v>
      </c>
      <c r="B1477" s="12">
        <v>45726.637499999997</v>
      </c>
      <c r="C1477" s="13">
        <v>330</v>
      </c>
      <c r="D1477" s="14">
        <v>9.85</v>
      </c>
      <c r="E1477" s="14">
        <v>9.75</v>
      </c>
      <c r="F1477" s="14">
        <v>9.9499999999999993</v>
      </c>
      <c r="G1477" s="19">
        <v>-0.13</v>
      </c>
      <c r="H1477" s="20">
        <v>-1.2999999999999999E-2</v>
      </c>
      <c r="I1477" s="14">
        <v>35</v>
      </c>
      <c r="J1477" s="17">
        <v>3820</v>
      </c>
      <c r="K1477" s="18">
        <v>0.26340000000000002</v>
      </c>
      <c r="L1477" s="26" t="b">
        <f t="shared" si="103"/>
        <v>0</v>
      </c>
      <c r="M1477" s="26" t="str">
        <f t="shared" si="100"/>
        <v>call</v>
      </c>
      <c r="N1477" s="28">
        <f t="shared" si="101"/>
        <v>46402</v>
      </c>
      <c r="O1477" s="29">
        <f t="shared" si="102"/>
        <v>467</v>
      </c>
    </row>
    <row r="1478" spans="1:15" x14ac:dyDescent="0.45">
      <c r="A1478" s="11" t="s">
        <v>1770</v>
      </c>
      <c r="B1478" s="12">
        <v>45726.615277777775</v>
      </c>
      <c r="C1478" s="13">
        <v>340</v>
      </c>
      <c r="D1478" s="14">
        <v>8.2200000000000006</v>
      </c>
      <c r="E1478" s="14">
        <v>8.0500000000000007</v>
      </c>
      <c r="F1478" s="14">
        <v>8.1999999999999993</v>
      </c>
      <c r="G1478" s="15">
        <v>-0.03</v>
      </c>
      <c r="H1478" s="16">
        <v>-3.5999999999999999E-3</v>
      </c>
      <c r="I1478" s="14">
        <v>4</v>
      </c>
      <c r="J1478" s="17">
        <v>1037</v>
      </c>
      <c r="K1478" s="18">
        <v>0.26079999999999998</v>
      </c>
      <c r="L1478" s="26" t="b">
        <f t="shared" si="103"/>
        <v>0</v>
      </c>
      <c r="M1478" s="26" t="str">
        <f t="shared" si="100"/>
        <v>call</v>
      </c>
      <c r="N1478" s="28">
        <f t="shared" si="101"/>
        <v>46402</v>
      </c>
      <c r="O1478" s="29">
        <f t="shared" si="102"/>
        <v>467</v>
      </c>
    </row>
    <row r="1479" spans="1:15" x14ac:dyDescent="0.45">
      <c r="A1479" s="11" t="s">
        <v>1771</v>
      </c>
      <c r="B1479" s="12">
        <v>45726.625</v>
      </c>
      <c r="C1479" s="13">
        <v>350</v>
      </c>
      <c r="D1479" s="14">
        <v>6.72</v>
      </c>
      <c r="E1479" s="14">
        <v>6.6</v>
      </c>
      <c r="F1479" s="14">
        <v>6.7</v>
      </c>
      <c r="G1479" s="19">
        <v>0</v>
      </c>
      <c r="H1479" s="20">
        <v>0</v>
      </c>
      <c r="I1479" s="14">
        <v>158</v>
      </c>
      <c r="J1479" s="17">
        <v>8005</v>
      </c>
      <c r="K1479" s="18">
        <v>0.25819999999999999</v>
      </c>
      <c r="L1479" s="26" t="b">
        <f t="shared" si="103"/>
        <v>0</v>
      </c>
      <c r="M1479" s="26" t="str">
        <f t="shared" si="100"/>
        <v>call</v>
      </c>
      <c r="N1479" s="28">
        <f t="shared" si="101"/>
        <v>46402</v>
      </c>
      <c r="O1479" s="29">
        <f t="shared" si="102"/>
        <v>467</v>
      </c>
    </row>
    <row r="1480" spans="1:15" x14ac:dyDescent="0.45">
      <c r="A1480" s="11" t="s">
        <v>1772</v>
      </c>
      <c r="B1480" s="12">
        <v>45726.661805555559</v>
      </c>
      <c r="C1480" s="13">
        <v>360</v>
      </c>
      <c r="D1480" s="14">
        <v>5.44</v>
      </c>
      <c r="E1480" s="14">
        <v>5.45</v>
      </c>
      <c r="F1480" s="14">
        <v>5.6</v>
      </c>
      <c r="G1480" s="19">
        <v>-0.21</v>
      </c>
      <c r="H1480" s="20">
        <v>-3.7199999999999997E-2</v>
      </c>
      <c r="I1480" s="14">
        <v>3</v>
      </c>
      <c r="J1480" s="17">
        <v>2324</v>
      </c>
      <c r="K1480" s="18">
        <v>0.25790000000000002</v>
      </c>
      <c r="L1480" s="26" t="b">
        <f t="shared" si="103"/>
        <v>0</v>
      </c>
      <c r="M1480" s="26" t="str">
        <f t="shared" si="100"/>
        <v>call</v>
      </c>
      <c r="N1480" s="28">
        <f t="shared" si="101"/>
        <v>46402</v>
      </c>
      <c r="O1480" s="29">
        <f t="shared" si="102"/>
        <v>467</v>
      </c>
    </row>
    <row r="1481" spans="1:15" x14ac:dyDescent="0.45">
      <c r="A1481" s="11" t="s">
        <v>1773</v>
      </c>
      <c r="B1481" s="12">
        <v>45726.602083333331</v>
      </c>
      <c r="C1481" s="13">
        <v>370</v>
      </c>
      <c r="D1481" s="14">
        <v>4.58</v>
      </c>
      <c r="E1481" s="14">
        <v>4.45</v>
      </c>
      <c r="F1481" s="14">
        <v>4.5999999999999996</v>
      </c>
      <c r="G1481" s="15">
        <v>0.18</v>
      </c>
      <c r="H1481" s="16">
        <v>4.0899999999999999E-2</v>
      </c>
      <c r="I1481" s="14">
        <v>5</v>
      </c>
      <c r="J1481" s="17">
        <v>2673</v>
      </c>
      <c r="K1481" s="18">
        <v>0.25659999999999999</v>
      </c>
      <c r="L1481" s="26" t="b">
        <f t="shared" si="103"/>
        <v>0</v>
      </c>
      <c r="M1481" s="26" t="str">
        <f t="shared" si="100"/>
        <v>call</v>
      </c>
      <c r="N1481" s="28">
        <f t="shared" si="101"/>
        <v>46402</v>
      </c>
      <c r="O1481" s="29">
        <f t="shared" si="102"/>
        <v>467</v>
      </c>
    </row>
    <row r="1482" spans="1:15" x14ac:dyDescent="0.45">
      <c r="A1482" s="11" t="s">
        <v>1774</v>
      </c>
      <c r="B1482" s="12">
        <v>45698.602083333331</v>
      </c>
      <c r="C1482" s="13">
        <v>380</v>
      </c>
      <c r="D1482" s="14">
        <v>3.85</v>
      </c>
      <c r="E1482" s="14">
        <v>3.65</v>
      </c>
      <c r="F1482" s="14">
        <v>3.8</v>
      </c>
      <c r="G1482" s="15">
        <v>0</v>
      </c>
      <c r="H1482" s="16">
        <v>0</v>
      </c>
      <c r="I1482" s="14">
        <v>7</v>
      </c>
      <c r="J1482" s="17">
        <v>1243</v>
      </c>
      <c r="K1482" s="18">
        <v>0.25590000000000002</v>
      </c>
      <c r="L1482" s="26" t="b">
        <f t="shared" si="103"/>
        <v>0</v>
      </c>
      <c r="M1482" s="26" t="str">
        <f t="shared" si="100"/>
        <v>call</v>
      </c>
      <c r="N1482" s="28">
        <f t="shared" si="101"/>
        <v>46402</v>
      </c>
      <c r="O1482" s="29">
        <f t="shared" si="102"/>
        <v>467</v>
      </c>
    </row>
    <row r="1483" spans="1:15" x14ac:dyDescent="0.45">
      <c r="A1483" s="11" t="s">
        <v>1775</v>
      </c>
      <c r="B1483" s="12">
        <v>45726.46597222222</v>
      </c>
      <c r="C1483" s="13">
        <v>390</v>
      </c>
      <c r="D1483" s="14">
        <v>3.25</v>
      </c>
      <c r="E1483" s="14">
        <v>3.05</v>
      </c>
      <c r="F1483" s="14">
        <v>3.15</v>
      </c>
      <c r="G1483" s="14">
        <v>0.15</v>
      </c>
      <c r="H1483" s="18">
        <v>4.8399999999999999E-2</v>
      </c>
      <c r="I1483" s="14">
        <v>101</v>
      </c>
      <c r="J1483" s="17">
        <v>1123</v>
      </c>
      <c r="K1483" s="18">
        <v>0.25559999999999999</v>
      </c>
      <c r="L1483" s="26" t="b">
        <f t="shared" si="103"/>
        <v>0</v>
      </c>
      <c r="M1483" s="26" t="str">
        <f t="shared" si="100"/>
        <v>call</v>
      </c>
      <c r="N1483" s="28">
        <f t="shared" si="101"/>
        <v>46402</v>
      </c>
      <c r="O1483" s="29">
        <f t="shared" si="102"/>
        <v>467</v>
      </c>
    </row>
    <row r="1484" spans="1:15" x14ac:dyDescent="0.45">
      <c r="A1484" s="11" t="s">
        <v>1776</v>
      </c>
      <c r="B1484" s="12">
        <v>45726.593055555553</v>
      </c>
      <c r="C1484" s="13">
        <v>400</v>
      </c>
      <c r="D1484" s="14">
        <v>2.58</v>
      </c>
      <c r="E1484" s="14">
        <v>2.54</v>
      </c>
      <c r="F1484" s="14">
        <v>2.62</v>
      </c>
      <c r="G1484" s="19">
        <v>-0.05</v>
      </c>
      <c r="H1484" s="20">
        <v>-1.9E-2</v>
      </c>
      <c r="I1484" s="14">
        <v>68</v>
      </c>
      <c r="J1484" s="17">
        <v>2504</v>
      </c>
      <c r="K1484" s="18">
        <v>0.25569999999999998</v>
      </c>
      <c r="L1484" s="26" t="b">
        <f t="shared" si="103"/>
        <v>0</v>
      </c>
      <c r="M1484" s="26" t="str">
        <f t="shared" si="100"/>
        <v>call</v>
      </c>
      <c r="N1484" s="28">
        <f t="shared" si="101"/>
        <v>46402</v>
      </c>
      <c r="O1484" s="29">
        <f t="shared" si="102"/>
        <v>467</v>
      </c>
    </row>
    <row r="1485" spans="1:15" x14ac:dyDescent="0.45">
      <c r="A1485" s="11" t="s">
        <v>1777</v>
      </c>
      <c r="B1485" s="12">
        <v>45698.461805555555</v>
      </c>
      <c r="C1485" s="13">
        <v>410</v>
      </c>
      <c r="D1485" s="14">
        <v>2.11</v>
      </c>
      <c r="E1485" s="14">
        <v>2.11</v>
      </c>
      <c r="F1485" s="14">
        <v>2.1800000000000002</v>
      </c>
      <c r="G1485" s="19">
        <v>0</v>
      </c>
      <c r="H1485" s="20">
        <v>0</v>
      </c>
      <c r="I1485" s="14">
        <v>2</v>
      </c>
      <c r="J1485" s="17">
        <v>1214</v>
      </c>
      <c r="K1485" s="18">
        <v>0.25580000000000003</v>
      </c>
      <c r="L1485" s="26" t="b">
        <f t="shared" si="103"/>
        <v>0</v>
      </c>
      <c r="M1485" s="26" t="str">
        <f t="shared" si="100"/>
        <v>call</v>
      </c>
      <c r="N1485" s="28">
        <f t="shared" si="101"/>
        <v>46402</v>
      </c>
      <c r="O1485" s="29">
        <f t="shared" si="102"/>
        <v>467</v>
      </c>
    </row>
    <row r="1486" spans="1:15" x14ac:dyDescent="0.45">
      <c r="A1486" s="11" t="s">
        <v>1778</v>
      </c>
      <c r="B1486" s="12">
        <v>45726.541666666664</v>
      </c>
      <c r="C1486" s="13">
        <v>420</v>
      </c>
      <c r="D1486" s="14">
        <v>1.86</v>
      </c>
      <c r="E1486" s="14">
        <v>1.77</v>
      </c>
      <c r="F1486" s="14">
        <v>1.84</v>
      </c>
      <c r="G1486" s="19">
        <v>-0.03</v>
      </c>
      <c r="H1486" s="20">
        <v>-1.5900000000000001E-2</v>
      </c>
      <c r="I1486" s="14">
        <v>2</v>
      </c>
      <c r="J1486" s="17">
        <v>1820</v>
      </c>
      <c r="K1486" s="18">
        <v>0.25669999999999998</v>
      </c>
      <c r="L1486" s="26" t="b">
        <f t="shared" si="103"/>
        <v>0</v>
      </c>
      <c r="M1486" s="26" t="str">
        <f t="shared" si="100"/>
        <v>call</v>
      </c>
      <c r="N1486" s="28">
        <f t="shared" si="101"/>
        <v>46402</v>
      </c>
      <c r="O1486" s="29">
        <f t="shared" si="102"/>
        <v>467</v>
      </c>
    </row>
    <row r="1487" spans="1:15" x14ac:dyDescent="0.45">
      <c r="A1487" s="11" t="s">
        <v>1779</v>
      </c>
      <c r="B1487" s="12">
        <v>45726.631944444445</v>
      </c>
      <c r="C1487" s="13">
        <v>430</v>
      </c>
      <c r="D1487" s="14">
        <v>1.52</v>
      </c>
      <c r="E1487" s="14">
        <v>1.49</v>
      </c>
      <c r="F1487" s="14">
        <v>1.55</v>
      </c>
      <c r="G1487" s="14">
        <v>-0.04</v>
      </c>
      <c r="H1487" s="18">
        <v>-2.5600000000000001E-2</v>
      </c>
      <c r="I1487" s="14">
        <v>46</v>
      </c>
      <c r="J1487" s="14">
        <v>613</v>
      </c>
      <c r="K1487" s="18">
        <v>0.25740000000000002</v>
      </c>
      <c r="L1487" s="26" t="b">
        <f t="shared" si="103"/>
        <v>0</v>
      </c>
      <c r="M1487" s="26" t="str">
        <f t="shared" si="100"/>
        <v>call</v>
      </c>
      <c r="N1487" s="28">
        <f t="shared" si="101"/>
        <v>46402</v>
      </c>
      <c r="O1487" s="29">
        <f t="shared" si="102"/>
        <v>467</v>
      </c>
    </row>
    <row r="1488" spans="1:15" x14ac:dyDescent="0.45">
      <c r="A1488" s="11" t="s">
        <v>1780</v>
      </c>
      <c r="B1488" s="12">
        <v>45726.584722222222</v>
      </c>
      <c r="C1488" s="13">
        <v>440</v>
      </c>
      <c r="D1488" s="14">
        <v>1.28</v>
      </c>
      <c r="E1488" s="14">
        <v>1.24</v>
      </c>
      <c r="F1488" s="14">
        <v>1.3</v>
      </c>
      <c r="G1488" s="15">
        <v>-0.03</v>
      </c>
      <c r="H1488" s="16">
        <v>-2.29E-2</v>
      </c>
      <c r="I1488" s="14">
        <v>14</v>
      </c>
      <c r="J1488" s="17">
        <v>1461</v>
      </c>
      <c r="K1488" s="18">
        <v>0.25790000000000002</v>
      </c>
      <c r="L1488" s="26" t="b">
        <f t="shared" si="103"/>
        <v>0</v>
      </c>
      <c r="M1488" s="26" t="str">
        <f t="shared" si="100"/>
        <v>call</v>
      </c>
      <c r="N1488" s="28">
        <f t="shared" si="101"/>
        <v>46402</v>
      </c>
      <c r="O1488" s="29">
        <f t="shared" si="102"/>
        <v>467</v>
      </c>
    </row>
    <row r="1489" spans="1:15" x14ac:dyDescent="0.45">
      <c r="A1489" s="11" t="s">
        <v>1781</v>
      </c>
      <c r="B1489" s="12">
        <v>45726.624305555553</v>
      </c>
      <c r="C1489" s="13">
        <v>450</v>
      </c>
      <c r="D1489" s="14">
        <v>1.1100000000000001</v>
      </c>
      <c r="E1489" s="14">
        <v>1.0900000000000001</v>
      </c>
      <c r="F1489" s="14">
        <v>1.1200000000000001</v>
      </c>
      <c r="G1489" s="15">
        <v>-0.04</v>
      </c>
      <c r="H1489" s="16">
        <v>-3.4799999999999998E-2</v>
      </c>
      <c r="I1489" s="14">
        <v>469</v>
      </c>
      <c r="J1489" s="17">
        <v>17034</v>
      </c>
      <c r="K1489" s="18">
        <v>0.25950000000000001</v>
      </c>
      <c r="L1489" s="26" t="b">
        <f t="shared" si="103"/>
        <v>0</v>
      </c>
      <c r="M1489" s="26" t="str">
        <f t="shared" si="100"/>
        <v>call</v>
      </c>
      <c r="N1489" s="28">
        <f t="shared" si="101"/>
        <v>46402</v>
      </c>
      <c r="O1489" s="29">
        <f t="shared" si="102"/>
        <v>467</v>
      </c>
    </row>
    <row r="1490" spans="1:15" x14ac:dyDescent="0.45">
      <c r="A1490" s="11" t="s">
        <v>1782</v>
      </c>
      <c r="B1490" s="14" t="s">
        <v>1783</v>
      </c>
      <c r="C1490" s="13">
        <v>5</v>
      </c>
      <c r="D1490" s="14">
        <v>0.02</v>
      </c>
      <c r="E1490" s="14">
        <v>0</v>
      </c>
      <c r="F1490" s="14">
        <v>0.02</v>
      </c>
      <c r="G1490" s="14">
        <v>0</v>
      </c>
      <c r="H1490" s="18">
        <v>0</v>
      </c>
      <c r="I1490" s="14">
        <v>1</v>
      </c>
      <c r="J1490" s="17">
        <v>1055</v>
      </c>
      <c r="K1490" s="18">
        <v>1.125</v>
      </c>
      <c r="L1490" s="26" t="b">
        <f t="shared" si="103"/>
        <v>0</v>
      </c>
      <c r="M1490" s="26" t="str">
        <f t="shared" si="100"/>
        <v>put</v>
      </c>
      <c r="N1490" s="28">
        <f t="shared" si="101"/>
        <v>46402</v>
      </c>
      <c r="O1490" s="29">
        <f t="shared" si="102"/>
        <v>467</v>
      </c>
    </row>
    <row r="1491" spans="1:15" x14ac:dyDescent="0.45">
      <c r="A1491" s="11" t="s">
        <v>1784</v>
      </c>
      <c r="B1491" s="12">
        <v>45726.621527777781</v>
      </c>
      <c r="C1491" s="13">
        <v>10</v>
      </c>
      <c r="D1491" s="14">
        <v>0.03</v>
      </c>
      <c r="E1491" s="14">
        <v>0</v>
      </c>
      <c r="F1491" s="14">
        <v>0.24</v>
      </c>
      <c r="G1491" s="14">
        <v>0</v>
      </c>
      <c r="H1491" s="18">
        <v>0</v>
      </c>
      <c r="I1491" s="14">
        <v>2</v>
      </c>
      <c r="J1491" s="14">
        <v>141</v>
      </c>
      <c r="K1491" s="18">
        <v>1.1581999999999999</v>
      </c>
      <c r="L1491" s="26" t="b">
        <f t="shared" si="103"/>
        <v>0</v>
      </c>
      <c r="M1491" s="26" t="str">
        <f t="shared" si="100"/>
        <v>put</v>
      </c>
      <c r="N1491" s="28">
        <f t="shared" si="101"/>
        <v>46402</v>
      </c>
      <c r="O1491" s="29">
        <f t="shared" si="102"/>
        <v>467</v>
      </c>
    </row>
    <row r="1492" spans="1:15" x14ac:dyDescent="0.45">
      <c r="A1492" s="11" t="s">
        <v>1785</v>
      </c>
      <c r="B1492" s="12">
        <v>45667.397222222222</v>
      </c>
      <c r="C1492" s="13">
        <v>15</v>
      </c>
      <c r="D1492" s="14">
        <v>0.02</v>
      </c>
      <c r="E1492" s="14">
        <v>0</v>
      </c>
      <c r="F1492" s="14">
        <v>0.04</v>
      </c>
      <c r="G1492" s="14">
        <v>0</v>
      </c>
      <c r="H1492" s="18">
        <v>0</v>
      </c>
      <c r="I1492" s="14">
        <v>1</v>
      </c>
      <c r="J1492" s="14">
        <v>82</v>
      </c>
      <c r="K1492" s="18">
        <v>0.83589999999999998</v>
      </c>
      <c r="L1492" s="26" t="b">
        <f t="shared" si="103"/>
        <v>0</v>
      </c>
      <c r="M1492" s="26" t="str">
        <f t="shared" si="100"/>
        <v>put</v>
      </c>
      <c r="N1492" s="28">
        <f t="shared" si="101"/>
        <v>46402</v>
      </c>
      <c r="O1492" s="29">
        <f t="shared" si="102"/>
        <v>467</v>
      </c>
    </row>
    <row r="1493" spans="1:15" x14ac:dyDescent="0.45">
      <c r="A1493" s="11" t="s">
        <v>1786</v>
      </c>
      <c r="B1493" s="12">
        <v>45698.539583333331</v>
      </c>
      <c r="C1493" s="13">
        <v>20</v>
      </c>
      <c r="D1493" s="14">
        <v>0.02</v>
      </c>
      <c r="E1493" s="14">
        <v>0</v>
      </c>
      <c r="F1493" s="14">
        <v>0.05</v>
      </c>
      <c r="G1493" s="14">
        <v>0</v>
      </c>
      <c r="H1493" s="18">
        <v>0</v>
      </c>
      <c r="I1493" s="14">
        <v>1</v>
      </c>
      <c r="J1493" s="17">
        <v>3437</v>
      </c>
      <c r="K1493" s="18">
        <v>0.76170000000000004</v>
      </c>
      <c r="L1493" s="26" t="b">
        <f t="shared" si="103"/>
        <v>0</v>
      </c>
      <c r="M1493" s="26" t="str">
        <f t="shared" si="100"/>
        <v>put</v>
      </c>
      <c r="N1493" s="28">
        <f t="shared" si="101"/>
        <v>46402</v>
      </c>
      <c r="O1493" s="29">
        <f t="shared" si="102"/>
        <v>467</v>
      </c>
    </row>
    <row r="1494" spans="1:15" x14ac:dyDescent="0.45">
      <c r="A1494" s="11" t="s">
        <v>1787</v>
      </c>
      <c r="B1494" s="12">
        <v>45726.556944444441</v>
      </c>
      <c r="C1494" s="13">
        <v>25</v>
      </c>
      <c r="D1494" s="14">
        <v>0.01</v>
      </c>
      <c r="E1494" s="14">
        <v>0</v>
      </c>
      <c r="F1494" s="14">
        <v>0.05</v>
      </c>
      <c r="G1494" s="14">
        <v>-0.02</v>
      </c>
      <c r="H1494" s="18">
        <v>-0.66669999999999996</v>
      </c>
      <c r="I1494" s="14">
        <v>1</v>
      </c>
      <c r="J1494" s="17">
        <v>2620</v>
      </c>
      <c r="K1494" s="18">
        <v>0.69530000000000003</v>
      </c>
      <c r="L1494" s="26" t="b">
        <f t="shared" si="103"/>
        <v>0</v>
      </c>
      <c r="M1494" s="26" t="str">
        <f t="shared" si="100"/>
        <v>put</v>
      </c>
      <c r="N1494" s="28">
        <f t="shared" si="101"/>
        <v>46402</v>
      </c>
      <c r="O1494" s="29">
        <f t="shared" si="102"/>
        <v>467</v>
      </c>
    </row>
    <row r="1495" spans="1:15" x14ac:dyDescent="0.45">
      <c r="A1495" s="11" t="s">
        <v>1788</v>
      </c>
      <c r="B1495" s="14" t="s">
        <v>1789</v>
      </c>
      <c r="C1495" s="13">
        <v>30</v>
      </c>
      <c r="D1495" s="14">
        <v>0.05</v>
      </c>
      <c r="E1495" s="14">
        <v>0</v>
      </c>
      <c r="F1495" s="14">
        <v>0.06</v>
      </c>
      <c r="G1495" s="15">
        <v>0</v>
      </c>
      <c r="H1495" s="16">
        <v>0</v>
      </c>
      <c r="I1495" s="14">
        <v>1</v>
      </c>
      <c r="J1495" s="14">
        <v>33</v>
      </c>
      <c r="K1495" s="18">
        <v>0.64839999999999998</v>
      </c>
      <c r="L1495" s="26" t="b">
        <f t="shared" si="103"/>
        <v>0</v>
      </c>
      <c r="M1495" s="26" t="str">
        <f t="shared" si="100"/>
        <v>put</v>
      </c>
      <c r="N1495" s="28">
        <f t="shared" si="101"/>
        <v>46402</v>
      </c>
      <c r="O1495" s="29">
        <f t="shared" si="102"/>
        <v>467</v>
      </c>
    </row>
    <row r="1496" spans="1:15" x14ac:dyDescent="0.45">
      <c r="A1496" s="11" t="s">
        <v>1790</v>
      </c>
      <c r="B1496" s="14" t="s">
        <v>1789</v>
      </c>
      <c r="C1496" s="13">
        <v>35</v>
      </c>
      <c r="D1496" s="14">
        <v>0.06</v>
      </c>
      <c r="E1496" s="14">
        <v>0</v>
      </c>
      <c r="F1496" s="14">
        <v>0.18</v>
      </c>
      <c r="G1496" s="14">
        <v>0</v>
      </c>
      <c r="H1496" s="18">
        <v>0</v>
      </c>
      <c r="I1496" s="14">
        <v>1</v>
      </c>
      <c r="J1496" s="14">
        <v>20</v>
      </c>
      <c r="K1496" s="18">
        <v>0.66990000000000005</v>
      </c>
      <c r="L1496" s="26" t="b">
        <f t="shared" si="103"/>
        <v>0</v>
      </c>
      <c r="M1496" s="26" t="str">
        <f t="shared" si="100"/>
        <v>put</v>
      </c>
      <c r="N1496" s="28">
        <f t="shared" si="101"/>
        <v>46402</v>
      </c>
      <c r="O1496" s="29">
        <f t="shared" si="102"/>
        <v>467</v>
      </c>
    </row>
    <row r="1497" spans="1:15" x14ac:dyDescent="0.45">
      <c r="A1497" s="11" t="s">
        <v>1791</v>
      </c>
      <c r="B1497" s="14" t="s">
        <v>1792</v>
      </c>
      <c r="C1497" s="13">
        <v>40</v>
      </c>
      <c r="D1497" s="14">
        <v>0.05</v>
      </c>
      <c r="E1497" s="14">
        <v>0.02</v>
      </c>
      <c r="F1497" s="14">
        <v>0.2</v>
      </c>
      <c r="G1497" s="14">
        <v>0</v>
      </c>
      <c r="H1497" s="18">
        <v>0</v>
      </c>
      <c r="I1497" s="14">
        <v>30</v>
      </c>
      <c r="J1497" s="17">
        <v>1022</v>
      </c>
      <c r="K1497" s="18">
        <v>0.63870000000000005</v>
      </c>
      <c r="L1497" s="26" t="b">
        <f t="shared" si="103"/>
        <v>0</v>
      </c>
      <c r="M1497" s="26" t="str">
        <f t="shared" si="100"/>
        <v>put</v>
      </c>
      <c r="N1497" s="28">
        <f t="shared" si="101"/>
        <v>46402</v>
      </c>
      <c r="O1497" s="29">
        <f t="shared" si="102"/>
        <v>467</v>
      </c>
    </row>
    <row r="1498" spans="1:15" x14ac:dyDescent="0.45">
      <c r="A1498" s="11" t="s">
        <v>1793</v>
      </c>
      <c r="B1498" s="14" t="s">
        <v>1794</v>
      </c>
      <c r="C1498" s="13">
        <v>45</v>
      </c>
      <c r="D1498" s="14">
        <v>0.1</v>
      </c>
      <c r="E1498" s="14">
        <v>0.03</v>
      </c>
      <c r="F1498" s="14">
        <v>0.12</v>
      </c>
      <c r="G1498" s="14">
        <v>0</v>
      </c>
      <c r="H1498" s="18">
        <v>0</v>
      </c>
      <c r="I1498" s="14">
        <v>1</v>
      </c>
      <c r="J1498" s="14">
        <v>85</v>
      </c>
      <c r="K1498" s="18">
        <v>0.57420000000000004</v>
      </c>
      <c r="L1498" s="26" t="b">
        <f t="shared" si="103"/>
        <v>0</v>
      </c>
      <c r="M1498" s="26" t="str">
        <f t="shared" si="100"/>
        <v>put</v>
      </c>
      <c r="N1498" s="28">
        <f t="shared" si="101"/>
        <v>46402</v>
      </c>
      <c r="O1498" s="29">
        <f t="shared" si="102"/>
        <v>467</v>
      </c>
    </row>
    <row r="1499" spans="1:15" x14ac:dyDescent="0.45">
      <c r="A1499" s="11" t="s">
        <v>1795</v>
      </c>
      <c r="B1499" s="14" t="s">
        <v>1796</v>
      </c>
      <c r="C1499" s="13">
        <v>50</v>
      </c>
      <c r="D1499" s="14">
        <v>0.09</v>
      </c>
      <c r="E1499" s="14">
        <v>7.0000000000000007E-2</v>
      </c>
      <c r="F1499" s="14">
        <v>0.14000000000000001</v>
      </c>
      <c r="G1499" s="19">
        <v>0</v>
      </c>
      <c r="H1499" s="20">
        <v>0</v>
      </c>
      <c r="I1499" s="14">
        <v>151</v>
      </c>
      <c r="J1499" s="17">
        <v>2241</v>
      </c>
      <c r="K1499" s="18">
        <v>0.56059999999999999</v>
      </c>
      <c r="L1499" s="26" t="b">
        <f t="shared" si="103"/>
        <v>0</v>
      </c>
      <c r="M1499" s="26" t="str">
        <f t="shared" si="100"/>
        <v>put</v>
      </c>
      <c r="N1499" s="28">
        <f t="shared" si="101"/>
        <v>46402</v>
      </c>
      <c r="O1499" s="29">
        <f t="shared" si="102"/>
        <v>467</v>
      </c>
    </row>
    <row r="1500" spans="1:15" x14ac:dyDescent="0.45">
      <c r="A1500" s="11" t="s">
        <v>1797</v>
      </c>
      <c r="B1500" s="14" t="s">
        <v>1798</v>
      </c>
      <c r="C1500" s="13">
        <v>60</v>
      </c>
      <c r="D1500" s="14">
        <v>0.16</v>
      </c>
      <c r="E1500" s="14">
        <v>0.16</v>
      </c>
      <c r="F1500" s="14">
        <v>0.19</v>
      </c>
      <c r="G1500" s="19">
        <v>0</v>
      </c>
      <c r="H1500" s="20">
        <v>0</v>
      </c>
      <c r="I1500" s="14">
        <v>6</v>
      </c>
      <c r="J1500" s="14">
        <v>571</v>
      </c>
      <c r="K1500" s="18">
        <v>0.52880000000000005</v>
      </c>
      <c r="L1500" s="26" t="b">
        <f t="shared" si="103"/>
        <v>0</v>
      </c>
      <c r="M1500" s="26" t="str">
        <f t="shared" si="100"/>
        <v>put</v>
      </c>
      <c r="N1500" s="28">
        <f t="shared" si="101"/>
        <v>46402</v>
      </c>
      <c r="O1500" s="29">
        <f t="shared" si="102"/>
        <v>467</v>
      </c>
    </row>
    <row r="1501" spans="1:15" x14ac:dyDescent="0.45">
      <c r="A1501" s="11" t="s">
        <v>1799</v>
      </c>
      <c r="B1501" s="14" t="s">
        <v>1800</v>
      </c>
      <c r="C1501" s="13">
        <v>70</v>
      </c>
      <c r="D1501" s="14">
        <v>0.22</v>
      </c>
      <c r="E1501" s="14">
        <v>0.21</v>
      </c>
      <c r="F1501" s="14">
        <v>0.27</v>
      </c>
      <c r="G1501" s="14">
        <v>0</v>
      </c>
      <c r="H1501" s="18">
        <v>0</v>
      </c>
      <c r="I1501" s="14">
        <v>1</v>
      </c>
      <c r="J1501" s="14">
        <v>150</v>
      </c>
      <c r="K1501" s="18">
        <v>0.501</v>
      </c>
      <c r="L1501" s="26" t="b">
        <f t="shared" si="103"/>
        <v>0</v>
      </c>
      <c r="M1501" s="26" t="str">
        <f t="shared" si="100"/>
        <v>put</v>
      </c>
      <c r="N1501" s="28">
        <f t="shared" si="101"/>
        <v>46402</v>
      </c>
      <c r="O1501" s="29">
        <f t="shared" si="102"/>
        <v>467</v>
      </c>
    </row>
    <row r="1502" spans="1:15" x14ac:dyDescent="0.45">
      <c r="A1502" s="11" t="s">
        <v>1801</v>
      </c>
      <c r="B1502" s="14" t="s">
        <v>1802</v>
      </c>
      <c r="C1502" s="13">
        <v>80</v>
      </c>
      <c r="D1502" s="14">
        <v>0.37</v>
      </c>
      <c r="E1502" s="14">
        <v>0.28999999999999998</v>
      </c>
      <c r="F1502" s="14">
        <v>0.36</v>
      </c>
      <c r="G1502" s="15">
        <v>0</v>
      </c>
      <c r="H1502" s="16">
        <v>0</v>
      </c>
      <c r="I1502" s="14">
        <v>16</v>
      </c>
      <c r="J1502" s="14">
        <v>700</v>
      </c>
      <c r="K1502" s="18">
        <v>0.46949999999999997</v>
      </c>
      <c r="L1502" s="26" t="b">
        <f t="shared" si="103"/>
        <v>0</v>
      </c>
      <c r="M1502" s="26" t="str">
        <f t="shared" si="100"/>
        <v>put</v>
      </c>
      <c r="N1502" s="28">
        <f t="shared" si="101"/>
        <v>46402</v>
      </c>
      <c r="O1502" s="29">
        <f t="shared" si="102"/>
        <v>467</v>
      </c>
    </row>
    <row r="1503" spans="1:15" x14ac:dyDescent="0.45">
      <c r="A1503" s="11" t="s">
        <v>1803</v>
      </c>
      <c r="B1503" s="14" t="s">
        <v>1804</v>
      </c>
      <c r="C1503" s="13">
        <v>85</v>
      </c>
      <c r="D1503" s="14">
        <v>0.4</v>
      </c>
      <c r="E1503" s="14">
        <v>0.36</v>
      </c>
      <c r="F1503" s="14">
        <v>0.42</v>
      </c>
      <c r="G1503" s="15">
        <v>0</v>
      </c>
      <c r="H1503" s="16">
        <v>0</v>
      </c>
      <c r="I1503" s="14">
        <v>7</v>
      </c>
      <c r="J1503" s="14">
        <v>162</v>
      </c>
      <c r="K1503" s="18">
        <v>0.45629999999999998</v>
      </c>
      <c r="L1503" s="26" t="b">
        <f t="shared" si="103"/>
        <v>0</v>
      </c>
      <c r="M1503" s="26" t="str">
        <f t="shared" si="100"/>
        <v>put</v>
      </c>
      <c r="N1503" s="28">
        <f t="shared" si="101"/>
        <v>46402</v>
      </c>
      <c r="O1503" s="29">
        <f t="shared" si="102"/>
        <v>467</v>
      </c>
    </row>
    <row r="1504" spans="1:15" x14ac:dyDescent="0.45">
      <c r="A1504" s="11" t="s">
        <v>1805</v>
      </c>
      <c r="B1504" s="14" t="s">
        <v>1806</v>
      </c>
      <c r="C1504" s="13">
        <v>90</v>
      </c>
      <c r="D1504" s="14">
        <v>0.46</v>
      </c>
      <c r="E1504" s="14">
        <v>0.42</v>
      </c>
      <c r="F1504" s="14">
        <v>0.49</v>
      </c>
      <c r="G1504" s="15">
        <v>0</v>
      </c>
      <c r="H1504" s="16">
        <v>0</v>
      </c>
      <c r="I1504" s="14">
        <v>1</v>
      </c>
      <c r="J1504" s="17">
        <v>1582</v>
      </c>
      <c r="K1504" s="18">
        <v>0.44409999999999999</v>
      </c>
      <c r="L1504" s="26" t="b">
        <f t="shared" si="103"/>
        <v>0</v>
      </c>
      <c r="M1504" s="26" t="str">
        <f t="shared" si="100"/>
        <v>put</v>
      </c>
      <c r="N1504" s="28">
        <f t="shared" si="101"/>
        <v>46402</v>
      </c>
      <c r="O1504" s="29">
        <f t="shared" si="102"/>
        <v>467</v>
      </c>
    </row>
    <row r="1505" spans="1:15" x14ac:dyDescent="0.45">
      <c r="A1505" s="11" t="s">
        <v>1807</v>
      </c>
      <c r="B1505" s="14" t="s">
        <v>1808</v>
      </c>
      <c r="C1505" s="13">
        <v>95</v>
      </c>
      <c r="D1505" s="14">
        <v>0.6</v>
      </c>
      <c r="E1505" s="14">
        <v>0.5</v>
      </c>
      <c r="F1505" s="14">
        <v>0.56999999999999995</v>
      </c>
      <c r="G1505" s="14">
        <v>0</v>
      </c>
      <c r="H1505" s="18">
        <v>0</v>
      </c>
      <c r="I1505" s="14">
        <v>1</v>
      </c>
      <c r="J1505" s="14">
        <v>901</v>
      </c>
      <c r="K1505" s="18">
        <v>0.43240000000000001</v>
      </c>
      <c r="L1505" s="26" t="b">
        <f t="shared" si="103"/>
        <v>0</v>
      </c>
      <c r="M1505" s="26" t="str">
        <f t="shared" si="100"/>
        <v>put</v>
      </c>
      <c r="N1505" s="28">
        <f t="shared" si="101"/>
        <v>46402</v>
      </c>
      <c r="O1505" s="29">
        <f t="shared" si="102"/>
        <v>467</v>
      </c>
    </row>
    <row r="1506" spans="1:15" x14ac:dyDescent="0.45">
      <c r="A1506" s="11" t="s">
        <v>1809</v>
      </c>
      <c r="B1506" s="12">
        <v>45726.665972222225</v>
      </c>
      <c r="C1506" s="13">
        <v>100</v>
      </c>
      <c r="D1506" s="14">
        <v>0.62</v>
      </c>
      <c r="E1506" s="14">
        <v>0.59</v>
      </c>
      <c r="F1506" s="14">
        <v>0.67</v>
      </c>
      <c r="G1506" s="15">
        <v>-0.02</v>
      </c>
      <c r="H1506" s="16">
        <v>-3.1199999999999999E-2</v>
      </c>
      <c r="I1506" s="14">
        <v>679</v>
      </c>
      <c r="J1506" s="17">
        <v>3419</v>
      </c>
      <c r="K1506" s="18">
        <v>0.42249999999999999</v>
      </c>
      <c r="L1506" s="26" t="b">
        <f t="shared" si="103"/>
        <v>0</v>
      </c>
      <c r="M1506" s="26" t="str">
        <f t="shared" si="100"/>
        <v>put</v>
      </c>
      <c r="N1506" s="28">
        <f t="shared" si="101"/>
        <v>46402</v>
      </c>
      <c r="O1506" s="29">
        <f t="shared" si="102"/>
        <v>467</v>
      </c>
    </row>
    <row r="1507" spans="1:15" x14ac:dyDescent="0.45">
      <c r="A1507" s="11" t="s">
        <v>1810</v>
      </c>
      <c r="B1507" s="12">
        <v>45698.410416666666</v>
      </c>
      <c r="C1507" s="13">
        <v>105</v>
      </c>
      <c r="D1507" s="14">
        <v>0.74</v>
      </c>
      <c r="E1507" s="14">
        <v>0.68</v>
      </c>
      <c r="F1507" s="14">
        <v>0.75</v>
      </c>
      <c r="G1507" s="19">
        <v>0</v>
      </c>
      <c r="H1507" s="20">
        <v>0</v>
      </c>
      <c r="I1507" s="14">
        <v>2</v>
      </c>
      <c r="J1507" s="17">
        <v>2351</v>
      </c>
      <c r="K1507" s="18">
        <v>0.40989999999999999</v>
      </c>
      <c r="L1507" s="26" t="b">
        <f t="shared" si="103"/>
        <v>0</v>
      </c>
      <c r="M1507" s="26" t="str">
        <f t="shared" si="100"/>
        <v>put</v>
      </c>
      <c r="N1507" s="28">
        <f t="shared" si="101"/>
        <v>46402</v>
      </c>
      <c r="O1507" s="29">
        <f t="shared" si="102"/>
        <v>467</v>
      </c>
    </row>
    <row r="1508" spans="1:15" x14ac:dyDescent="0.45">
      <c r="A1508" s="11" t="s">
        <v>1811</v>
      </c>
      <c r="B1508" s="14" t="s">
        <v>1812</v>
      </c>
      <c r="C1508" s="13">
        <v>110</v>
      </c>
      <c r="D1508" s="14">
        <v>0.83</v>
      </c>
      <c r="E1508" s="14">
        <v>0.79</v>
      </c>
      <c r="F1508" s="14">
        <v>0.87</v>
      </c>
      <c r="G1508" s="15">
        <v>0</v>
      </c>
      <c r="H1508" s="16">
        <v>0</v>
      </c>
      <c r="I1508" s="14">
        <v>2</v>
      </c>
      <c r="J1508" s="14">
        <v>383</v>
      </c>
      <c r="K1508" s="18">
        <v>0.40039999999999998</v>
      </c>
      <c r="L1508" s="26" t="b">
        <f t="shared" si="103"/>
        <v>0</v>
      </c>
      <c r="M1508" s="26" t="str">
        <f t="shared" si="100"/>
        <v>put</v>
      </c>
      <c r="N1508" s="28">
        <f t="shared" si="101"/>
        <v>46402</v>
      </c>
      <c r="O1508" s="29">
        <f t="shared" si="102"/>
        <v>467</v>
      </c>
    </row>
    <row r="1509" spans="1:15" x14ac:dyDescent="0.45">
      <c r="A1509" s="11" t="s">
        <v>1813</v>
      </c>
      <c r="B1509" s="14" t="s">
        <v>1814</v>
      </c>
      <c r="C1509" s="13">
        <v>115</v>
      </c>
      <c r="D1509" s="14">
        <v>0.98</v>
      </c>
      <c r="E1509" s="14">
        <v>0.93</v>
      </c>
      <c r="F1509" s="14">
        <v>1</v>
      </c>
      <c r="G1509" s="15">
        <v>0</v>
      </c>
      <c r="H1509" s="16">
        <v>0</v>
      </c>
      <c r="I1509" s="14">
        <v>1</v>
      </c>
      <c r="J1509" s="14">
        <v>880</v>
      </c>
      <c r="K1509" s="18">
        <v>0.39090000000000003</v>
      </c>
      <c r="L1509" s="26" t="b">
        <f t="shared" si="103"/>
        <v>0</v>
      </c>
      <c r="M1509" s="26" t="str">
        <f t="shared" si="100"/>
        <v>put</v>
      </c>
      <c r="N1509" s="28">
        <f t="shared" si="101"/>
        <v>46402</v>
      </c>
      <c r="O1509" s="29">
        <f t="shared" si="102"/>
        <v>467</v>
      </c>
    </row>
    <row r="1510" spans="1:15" x14ac:dyDescent="0.45">
      <c r="A1510" s="11" t="s">
        <v>1815</v>
      </c>
      <c r="B1510" s="12">
        <v>45667.491666666669</v>
      </c>
      <c r="C1510" s="13">
        <v>120</v>
      </c>
      <c r="D1510" s="14">
        <v>1.1100000000000001</v>
      </c>
      <c r="E1510" s="14">
        <v>1.08</v>
      </c>
      <c r="F1510" s="14">
        <v>1.1399999999999999</v>
      </c>
      <c r="G1510" s="15">
        <v>0</v>
      </c>
      <c r="H1510" s="16">
        <v>0</v>
      </c>
      <c r="I1510" s="14">
        <v>1</v>
      </c>
      <c r="J1510" s="17">
        <v>2516</v>
      </c>
      <c r="K1510" s="18">
        <v>0.38140000000000002</v>
      </c>
      <c r="L1510" s="26" t="b">
        <f t="shared" si="103"/>
        <v>0</v>
      </c>
      <c r="M1510" s="26" t="str">
        <f t="shared" si="100"/>
        <v>put</v>
      </c>
      <c r="N1510" s="28">
        <f t="shared" si="101"/>
        <v>46402</v>
      </c>
      <c r="O1510" s="29">
        <f t="shared" si="102"/>
        <v>467</v>
      </c>
    </row>
    <row r="1511" spans="1:15" x14ac:dyDescent="0.45">
      <c r="A1511" s="11" t="s">
        <v>1816</v>
      </c>
      <c r="B1511" s="12">
        <v>45726.51666666667</v>
      </c>
      <c r="C1511" s="13">
        <v>125</v>
      </c>
      <c r="D1511" s="14">
        <v>1.28</v>
      </c>
      <c r="E1511" s="14">
        <v>1.24</v>
      </c>
      <c r="F1511" s="14">
        <v>1.31</v>
      </c>
      <c r="G1511" s="15">
        <v>-0.01</v>
      </c>
      <c r="H1511" s="16">
        <v>-7.7999999999999996E-3</v>
      </c>
      <c r="I1511" s="14">
        <v>296</v>
      </c>
      <c r="J1511" s="14">
        <v>553</v>
      </c>
      <c r="K1511" s="18">
        <v>0.37290000000000001</v>
      </c>
      <c r="L1511" s="26" t="b">
        <f t="shared" si="103"/>
        <v>0</v>
      </c>
      <c r="M1511" s="26" t="str">
        <f t="shared" si="100"/>
        <v>put</v>
      </c>
      <c r="N1511" s="28">
        <f t="shared" si="101"/>
        <v>46402</v>
      </c>
      <c r="O1511" s="29">
        <f t="shared" si="102"/>
        <v>467</v>
      </c>
    </row>
    <row r="1512" spans="1:15" x14ac:dyDescent="0.45">
      <c r="A1512" s="11" t="s">
        <v>1817</v>
      </c>
      <c r="B1512" s="12">
        <v>45726.635416666664</v>
      </c>
      <c r="C1512" s="13">
        <v>130</v>
      </c>
      <c r="D1512" s="14">
        <v>1.46</v>
      </c>
      <c r="E1512" s="14">
        <v>1.43</v>
      </c>
      <c r="F1512" s="14">
        <v>1.5</v>
      </c>
      <c r="G1512" s="15">
        <v>0</v>
      </c>
      <c r="H1512" s="16">
        <v>0</v>
      </c>
      <c r="I1512" s="14">
        <v>28</v>
      </c>
      <c r="J1512" s="17">
        <v>3752</v>
      </c>
      <c r="K1512" s="18">
        <v>0.36480000000000001</v>
      </c>
      <c r="L1512" s="26" t="b">
        <f t="shared" si="103"/>
        <v>0</v>
      </c>
      <c r="M1512" s="26" t="str">
        <f t="shared" si="100"/>
        <v>put</v>
      </c>
      <c r="N1512" s="28">
        <f t="shared" si="101"/>
        <v>46402</v>
      </c>
      <c r="O1512" s="29">
        <f t="shared" si="102"/>
        <v>467</v>
      </c>
    </row>
    <row r="1513" spans="1:15" x14ac:dyDescent="0.45">
      <c r="A1513" s="11" t="s">
        <v>1818</v>
      </c>
      <c r="B1513" s="12">
        <v>45667.525694444441</v>
      </c>
      <c r="C1513" s="13">
        <v>135</v>
      </c>
      <c r="D1513" s="14">
        <v>1.65</v>
      </c>
      <c r="E1513" s="14">
        <v>1.64</v>
      </c>
      <c r="F1513" s="14">
        <v>1.71</v>
      </c>
      <c r="G1513" s="15">
        <v>0</v>
      </c>
      <c r="H1513" s="16">
        <v>0</v>
      </c>
      <c r="I1513" s="14">
        <v>2</v>
      </c>
      <c r="J1513" s="17">
        <v>1486</v>
      </c>
      <c r="K1513" s="18">
        <v>0.35670000000000002</v>
      </c>
      <c r="L1513" s="26" t="b">
        <f t="shared" si="103"/>
        <v>0</v>
      </c>
      <c r="M1513" s="26" t="str">
        <f t="shared" si="100"/>
        <v>put</v>
      </c>
      <c r="N1513" s="28">
        <f t="shared" si="101"/>
        <v>46402</v>
      </c>
      <c r="O1513" s="29">
        <f t="shared" si="102"/>
        <v>467</v>
      </c>
    </row>
    <row r="1514" spans="1:15" x14ac:dyDescent="0.45">
      <c r="A1514" s="11" t="s">
        <v>1819</v>
      </c>
      <c r="B1514" s="12">
        <v>45726.632638888892</v>
      </c>
      <c r="C1514" s="13">
        <v>140</v>
      </c>
      <c r="D1514" s="14">
        <v>1.89</v>
      </c>
      <c r="E1514" s="14">
        <v>1.88</v>
      </c>
      <c r="F1514" s="14">
        <v>1.95</v>
      </c>
      <c r="G1514" s="15">
        <v>0</v>
      </c>
      <c r="H1514" s="16">
        <v>0</v>
      </c>
      <c r="I1514" s="14">
        <v>1</v>
      </c>
      <c r="J1514" s="17">
        <v>2106</v>
      </c>
      <c r="K1514" s="18">
        <v>0.34910000000000002</v>
      </c>
      <c r="L1514" s="26" t="b">
        <f t="shared" si="103"/>
        <v>0</v>
      </c>
      <c r="M1514" s="26" t="str">
        <f t="shared" si="100"/>
        <v>put</v>
      </c>
      <c r="N1514" s="28">
        <f t="shared" si="101"/>
        <v>46402</v>
      </c>
      <c r="O1514" s="29">
        <f t="shared" si="102"/>
        <v>467</v>
      </c>
    </row>
    <row r="1515" spans="1:15" x14ac:dyDescent="0.45">
      <c r="A1515" s="11" t="s">
        <v>1820</v>
      </c>
      <c r="B1515" s="12">
        <v>45667.623611111114</v>
      </c>
      <c r="C1515" s="13">
        <v>145</v>
      </c>
      <c r="D1515" s="14">
        <v>2.15</v>
      </c>
      <c r="E1515" s="14">
        <v>2.13</v>
      </c>
      <c r="F1515" s="14">
        <v>2.2200000000000002</v>
      </c>
      <c r="G1515" s="15">
        <v>0</v>
      </c>
      <c r="H1515" s="16">
        <v>0</v>
      </c>
      <c r="I1515" s="14">
        <v>5</v>
      </c>
      <c r="J1515" s="17">
        <v>11347</v>
      </c>
      <c r="K1515" s="18">
        <v>0.34189999999999998</v>
      </c>
      <c r="L1515" s="26" t="b">
        <f t="shared" si="103"/>
        <v>0</v>
      </c>
      <c r="M1515" s="26" t="str">
        <f t="shared" si="100"/>
        <v>put</v>
      </c>
      <c r="N1515" s="28">
        <f t="shared" si="101"/>
        <v>46402</v>
      </c>
      <c r="O1515" s="29">
        <f t="shared" si="102"/>
        <v>467</v>
      </c>
    </row>
    <row r="1516" spans="1:15" x14ac:dyDescent="0.45">
      <c r="A1516" s="11" t="s">
        <v>1821</v>
      </c>
      <c r="B1516" s="12">
        <v>45726.664583333331</v>
      </c>
      <c r="C1516" s="13">
        <v>150</v>
      </c>
      <c r="D1516" s="14">
        <v>2.52</v>
      </c>
      <c r="E1516" s="14">
        <v>2.4300000000000002</v>
      </c>
      <c r="F1516" s="14">
        <v>2.52</v>
      </c>
      <c r="G1516" s="15">
        <v>0.01</v>
      </c>
      <c r="H1516" s="16">
        <v>4.0000000000000001E-3</v>
      </c>
      <c r="I1516" s="14">
        <v>273</v>
      </c>
      <c r="J1516" s="17">
        <v>3852</v>
      </c>
      <c r="K1516" s="18">
        <v>0.33479999999999999</v>
      </c>
      <c r="L1516" s="26" t="b">
        <f t="shared" si="103"/>
        <v>0</v>
      </c>
      <c r="M1516" s="26" t="str">
        <f t="shared" si="100"/>
        <v>put</v>
      </c>
      <c r="N1516" s="28">
        <f t="shared" si="101"/>
        <v>46402</v>
      </c>
      <c r="O1516" s="29">
        <f t="shared" si="102"/>
        <v>467</v>
      </c>
    </row>
    <row r="1517" spans="1:15" x14ac:dyDescent="0.45">
      <c r="A1517" s="11" t="s">
        <v>1822</v>
      </c>
      <c r="B1517" s="12">
        <v>45726.659722222219</v>
      </c>
      <c r="C1517" s="13">
        <v>155</v>
      </c>
      <c r="D1517" s="14">
        <v>2.83</v>
      </c>
      <c r="E1517" s="14">
        <v>2.77</v>
      </c>
      <c r="F1517" s="14">
        <v>2.85</v>
      </c>
      <c r="G1517" s="15">
        <v>-0.05</v>
      </c>
      <c r="H1517" s="16">
        <v>-1.7399999999999999E-2</v>
      </c>
      <c r="I1517" s="14">
        <v>188</v>
      </c>
      <c r="J1517" s="14">
        <v>547</v>
      </c>
      <c r="K1517" s="18">
        <v>0.32779999999999998</v>
      </c>
      <c r="L1517" s="26" t="b">
        <f t="shared" si="103"/>
        <v>0</v>
      </c>
      <c r="M1517" s="26" t="str">
        <f t="shared" si="100"/>
        <v>put</v>
      </c>
      <c r="N1517" s="28">
        <f t="shared" si="101"/>
        <v>46402</v>
      </c>
      <c r="O1517" s="29">
        <f t="shared" si="102"/>
        <v>467</v>
      </c>
    </row>
    <row r="1518" spans="1:15" x14ac:dyDescent="0.45">
      <c r="A1518" s="11" t="s">
        <v>1823</v>
      </c>
      <c r="B1518" s="12">
        <v>45726.659722222219</v>
      </c>
      <c r="C1518" s="13">
        <v>160</v>
      </c>
      <c r="D1518" s="14">
        <v>3.2</v>
      </c>
      <c r="E1518" s="14">
        <v>3.1</v>
      </c>
      <c r="F1518" s="14">
        <v>3.25</v>
      </c>
      <c r="G1518" s="15">
        <v>0.01</v>
      </c>
      <c r="H1518" s="16">
        <v>3.0999999999999999E-3</v>
      </c>
      <c r="I1518" s="14">
        <v>17</v>
      </c>
      <c r="J1518" s="17">
        <v>5727</v>
      </c>
      <c r="K1518" s="18">
        <v>0.32179999999999997</v>
      </c>
      <c r="L1518" s="26" t="b">
        <f t="shared" si="103"/>
        <v>0</v>
      </c>
      <c r="M1518" s="26" t="str">
        <f t="shared" si="100"/>
        <v>put</v>
      </c>
      <c r="N1518" s="28">
        <f t="shared" si="101"/>
        <v>46402</v>
      </c>
      <c r="O1518" s="29">
        <f t="shared" si="102"/>
        <v>467</v>
      </c>
    </row>
    <row r="1519" spans="1:15" x14ac:dyDescent="0.45">
      <c r="A1519" s="11" t="s">
        <v>1824</v>
      </c>
      <c r="B1519" s="12">
        <v>45726.659722222219</v>
      </c>
      <c r="C1519" s="13">
        <v>165</v>
      </c>
      <c r="D1519" s="14">
        <v>3.64</v>
      </c>
      <c r="E1519" s="14">
        <v>3.55</v>
      </c>
      <c r="F1519" s="14">
        <v>3.65</v>
      </c>
      <c r="G1519" s="15">
        <v>0.01</v>
      </c>
      <c r="H1519" s="16">
        <v>2.8E-3</v>
      </c>
      <c r="I1519" s="14">
        <v>20</v>
      </c>
      <c r="J1519" s="17">
        <v>3693</v>
      </c>
      <c r="K1519" s="18">
        <v>0.31490000000000001</v>
      </c>
      <c r="L1519" s="26" t="b">
        <f t="shared" si="103"/>
        <v>0</v>
      </c>
      <c r="M1519" s="26" t="str">
        <f t="shared" si="100"/>
        <v>put</v>
      </c>
      <c r="N1519" s="28">
        <f t="shared" si="101"/>
        <v>46402</v>
      </c>
      <c r="O1519" s="29">
        <f t="shared" si="102"/>
        <v>467</v>
      </c>
    </row>
    <row r="1520" spans="1:15" x14ac:dyDescent="0.45">
      <c r="A1520" s="11" t="s">
        <v>1825</v>
      </c>
      <c r="B1520" s="12">
        <v>45726.553472222222</v>
      </c>
      <c r="C1520" s="13">
        <v>170</v>
      </c>
      <c r="D1520" s="14">
        <v>4</v>
      </c>
      <c r="E1520" s="14">
        <v>4</v>
      </c>
      <c r="F1520" s="14">
        <v>4.1500000000000004</v>
      </c>
      <c r="G1520" s="15">
        <v>-0.1</v>
      </c>
      <c r="H1520" s="16">
        <v>-2.4400000000000002E-2</v>
      </c>
      <c r="I1520" s="14">
        <v>51</v>
      </c>
      <c r="J1520" s="17">
        <v>8401</v>
      </c>
      <c r="K1520" s="18">
        <v>0.3095</v>
      </c>
      <c r="L1520" s="26" t="b">
        <f t="shared" si="103"/>
        <v>0</v>
      </c>
      <c r="M1520" s="26" t="str">
        <f t="shared" si="100"/>
        <v>put</v>
      </c>
      <c r="N1520" s="28">
        <f t="shared" si="101"/>
        <v>46402</v>
      </c>
      <c r="O1520" s="29">
        <f t="shared" si="102"/>
        <v>467</v>
      </c>
    </row>
    <row r="1521" spans="1:15" x14ac:dyDescent="0.45">
      <c r="A1521" s="11" t="s">
        <v>1826</v>
      </c>
      <c r="B1521" s="12">
        <v>45726.511805555558</v>
      </c>
      <c r="C1521" s="13">
        <v>175</v>
      </c>
      <c r="D1521" s="14">
        <v>4.4800000000000004</v>
      </c>
      <c r="E1521" s="14">
        <v>4.5</v>
      </c>
      <c r="F1521" s="14">
        <v>4.6500000000000004</v>
      </c>
      <c r="G1521" s="15">
        <v>-0.12</v>
      </c>
      <c r="H1521" s="16">
        <v>-2.6100000000000002E-2</v>
      </c>
      <c r="I1521" s="14">
        <v>17</v>
      </c>
      <c r="J1521" s="17">
        <v>3192</v>
      </c>
      <c r="K1521" s="18">
        <v>0.30299999999999999</v>
      </c>
      <c r="L1521" s="26" t="b">
        <f t="shared" si="103"/>
        <v>0</v>
      </c>
      <c r="M1521" s="26" t="str">
        <f t="shared" si="100"/>
        <v>put</v>
      </c>
      <c r="N1521" s="28">
        <f t="shared" si="101"/>
        <v>46402</v>
      </c>
      <c r="O1521" s="29">
        <f t="shared" si="102"/>
        <v>467</v>
      </c>
    </row>
    <row r="1522" spans="1:15" x14ac:dyDescent="0.45">
      <c r="A1522" s="11" t="s">
        <v>1827</v>
      </c>
      <c r="B1522" s="12">
        <v>45726.572222222225</v>
      </c>
      <c r="C1522" s="13">
        <v>180</v>
      </c>
      <c r="D1522" s="14">
        <v>5.16</v>
      </c>
      <c r="E1522" s="14">
        <v>5.0999999999999996</v>
      </c>
      <c r="F1522" s="14">
        <v>5.2</v>
      </c>
      <c r="G1522" s="15">
        <v>-0.04</v>
      </c>
      <c r="H1522" s="16">
        <v>-7.7000000000000002E-3</v>
      </c>
      <c r="I1522" s="14">
        <v>77</v>
      </c>
      <c r="J1522" s="17">
        <v>8656</v>
      </c>
      <c r="K1522" s="18">
        <v>0.29670000000000002</v>
      </c>
      <c r="L1522" s="26" t="b">
        <f t="shared" si="103"/>
        <v>0</v>
      </c>
      <c r="M1522" s="26" t="str">
        <f t="shared" si="100"/>
        <v>put</v>
      </c>
      <c r="N1522" s="28">
        <f t="shared" si="101"/>
        <v>46402</v>
      </c>
      <c r="O1522" s="29">
        <f t="shared" si="102"/>
        <v>467</v>
      </c>
    </row>
    <row r="1523" spans="1:15" x14ac:dyDescent="0.45">
      <c r="A1523" s="11" t="s">
        <v>1828</v>
      </c>
      <c r="B1523" s="12">
        <v>45698.402083333334</v>
      </c>
      <c r="C1523" s="13">
        <v>185</v>
      </c>
      <c r="D1523" s="14">
        <v>6.01</v>
      </c>
      <c r="E1523" s="14">
        <v>5.7</v>
      </c>
      <c r="F1523" s="14">
        <v>5.85</v>
      </c>
      <c r="G1523" s="15">
        <v>0</v>
      </c>
      <c r="H1523" s="16">
        <v>0</v>
      </c>
      <c r="I1523" s="14">
        <v>1</v>
      </c>
      <c r="J1523" s="17">
        <v>4607</v>
      </c>
      <c r="K1523" s="18">
        <v>0.2913</v>
      </c>
      <c r="L1523" s="26" t="b">
        <f t="shared" si="103"/>
        <v>0</v>
      </c>
      <c r="M1523" s="26" t="str">
        <f t="shared" si="100"/>
        <v>put</v>
      </c>
      <c r="N1523" s="28">
        <f t="shared" si="101"/>
        <v>46402</v>
      </c>
      <c r="O1523" s="29">
        <f t="shared" si="102"/>
        <v>467</v>
      </c>
    </row>
    <row r="1524" spans="1:15" x14ac:dyDescent="0.45">
      <c r="A1524" s="11" t="s">
        <v>1829</v>
      </c>
      <c r="B1524" s="12">
        <v>45726.625694444447</v>
      </c>
      <c r="C1524" s="13">
        <v>190</v>
      </c>
      <c r="D1524" s="14">
        <v>6.46</v>
      </c>
      <c r="E1524" s="14">
        <v>6.4</v>
      </c>
      <c r="F1524" s="14">
        <v>6.55</v>
      </c>
      <c r="G1524" s="15">
        <v>-0.09</v>
      </c>
      <c r="H1524" s="16">
        <v>-1.37E-2</v>
      </c>
      <c r="I1524" s="14">
        <v>25</v>
      </c>
      <c r="J1524" s="17">
        <v>7139</v>
      </c>
      <c r="K1524" s="18">
        <v>0.28570000000000001</v>
      </c>
      <c r="L1524" s="26" t="b">
        <f t="shared" si="103"/>
        <v>0</v>
      </c>
      <c r="M1524" s="26" t="str">
        <f t="shared" si="100"/>
        <v>put</v>
      </c>
      <c r="N1524" s="28">
        <f t="shared" si="101"/>
        <v>46402</v>
      </c>
      <c r="O1524" s="29">
        <f t="shared" si="102"/>
        <v>467</v>
      </c>
    </row>
    <row r="1525" spans="1:15" x14ac:dyDescent="0.45">
      <c r="A1525" s="11" t="s">
        <v>1830</v>
      </c>
      <c r="B1525" s="12">
        <v>45698.601388888892</v>
      </c>
      <c r="C1525" s="13">
        <v>195</v>
      </c>
      <c r="D1525" s="14">
        <v>7.25</v>
      </c>
      <c r="E1525" s="14">
        <v>7.15</v>
      </c>
      <c r="F1525" s="14">
        <v>7.3</v>
      </c>
      <c r="G1525" s="19">
        <v>0</v>
      </c>
      <c r="H1525" s="20">
        <v>0</v>
      </c>
      <c r="I1525" s="14">
        <v>22</v>
      </c>
      <c r="J1525" s="17">
        <v>2318</v>
      </c>
      <c r="K1525" s="18">
        <v>0.28000000000000003</v>
      </c>
      <c r="L1525" s="26" t="b">
        <f t="shared" si="103"/>
        <v>0</v>
      </c>
      <c r="M1525" s="26" t="str">
        <f t="shared" si="100"/>
        <v>put</v>
      </c>
      <c r="N1525" s="28">
        <f t="shared" si="101"/>
        <v>46402</v>
      </c>
      <c r="O1525" s="29">
        <f t="shared" si="102"/>
        <v>467</v>
      </c>
    </row>
    <row r="1526" spans="1:15" x14ac:dyDescent="0.45">
      <c r="A1526" s="11" t="s">
        <v>1831</v>
      </c>
      <c r="B1526" s="12">
        <v>45726.527083333334</v>
      </c>
      <c r="C1526" s="13">
        <v>200</v>
      </c>
      <c r="D1526" s="14">
        <v>8</v>
      </c>
      <c r="E1526" s="14">
        <v>8</v>
      </c>
      <c r="F1526" s="14">
        <v>8.15</v>
      </c>
      <c r="G1526" s="19">
        <v>-0.2</v>
      </c>
      <c r="H1526" s="20">
        <v>-2.4400000000000002E-2</v>
      </c>
      <c r="I1526" s="14">
        <v>45</v>
      </c>
      <c r="J1526" s="17">
        <v>17431</v>
      </c>
      <c r="K1526" s="18">
        <v>0.2747</v>
      </c>
      <c r="L1526" s="26" t="b">
        <f t="shared" si="103"/>
        <v>0</v>
      </c>
      <c r="M1526" s="26" t="str">
        <f t="shared" si="100"/>
        <v>put</v>
      </c>
      <c r="N1526" s="28">
        <f t="shared" si="101"/>
        <v>46402</v>
      </c>
      <c r="O1526" s="29">
        <f t="shared" si="102"/>
        <v>467</v>
      </c>
    </row>
    <row r="1527" spans="1:15" x14ac:dyDescent="0.45">
      <c r="A1527" s="11" t="s">
        <v>1832</v>
      </c>
      <c r="B1527" s="12">
        <v>45726.625</v>
      </c>
      <c r="C1527" s="13">
        <v>210</v>
      </c>
      <c r="D1527" s="14">
        <v>9.9600000000000009</v>
      </c>
      <c r="E1527" s="14">
        <v>9.9</v>
      </c>
      <c r="F1527" s="14">
        <v>10.050000000000001</v>
      </c>
      <c r="G1527" s="15">
        <v>-0.13</v>
      </c>
      <c r="H1527" s="16">
        <v>-1.29E-2</v>
      </c>
      <c r="I1527" s="14">
        <v>14</v>
      </c>
      <c r="J1527" s="17">
        <v>10563</v>
      </c>
      <c r="K1527" s="18">
        <v>0.26390000000000002</v>
      </c>
      <c r="L1527" s="26" t="b">
        <f t="shared" si="103"/>
        <v>0</v>
      </c>
      <c r="M1527" s="26" t="str">
        <f t="shared" si="100"/>
        <v>put</v>
      </c>
      <c r="N1527" s="28">
        <f t="shared" si="101"/>
        <v>46402</v>
      </c>
      <c r="O1527" s="29">
        <f t="shared" si="102"/>
        <v>467</v>
      </c>
    </row>
    <row r="1528" spans="1:15" x14ac:dyDescent="0.45">
      <c r="A1528" s="11" t="s">
        <v>1833</v>
      </c>
      <c r="B1528" s="12">
        <v>45726.658333333333</v>
      </c>
      <c r="C1528" s="13">
        <v>220</v>
      </c>
      <c r="D1528" s="14">
        <v>12.32</v>
      </c>
      <c r="E1528" s="14">
        <v>12.15</v>
      </c>
      <c r="F1528" s="14">
        <v>12.35</v>
      </c>
      <c r="G1528" s="15">
        <v>-0.08</v>
      </c>
      <c r="H1528" s="16">
        <v>-6.4999999999999997E-3</v>
      </c>
      <c r="I1528" s="14">
        <v>536</v>
      </c>
      <c r="J1528" s="17">
        <v>9641</v>
      </c>
      <c r="K1528" s="18">
        <v>0.25380000000000003</v>
      </c>
      <c r="L1528" s="26" t="b">
        <f t="shared" si="103"/>
        <v>0</v>
      </c>
      <c r="M1528" s="26" t="str">
        <f t="shared" si="100"/>
        <v>put</v>
      </c>
      <c r="N1528" s="28">
        <f t="shared" si="101"/>
        <v>46402</v>
      </c>
      <c r="O1528" s="29">
        <f t="shared" si="102"/>
        <v>467</v>
      </c>
    </row>
    <row r="1529" spans="1:15" x14ac:dyDescent="0.45">
      <c r="A1529" s="11" t="s">
        <v>1834</v>
      </c>
      <c r="B1529" s="12">
        <v>45726.587500000001</v>
      </c>
      <c r="C1529" s="13">
        <v>230</v>
      </c>
      <c r="D1529" s="14">
        <v>15.31</v>
      </c>
      <c r="E1529" s="14">
        <v>14.85</v>
      </c>
      <c r="F1529" s="14">
        <v>15.1</v>
      </c>
      <c r="G1529" s="15">
        <v>-0.04</v>
      </c>
      <c r="H1529" s="16">
        <v>-2.5999999999999999E-3</v>
      </c>
      <c r="I1529" s="14">
        <v>12</v>
      </c>
      <c r="J1529" s="17">
        <v>4079</v>
      </c>
      <c r="K1529" s="18">
        <v>0.24440000000000001</v>
      </c>
      <c r="L1529" s="26" t="b">
        <f t="shared" si="103"/>
        <v>0</v>
      </c>
      <c r="M1529" s="26" t="str">
        <f t="shared" si="100"/>
        <v>put</v>
      </c>
      <c r="N1529" s="28">
        <f t="shared" si="101"/>
        <v>46402</v>
      </c>
      <c r="O1529" s="29">
        <f t="shared" si="102"/>
        <v>467</v>
      </c>
    </row>
    <row r="1530" spans="1:15" x14ac:dyDescent="0.45">
      <c r="A1530" s="11" t="s">
        <v>1835</v>
      </c>
      <c r="B1530" s="12">
        <v>45726.624305555553</v>
      </c>
      <c r="C1530" s="13">
        <v>240</v>
      </c>
      <c r="D1530" s="14">
        <v>18.04</v>
      </c>
      <c r="E1530" s="14">
        <v>18</v>
      </c>
      <c r="F1530" s="14">
        <v>18.25</v>
      </c>
      <c r="G1530" s="15">
        <v>-0.41</v>
      </c>
      <c r="H1530" s="16">
        <v>-2.2200000000000001E-2</v>
      </c>
      <c r="I1530" s="14">
        <v>24</v>
      </c>
      <c r="J1530" s="17">
        <v>5447</v>
      </c>
      <c r="K1530" s="18">
        <v>0.2346</v>
      </c>
      <c r="L1530" s="26" t="b">
        <f t="shared" si="103"/>
        <v>0</v>
      </c>
      <c r="M1530" s="26" t="str">
        <f t="shared" si="100"/>
        <v>put</v>
      </c>
      <c r="N1530" s="28">
        <f t="shared" si="101"/>
        <v>46402</v>
      </c>
      <c r="O1530" s="29">
        <f t="shared" si="102"/>
        <v>467</v>
      </c>
    </row>
    <row r="1531" spans="1:15" x14ac:dyDescent="0.45">
      <c r="A1531" s="11" t="s">
        <v>1836</v>
      </c>
      <c r="B1531" s="12">
        <v>45726.629861111112</v>
      </c>
      <c r="C1531" s="13">
        <v>250</v>
      </c>
      <c r="D1531" s="14">
        <v>21.8</v>
      </c>
      <c r="E1531" s="14">
        <v>21.65</v>
      </c>
      <c r="F1531" s="14">
        <v>21.9</v>
      </c>
      <c r="G1531" s="15">
        <v>-0.3</v>
      </c>
      <c r="H1531" s="16">
        <v>-1.3599999999999999E-2</v>
      </c>
      <c r="I1531" s="14">
        <v>277</v>
      </c>
      <c r="J1531" s="17">
        <v>4331</v>
      </c>
      <c r="K1531" s="18">
        <v>0.2248</v>
      </c>
      <c r="L1531" s="26" t="b">
        <f t="shared" si="103"/>
        <v>0</v>
      </c>
      <c r="M1531" s="26" t="str">
        <f t="shared" si="100"/>
        <v>put</v>
      </c>
      <c r="N1531" s="28">
        <f t="shared" si="101"/>
        <v>46402</v>
      </c>
      <c r="O1531" s="29">
        <f t="shared" si="102"/>
        <v>467</v>
      </c>
    </row>
    <row r="1532" spans="1:15" x14ac:dyDescent="0.45">
      <c r="A1532" s="1" t="s">
        <v>1837</v>
      </c>
      <c r="B1532" s="2">
        <v>45726.597222222219</v>
      </c>
      <c r="C1532" s="3">
        <v>260</v>
      </c>
      <c r="D1532" s="4">
        <v>25.95</v>
      </c>
      <c r="E1532" s="4">
        <v>25.8</v>
      </c>
      <c r="F1532" s="4">
        <v>26.1</v>
      </c>
      <c r="G1532" s="6">
        <v>-0.55000000000000004</v>
      </c>
      <c r="H1532" s="7">
        <v>-2.0799999999999999E-2</v>
      </c>
      <c r="I1532" s="4">
        <v>78</v>
      </c>
      <c r="J1532" s="10">
        <v>2431</v>
      </c>
      <c r="K1532" s="5">
        <v>0.2152</v>
      </c>
      <c r="L1532" s="26" t="b">
        <f t="shared" si="103"/>
        <v>1</v>
      </c>
      <c r="M1532" s="26" t="str">
        <f t="shared" si="100"/>
        <v>put</v>
      </c>
      <c r="N1532" s="28">
        <f t="shared" si="101"/>
        <v>46402</v>
      </c>
      <c r="O1532" s="29">
        <f t="shared" si="102"/>
        <v>467</v>
      </c>
    </row>
    <row r="1533" spans="1:15" x14ac:dyDescent="0.45">
      <c r="A1533" s="1" t="s">
        <v>1838</v>
      </c>
      <c r="B1533" s="2">
        <v>45726.611111111109</v>
      </c>
      <c r="C1533" s="3">
        <v>270</v>
      </c>
      <c r="D1533" s="4">
        <v>30.68</v>
      </c>
      <c r="E1533" s="4">
        <v>30.6</v>
      </c>
      <c r="F1533" s="4">
        <v>30.9</v>
      </c>
      <c r="G1533" s="8">
        <v>-0.96</v>
      </c>
      <c r="H1533" s="9">
        <v>-3.0300000000000001E-2</v>
      </c>
      <c r="I1533" s="4">
        <v>61</v>
      </c>
      <c r="J1533" s="10">
        <v>1953</v>
      </c>
      <c r="K1533" s="5">
        <v>0.2056</v>
      </c>
      <c r="L1533" s="26" t="b">
        <f t="shared" si="103"/>
        <v>1</v>
      </c>
      <c r="M1533" s="26" t="str">
        <f t="shared" ref="M1533:M1596" si="104">IF(MID(A1533,11,1)="C","call","put")</f>
        <v>put</v>
      </c>
      <c r="N1533" s="28">
        <f t="shared" ref="N1533:N1596" si="105">DATE(MID(A1533,5,2)+2000,MID(A1533,7,2),MID(A1533,9,2))</f>
        <v>46402</v>
      </c>
      <c r="O1533" s="29">
        <f t="shared" si="102"/>
        <v>467</v>
      </c>
    </row>
    <row r="1534" spans="1:15" x14ac:dyDescent="0.45">
      <c r="A1534" s="1" t="s">
        <v>1839</v>
      </c>
      <c r="B1534" s="2">
        <v>45726.545138888891</v>
      </c>
      <c r="C1534" s="3">
        <v>280</v>
      </c>
      <c r="D1534" s="4">
        <v>36.159999999999997</v>
      </c>
      <c r="E1534" s="4">
        <v>36</v>
      </c>
      <c r="F1534" s="4">
        <v>36.35</v>
      </c>
      <c r="G1534" s="8">
        <v>-0.54</v>
      </c>
      <c r="H1534" s="9">
        <v>-1.47E-2</v>
      </c>
      <c r="I1534" s="4">
        <v>8</v>
      </c>
      <c r="J1534" s="4">
        <v>836</v>
      </c>
      <c r="K1534" s="5">
        <v>0.1963</v>
      </c>
      <c r="L1534" s="26" t="b">
        <f t="shared" si="103"/>
        <v>1</v>
      </c>
      <c r="M1534" s="26" t="str">
        <f t="shared" si="104"/>
        <v>put</v>
      </c>
      <c r="N1534" s="28">
        <f t="shared" si="105"/>
        <v>46402</v>
      </c>
      <c r="O1534" s="29">
        <f t="shared" ref="O1534:O1597" si="106">N1534-DATE(2025,10,5)</f>
        <v>467</v>
      </c>
    </row>
    <row r="1535" spans="1:15" x14ac:dyDescent="0.45">
      <c r="A1535" s="1" t="s">
        <v>1840</v>
      </c>
      <c r="B1535" s="2">
        <v>45726.524305555555</v>
      </c>
      <c r="C1535" s="3">
        <v>290</v>
      </c>
      <c r="D1535" s="4">
        <v>42.91</v>
      </c>
      <c r="E1535" s="4">
        <v>42.05</v>
      </c>
      <c r="F1535" s="4">
        <v>43.9</v>
      </c>
      <c r="G1535" s="8">
        <v>0.31</v>
      </c>
      <c r="H1535" s="9">
        <v>7.3000000000000001E-3</v>
      </c>
      <c r="I1535" s="4">
        <v>16</v>
      </c>
      <c r="J1535" s="4">
        <v>749</v>
      </c>
      <c r="K1535" s="5">
        <v>0.20030000000000001</v>
      </c>
      <c r="L1535" s="26" t="b">
        <f t="shared" si="103"/>
        <v>1</v>
      </c>
      <c r="M1535" s="26" t="str">
        <f t="shared" si="104"/>
        <v>put</v>
      </c>
      <c r="N1535" s="28">
        <f t="shared" si="105"/>
        <v>46402</v>
      </c>
      <c r="O1535" s="29">
        <f t="shared" si="106"/>
        <v>467</v>
      </c>
    </row>
    <row r="1536" spans="1:15" x14ac:dyDescent="0.45">
      <c r="A1536" s="1" t="s">
        <v>1841</v>
      </c>
      <c r="B1536" s="2">
        <v>45726.635416666664</v>
      </c>
      <c r="C1536" s="3">
        <v>300</v>
      </c>
      <c r="D1536" s="4">
        <v>49</v>
      </c>
      <c r="E1536" s="4">
        <v>48.75</v>
      </c>
      <c r="F1536" s="4">
        <v>49.15</v>
      </c>
      <c r="G1536" s="8">
        <v>-0.4</v>
      </c>
      <c r="H1536" s="9">
        <v>-8.0999999999999996E-3</v>
      </c>
      <c r="I1536" s="4">
        <v>43</v>
      </c>
      <c r="J1536" s="4">
        <v>344</v>
      </c>
      <c r="K1536" s="5">
        <v>0.17630000000000001</v>
      </c>
      <c r="L1536" s="26" t="b">
        <f t="shared" ref="L1536:L1599" si="107">IF(M1536="call",C1536&lt;$P$1,C1536&gt;$P$1)</f>
        <v>1</v>
      </c>
      <c r="M1536" s="26" t="str">
        <f t="shared" si="104"/>
        <v>put</v>
      </c>
      <c r="N1536" s="28">
        <f t="shared" si="105"/>
        <v>46402</v>
      </c>
      <c r="O1536" s="29">
        <f t="shared" si="106"/>
        <v>467</v>
      </c>
    </row>
    <row r="1537" spans="1:15" x14ac:dyDescent="0.45">
      <c r="A1537" s="1" t="s">
        <v>1842</v>
      </c>
      <c r="B1537" s="2">
        <v>45726.544444444444</v>
      </c>
      <c r="C1537" s="3">
        <v>310</v>
      </c>
      <c r="D1537" s="4">
        <v>56.21</v>
      </c>
      <c r="E1537" s="4">
        <v>56.15</v>
      </c>
      <c r="F1537" s="4">
        <v>56.55</v>
      </c>
      <c r="G1537" s="8">
        <v>-0.82</v>
      </c>
      <c r="H1537" s="9">
        <v>-1.44E-2</v>
      </c>
      <c r="I1537" s="4">
        <v>16</v>
      </c>
      <c r="J1537" s="4">
        <v>58</v>
      </c>
      <c r="K1537" s="5">
        <v>0.1658</v>
      </c>
      <c r="L1537" s="26" t="b">
        <f t="shared" si="107"/>
        <v>1</v>
      </c>
      <c r="M1537" s="26" t="str">
        <f t="shared" si="104"/>
        <v>put</v>
      </c>
      <c r="N1537" s="28">
        <f t="shared" si="105"/>
        <v>46402</v>
      </c>
      <c r="O1537" s="29">
        <f t="shared" si="106"/>
        <v>467</v>
      </c>
    </row>
    <row r="1538" spans="1:15" x14ac:dyDescent="0.45">
      <c r="A1538" s="1" t="s">
        <v>1843</v>
      </c>
      <c r="B1538" s="2">
        <v>45726.535416666666</v>
      </c>
      <c r="C1538" s="3">
        <v>320</v>
      </c>
      <c r="D1538" s="4">
        <v>63.8</v>
      </c>
      <c r="E1538" s="4">
        <v>64.150000000000006</v>
      </c>
      <c r="F1538" s="4">
        <v>64.599999999999994</v>
      </c>
      <c r="G1538" s="8">
        <v>-1.0900000000000001</v>
      </c>
      <c r="H1538" s="9">
        <v>-1.6799999999999999E-2</v>
      </c>
      <c r="I1538" s="4">
        <v>8</v>
      </c>
      <c r="J1538" s="4">
        <v>69</v>
      </c>
      <c r="K1538" s="5">
        <v>0.15479999999999999</v>
      </c>
      <c r="L1538" s="26" t="b">
        <f t="shared" si="107"/>
        <v>1</v>
      </c>
      <c r="M1538" s="26" t="str">
        <f t="shared" si="104"/>
        <v>put</v>
      </c>
      <c r="N1538" s="28">
        <f t="shared" si="105"/>
        <v>46402</v>
      </c>
      <c r="O1538" s="29">
        <f t="shared" si="106"/>
        <v>467</v>
      </c>
    </row>
    <row r="1539" spans="1:15" x14ac:dyDescent="0.45">
      <c r="A1539" s="1" t="s">
        <v>1844</v>
      </c>
      <c r="B1539" s="2">
        <v>45726.518055555556</v>
      </c>
      <c r="C1539" s="3">
        <v>330</v>
      </c>
      <c r="D1539" s="4">
        <v>72.72</v>
      </c>
      <c r="E1539" s="4">
        <v>72.75</v>
      </c>
      <c r="F1539" s="4">
        <v>73.2</v>
      </c>
      <c r="G1539" s="8">
        <v>-0.98</v>
      </c>
      <c r="H1539" s="9">
        <v>-1.3299999999999999E-2</v>
      </c>
      <c r="I1539" s="4">
        <v>3</v>
      </c>
      <c r="J1539" s="4">
        <v>44</v>
      </c>
      <c r="K1539" s="5">
        <v>0.14149999999999999</v>
      </c>
      <c r="L1539" s="26" t="b">
        <f t="shared" si="107"/>
        <v>1</v>
      </c>
      <c r="M1539" s="26" t="str">
        <f t="shared" si="104"/>
        <v>put</v>
      </c>
      <c r="N1539" s="28">
        <f t="shared" si="105"/>
        <v>46402</v>
      </c>
      <c r="O1539" s="29">
        <f t="shared" si="106"/>
        <v>467</v>
      </c>
    </row>
    <row r="1540" spans="1:15" x14ac:dyDescent="0.45">
      <c r="A1540" s="1" t="s">
        <v>1845</v>
      </c>
      <c r="B1540" s="2">
        <v>45698.550694444442</v>
      </c>
      <c r="C1540" s="3">
        <v>340</v>
      </c>
      <c r="D1540" s="4">
        <v>81.78</v>
      </c>
      <c r="E1540" s="4">
        <v>82</v>
      </c>
      <c r="F1540" s="4">
        <v>82.4</v>
      </c>
      <c r="G1540" s="8">
        <v>-0.76</v>
      </c>
      <c r="H1540" s="9">
        <v>-9.1999999999999998E-3</v>
      </c>
      <c r="I1540" s="4">
        <v>2</v>
      </c>
      <c r="J1540" s="4">
        <v>13</v>
      </c>
      <c r="K1540" s="5">
        <v>0.12770000000000001</v>
      </c>
      <c r="L1540" s="26" t="b">
        <f t="shared" si="107"/>
        <v>1</v>
      </c>
      <c r="M1540" s="26" t="str">
        <f t="shared" si="104"/>
        <v>put</v>
      </c>
      <c r="N1540" s="28">
        <f t="shared" si="105"/>
        <v>46402</v>
      </c>
      <c r="O1540" s="29">
        <f t="shared" si="106"/>
        <v>467</v>
      </c>
    </row>
    <row r="1541" spans="1:15" x14ac:dyDescent="0.45">
      <c r="A1541" s="1" t="s">
        <v>1846</v>
      </c>
      <c r="B1541" s="2">
        <v>45667.488888888889</v>
      </c>
      <c r="C1541" s="3">
        <v>350</v>
      </c>
      <c r="D1541" s="4">
        <v>94.38</v>
      </c>
      <c r="E1541" s="4">
        <v>90.85</v>
      </c>
      <c r="F1541" s="4">
        <v>93.2</v>
      </c>
      <c r="G1541" s="8">
        <v>0</v>
      </c>
      <c r="H1541" s="9">
        <v>0</v>
      </c>
      <c r="I1541" s="4">
        <v>2</v>
      </c>
      <c r="J1541" s="4">
        <v>5</v>
      </c>
      <c r="K1541" s="5">
        <v>0.1666</v>
      </c>
      <c r="L1541" s="26" t="b">
        <f t="shared" si="107"/>
        <v>1</v>
      </c>
      <c r="M1541" s="26" t="str">
        <f t="shared" si="104"/>
        <v>put</v>
      </c>
      <c r="N1541" s="28">
        <f t="shared" si="105"/>
        <v>46402</v>
      </c>
      <c r="O1541" s="29">
        <f t="shared" si="106"/>
        <v>467</v>
      </c>
    </row>
    <row r="1542" spans="1:15" x14ac:dyDescent="0.45">
      <c r="A1542" s="1" t="s">
        <v>1847</v>
      </c>
      <c r="B1542" s="2">
        <v>45809.536111111112</v>
      </c>
      <c r="C1542" s="3">
        <v>370</v>
      </c>
      <c r="D1542" s="4">
        <v>125.25</v>
      </c>
      <c r="E1542" s="4">
        <v>140.65</v>
      </c>
      <c r="F1542" s="4">
        <v>144.35</v>
      </c>
      <c r="G1542" s="8">
        <v>0</v>
      </c>
      <c r="H1542" s="9">
        <v>0</v>
      </c>
      <c r="I1542" s="4">
        <v>0</v>
      </c>
      <c r="J1542" s="4">
        <v>0</v>
      </c>
      <c r="K1542" s="5">
        <v>0.53059999999999996</v>
      </c>
      <c r="L1542" s="26" t="b">
        <f t="shared" si="107"/>
        <v>1</v>
      </c>
      <c r="M1542" s="26" t="str">
        <f t="shared" si="104"/>
        <v>put</v>
      </c>
      <c r="N1542" s="28">
        <f t="shared" si="105"/>
        <v>46402</v>
      </c>
      <c r="O1542" s="29">
        <f t="shared" si="106"/>
        <v>467</v>
      </c>
    </row>
    <row r="1543" spans="1:15" x14ac:dyDescent="0.45">
      <c r="A1543" s="1" t="s">
        <v>1848</v>
      </c>
      <c r="B1543" s="2">
        <v>45877.529166666667</v>
      </c>
      <c r="C1543" s="3">
        <v>390</v>
      </c>
      <c r="D1543" s="4">
        <v>161</v>
      </c>
      <c r="E1543" s="4">
        <v>133.5</v>
      </c>
      <c r="F1543" s="4">
        <v>135.75</v>
      </c>
      <c r="G1543" s="4">
        <v>0</v>
      </c>
      <c r="H1543" s="5">
        <v>0</v>
      </c>
      <c r="I1543" s="4">
        <v>40</v>
      </c>
      <c r="J1543" s="4">
        <v>0</v>
      </c>
      <c r="K1543" s="5">
        <v>0.2681</v>
      </c>
      <c r="L1543" s="26" t="b">
        <f t="shared" si="107"/>
        <v>1</v>
      </c>
      <c r="M1543" s="26" t="str">
        <f t="shared" si="104"/>
        <v>put</v>
      </c>
      <c r="N1543" s="28">
        <f t="shared" si="105"/>
        <v>46402</v>
      </c>
      <c r="O1543" s="29">
        <f t="shared" si="106"/>
        <v>467</v>
      </c>
    </row>
    <row r="1544" spans="1:15" x14ac:dyDescent="0.45">
      <c r="A1544" s="1" t="s">
        <v>1849</v>
      </c>
      <c r="B1544" s="2">
        <v>45877.413194444445</v>
      </c>
      <c r="C1544" s="3">
        <v>400</v>
      </c>
      <c r="D1544" s="4">
        <v>179</v>
      </c>
      <c r="E1544" s="4">
        <v>143.5</v>
      </c>
      <c r="F1544" s="4">
        <v>145.75</v>
      </c>
      <c r="G1544" s="4">
        <v>0</v>
      </c>
      <c r="H1544" s="5">
        <v>0</v>
      </c>
      <c r="I1544" s="4">
        <v>10</v>
      </c>
      <c r="J1544" s="4">
        <v>0</v>
      </c>
      <c r="K1544" s="5">
        <v>0.27950000000000003</v>
      </c>
      <c r="L1544" s="26" t="b">
        <f t="shared" si="107"/>
        <v>1</v>
      </c>
      <c r="M1544" s="26" t="str">
        <f t="shared" si="104"/>
        <v>put</v>
      </c>
      <c r="N1544" s="28">
        <f t="shared" si="105"/>
        <v>46402</v>
      </c>
      <c r="O1544" s="29">
        <f t="shared" si="106"/>
        <v>467</v>
      </c>
    </row>
    <row r="1545" spans="1:15" x14ac:dyDescent="0.45">
      <c r="A1545" s="1" t="s">
        <v>1850</v>
      </c>
      <c r="B1545" s="2">
        <v>45577.395833333336</v>
      </c>
      <c r="C1545" s="3">
        <v>410</v>
      </c>
      <c r="D1545" s="4">
        <v>162.74</v>
      </c>
      <c r="E1545" s="4">
        <v>171.3</v>
      </c>
      <c r="F1545" s="4">
        <v>175.1</v>
      </c>
      <c r="G1545" s="4">
        <v>0</v>
      </c>
      <c r="H1545" s="5">
        <v>0</v>
      </c>
      <c r="I1545" s="4">
        <v>0</v>
      </c>
      <c r="J1545" s="4">
        <v>0</v>
      </c>
      <c r="K1545" s="5">
        <v>0.50319999999999998</v>
      </c>
      <c r="L1545" s="26" t="b">
        <f t="shared" si="107"/>
        <v>1</v>
      </c>
      <c r="M1545" s="26" t="str">
        <f t="shared" si="104"/>
        <v>put</v>
      </c>
      <c r="N1545" s="28">
        <f t="shared" si="105"/>
        <v>46402</v>
      </c>
      <c r="O1545" s="29">
        <f t="shared" si="106"/>
        <v>467</v>
      </c>
    </row>
    <row r="1546" spans="1:15" x14ac:dyDescent="0.45">
      <c r="A1546" s="1" t="s">
        <v>1851</v>
      </c>
      <c r="B1546" s="4" t="s">
        <v>1852</v>
      </c>
      <c r="C1546" s="3">
        <v>420</v>
      </c>
      <c r="D1546" s="4">
        <v>165</v>
      </c>
      <c r="E1546" s="4">
        <v>160.80000000000001</v>
      </c>
      <c r="F1546" s="4">
        <v>163.15</v>
      </c>
      <c r="G1546" s="4">
        <v>0</v>
      </c>
      <c r="H1546" s="5">
        <v>0</v>
      </c>
      <c r="I1546" s="4">
        <v>20</v>
      </c>
      <c r="J1546" s="4">
        <v>0</v>
      </c>
      <c r="K1546" s="5">
        <v>0.23760000000000001</v>
      </c>
      <c r="L1546" s="26" t="b">
        <f t="shared" si="107"/>
        <v>1</v>
      </c>
      <c r="M1546" s="26" t="str">
        <f t="shared" si="104"/>
        <v>put</v>
      </c>
      <c r="N1546" s="28">
        <f t="shared" si="105"/>
        <v>46402</v>
      </c>
      <c r="O1546" s="29">
        <f t="shared" si="106"/>
        <v>467</v>
      </c>
    </row>
    <row r="1547" spans="1:15" x14ac:dyDescent="0.45">
      <c r="A1547" s="1" t="s">
        <v>1853</v>
      </c>
      <c r="B1547" s="4" t="s">
        <v>1854</v>
      </c>
      <c r="C1547" s="3">
        <v>430</v>
      </c>
      <c r="D1547" s="4">
        <v>203.3</v>
      </c>
      <c r="E1547" s="4">
        <v>179.5</v>
      </c>
      <c r="F1547" s="4">
        <v>184.5</v>
      </c>
      <c r="G1547" s="4">
        <v>0</v>
      </c>
      <c r="H1547" s="5">
        <v>0</v>
      </c>
      <c r="I1547" s="4">
        <v>3</v>
      </c>
      <c r="J1547" s="4">
        <v>0</v>
      </c>
      <c r="K1547" s="5">
        <v>0.43590000000000001</v>
      </c>
      <c r="L1547" s="26" t="b">
        <f t="shared" si="107"/>
        <v>1</v>
      </c>
      <c r="M1547" s="26" t="str">
        <f t="shared" si="104"/>
        <v>put</v>
      </c>
      <c r="N1547" s="28">
        <f t="shared" si="105"/>
        <v>46402</v>
      </c>
      <c r="O1547" s="29">
        <f t="shared" si="106"/>
        <v>467</v>
      </c>
    </row>
    <row r="1548" spans="1:15" x14ac:dyDescent="0.45">
      <c r="A1548" s="1" t="s">
        <v>1855</v>
      </c>
      <c r="B1548" s="4" t="s">
        <v>1856</v>
      </c>
      <c r="C1548" s="3">
        <v>440</v>
      </c>
      <c r="D1548" s="4">
        <v>231</v>
      </c>
      <c r="E1548" s="4">
        <v>183.45</v>
      </c>
      <c r="F1548" s="4">
        <v>185.8</v>
      </c>
      <c r="G1548" s="4">
        <v>0</v>
      </c>
      <c r="H1548" s="5">
        <v>0</v>
      </c>
      <c r="I1548" s="4">
        <v>4</v>
      </c>
      <c r="J1548" s="4">
        <v>0</v>
      </c>
      <c r="K1548" s="5">
        <v>0.32219999999999999</v>
      </c>
      <c r="L1548" s="26" t="b">
        <f t="shared" si="107"/>
        <v>1</v>
      </c>
      <c r="M1548" s="26" t="str">
        <f t="shared" si="104"/>
        <v>put</v>
      </c>
      <c r="N1548" s="28">
        <f t="shared" si="105"/>
        <v>46402</v>
      </c>
      <c r="O1548" s="29">
        <f t="shared" si="106"/>
        <v>467</v>
      </c>
    </row>
    <row r="1549" spans="1:15" x14ac:dyDescent="0.45">
      <c r="A1549" s="21" t="s">
        <v>1857</v>
      </c>
      <c r="B1549" s="30">
        <v>45906.518055555556</v>
      </c>
      <c r="C1549" s="23">
        <v>450</v>
      </c>
      <c r="D1549" s="22">
        <v>245.9</v>
      </c>
      <c r="E1549" s="22">
        <v>0</v>
      </c>
      <c r="F1549" s="22">
        <v>0</v>
      </c>
      <c r="G1549" s="22">
        <v>0</v>
      </c>
      <c r="H1549" s="24">
        <v>0</v>
      </c>
      <c r="I1549" s="22">
        <v>1</v>
      </c>
      <c r="J1549" s="22">
        <v>0</v>
      </c>
      <c r="K1549" s="24">
        <v>0</v>
      </c>
      <c r="L1549" s="26" t="b">
        <f t="shared" si="107"/>
        <v>1</v>
      </c>
      <c r="M1549" s="26" t="str">
        <f t="shared" si="104"/>
        <v>put</v>
      </c>
      <c r="N1549" s="28">
        <f t="shared" si="105"/>
        <v>46402</v>
      </c>
      <c r="O1549" s="29">
        <f t="shared" si="106"/>
        <v>467</v>
      </c>
    </row>
    <row r="1550" spans="1:15" x14ac:dyDescent="0.45">
      <c r="A1550" s="1" t="s">
        <v>1858</v>
      </c>
      <c r="B1550" s="4" t="s">
        <v>1859</v>
      </c>
      <c r="C1550" s="3">
        <v>50</v>
      </c>
      <c r="D1550" s="4">
        <v>205.48</v>
      </c>
      <c r="E1550" s="4">
        <v>208.45</v>
      </c>
      <c r="F1550" s="4">
        <v>211.85</v>
      </c>
      <c r="G1550" s="4">
        <v>0</v>
      </c>
      <c r="H1550" s="5">
        <v>0</v>
      </c>
      <c r="I1550" s="4">
        <v>5</v>
      </c>
      <c r="J1550" s="4">
        <v>10</v>
      </c>
      <c r="K1550" s="5">
        <v>0.76219999999999999</v>
      </c>
      <c r="L1550" s="26" t="b">
        <f t="shared" si="107"/>
        <v>1</v>
      </c>
      <c r="M1550" s="26" t="str">
        <f t="shared" si="104"/>
        <v>call</v>
      </c>
      <c r="N1550" s="28">
        <f t="shared" si="105"/>
        <v>46555</v>
      </c>
      <c r="O1550" s="29">
        <f t="shared" si="106"/>
        <v>620</v>
      </c>
    </row>
    <row r="1551" spans="1:15" x14ac:dyDescent="0.45">
      <c r="A1551" s="1" t="s">
        <v>1860</v>
      </c>
      <c r="B1551" s="2">
        <v>45967.572222222225</v>
      </c>
      <c r="C1551" s="3">
        <v>55</v>
      </c>
      <c r="D1551" s="4">
        <v>148.46</v>
      </c>
      <c r="E1551" s="4">
        <v>158.6</v>
      </c>
      <c r="F1551" s="4">
        <v>159.94999999999999</v>
      </c>
      <c r="G1551" s="4">
        <v>0</v>
      </c>
      <c r="H1551" s="5">
        <v>0</v>
      </c>
      <c r="I1551" s="4">
        <v>2</v>
      </c>
      <c r="J1551" s="4">
        <v>4</v>
      </c>
      <c r="K1551" s="5">
        <v>0</v>
      </c>
      <c r="L1551" s="26" t="b">
        <f t="shared" si="107"/>
        <v>1</v>
      </c>
      <c r="M1551" s="26" t="str">
        <f t="shared" si="104"/>
        <v>call</v>
      </c>
      <c r="N1551" s="28">
        <f t="shared" si="105"/>
        <v>46555</v>
      </c>
      <c r="O1551" s="29">
        <f t="shared" si="106"/>
        <v>620</v>
      </c>
    </row>
    <row r="1552" spans="1:15" x14ac:dyDescent="0.45">
      <c r="A1552" s="1" t="s">
        <v>1861</v>
      </c>
      <c r="B1552" s="4" t="s">
        <v>1862</v>
      </c>
      <c r="C1552" s="3">
        <v>60</v>
      </c>
      <c r="D1552" s="4">
        <v>167.54</v>
      </c>
      <c r="E1552" s="4">
        <v>196.7</v>
      </c>
      <c r="F1552" s="4">
        <v>200.35</v>
      </c>
      <c r="G1552" s="4">
        <v>0</v>
      </c>
      <c r="H1552" s="5">
        <v>0</v>
      </c>
      <c r="I1552" s="4">
        <v>1</v>
      </c>
      <c r="J1552" s="4">
        <v>4</v>
      </c>
      <c r="K1552" s="5">
        <v>0.52690000000000003</v>
      </c>
      <c r="L1552" s="26" t="b">
        <f t="shared" si="107"/>
        <v>1</v>
      </c>
      <c r="M1552" s="26" t="str">
        <f t="shared" si="104"/>
        <v>call</v>
      </c>
      <c r="N1552" s="28">
        <f t="shared" si="105"/>
        <v>46555</v>
      </c>
      <c r="O1552" s="29">
        <f t="shared" si="106"/>
        <v>620</v>
      </c>
    </row>
    <row r="1553" spans="1:15" x14ac:dyDescent="0.45">
      <c r="A1553" s="1" t="s">
        <v>1863</v>
      </c>
      <c r="B1553" s="4" t="s">
        <v>1864</v>
      </c>
      <c r="C1553" s="3">
        <v>65</v>
      </c>
      <c r="D1553" s="4">
        <v>193</v>
      </c>
      <c r="E1553" s="4">
        <v>194.5</v>
      </c>
      <c r="F1553" s="4">
        <v>197.9</v>
      </c>
      <c r="G1553" s="6">
        <v>0</v>
      </c>
      <c r="H1553" s="7">
        <v>0</v>
      </c>
      <c r="I1553" s="4">
        <v>1</v>
      </c>
      <c r="J1553" s="4">
        <v>4</v>
      </c>
      <c r="K1553" s="5">
        <v>0.70150000000000001</v>
      </c>
      <c r="L1553" s="26" t="b">
        <f t="shared" si="107"/>
        <v>1</v>
      </c>
      <c r="M1553" s="26" t="str">
        <f t="shared" si="104"/>
        <v>call</v>
      </c>
      <c r="N1553" s="28">
        <f t="shared" si="105"/>
        <v>46555</v>
      </c>
      <c r="O1553" s="29">
        <f t="shared" si="106"/>
        <v>620</v>
      </c>
    </row>
    <row r="1554" spans="1:15" x14ac:dyDescent="0.45">
      <c r="A1554" s="1" t="s">
        <v>1865</v>
      </c>
      <c r="B1554" s="2">
        <v>45904.439583333333</v>
      </c>
      <c r="C1554" s="3">
        <v>70</v>
      </c>
      <c r="D1554" s="4">
        <v>116</v>
      </c>
      <c r="E1554" s="4">
        <v>131.9</v>
      </c>
      <c r="F1554" s="4">
        <v>136.5</v>
      </c>
      <c r="G1554" s="4">
        <v>0</v>
      </c>
      <c r="H1554" s="5">
        <v>0</v>
      </c>
      <c r="I1554" s="4">
        <v>1</v>
      </c>
      <c r="J1554" s="4">
        <v>0</v>
      </c>
      <c r="K1554" s="5">
        <v>0</v>
      </c>
      <c r="L1554" s="26" t="b">
        <f t="shared" si="107"/>
        <v>1</v>
      </c>
      <c r="M1554" s="26" t="str">
        <f t="shared" si="104"/>
        <v>call</v>
      </c>
      <c r="N1554" s="28">
        <f t="shared" si="105"/>
        <v>46555</v>
      </c>
      <c r="O1554" s="29">
        <f t="shared" si="106"/>
        <v>620</v>
      </c>
    </row>
    <row r="1555" spans="1:15" x14ac:dyDescent="0.45">
      <c r="A1555" s="1" t="s">
        <v>1866</v>
      </c>
      <c r="B1555" s="4" t="s">
        <v>1867</v>
      </c>
      <c r="C1555" s="3">
        <v>75</v>
      </c>
      <c r="D1555" s="4">
        <v>143</v>
      </c>
      <c r="E1555" s="4">
        <v>182.8</v>
      </c>
      <c r="F1555" s="4">
        <v>186.5</v>
      </c>
      <c r="G1555" s="4">
        <v>0</v>
      </c>
      <c r="H1555" s="5">
        <v>0</v>
      </c>
      <c r="I1555" s="4">
        <v>1</v>
      </c>
      <c r="J1555" s="4">
        <v>42</v>
      </c>
      <c r="K1555" s="5">
        <v>0.54810000000000003</v>
      </c>
      <c r="L1555" s="26" t="b">
        <f t="shared" si="107"/>
        <v>1</v>
      </c>
      <c r="M1555" s="26" t="str">
        <f t="shared" si="104"/>
        <v>call</v>
      </c>
      <c r="N1555" s="28">
        <f t="shared" si="105"/>
        <v>46555</v>
      </c>
      <c r="O1555" s="29">
        <f t="shared" si="106"/>
        <v>620</v>
      </c>
    </row>
    <row r="1556" spans="1:15" x14ac:dyDescent="0.45">
      <c r="A1556" s="1" t="s">
        <v>1868</v>
      </c>
      <c r="B1556" s="4" t="s">
        <v>1869</v>
      </c>
      <c r="C1556" s="3">
        <v>80</v>
      </c>
      <c r="D1556" s="4">
        <v>180.6</v>
      </c>
      <c r="E1556" s="4">
        <v>180.65</v>
      </c>
      <c r="F1556" s="4">
        <v>184.05</v>
      </c>
      <c r="G1556" s="6">
        <v>0</v>
      </c>
      <c r="H1556" s="7">
        <v>0</v>
      </c>
      <c r="I1556" s="4">
        <v>1</v>
      </c>
      <c r="J1556" s="4">
        <v>231</v>
      </c>
      <c r="K1556" s="5">
        <v>0.64810000000000001</v>
      </c>
      <c r="L1556" s="26" t="b">
        <f t="shared" si="107"/>
        <v>1</v>
      </c>
      <c r="M1556" s="26" t="str">
        <f t="shared" si="104"/>
        <v>call</v>
      </c>
      <c r="N1556" s="28">
        <f t="shared" si="105"/>
        <v>46555</v>
      </c>
      <c r="O1556" s="29">
        <f t="shared" si="106"/>
        <v>620</v>
      </c>
    </row>
    <row r="1557" spans="1:15" x14ac:dyDescent="0.45">
      <c r="A1557" s="1" t="s">
        <v>1870</v>
      </c>
      <c r="B1557" s="2">
        <v>45783.631944444445</v>
      </c>
      <c r="C1557" s="3">
        <v>85</v>
      </c>
      <c r="D1557" s="4">
        <v>124.85</v>
      </c>
      <c r="E1557" s="4">
        <v>132.5</v>
      </c>
      <c r="F1557" s="4">
        <v>136.55000000000001</v>
      </c>
      <c r="G1557" s="4">
        <v>0</v>
      </c>
      <c r="H1557" s="5">
        <v>0</v>
      </c>
      <c r="I1557" s="4">
        <v>1</v>
      </c>
      <c r="J1557" s="4">
        <v>0</v>
      </c>
      <c r="K1557" s="5">
        <v>0</v>
      </c>
      <c r="L1557" s="26" t="b">
        <f t="shared" si="107"/>
        <v>1</v>
      </c>
      <c r="M1557" s="26" t="str">
        <f t="shared" si="104"/>
        <v>call</v>
      </c>
      <c r="N1557" s="28">
        <f t="shared" si="105"/>
        <v>46555</v>
      </c>
      <c r="O1557" s="29">
        <f t="shared" si="106"/>
        <v>620</v>
      </c>
    </row>
    <row r="1558" spans="1:15" x14ac:dyDescent="0.45">
      <c r="A1558" s="1" t="s">
        <v>1871</v>
      </c>
      <c r="B1558" s="4" t="s">
        <v>1872</v>
      </c>
      <c r="C1558" s="3">
        <v>90</v>
      </c>
      <c r="D1558" s="4">
        <v>124.8</v>
      </c>
      <c r="E1558" s="4">
        <v>169.05</v>
      </c>
      <c r="F1558" s="4">
        <v>172.75</v>
      </c>
      <c r="G1558" s="6">
        <v>0</v>
      </c>
      <c r="H1558" s="7">
        <v>0</v>
      </c>
      <c r="I1558" s="4">
        <v>3</v>
      </c>
      <c r="J1558" s="4">
        <v>15</v>
      </c>
      <c r="K1558" s="5">
        <v>0.53280000000000005</v>
      </c>
      <c r="L1558" s="26" t="b">
        <f t="shared" si="107"/>
        <v>1</v>
      </c>
      <c r="M1558" s="26" t="str">
        <f t="shared" si="104"/>
        <v>call</v>
      </c>
      <c r="N1558" s="28">
        <f t="shared" si="105"/>
        <v>46555</v>
      </c>
      <c r="O1558" s="29">
        <f t="shared" si="106"/>
        <v>620</v>
      </c>
    </row>
    <row r="1559" spans="1:15" x14ac:dyDescent="0.45">
      <c r="A1559" s="1" t="s">
        <v>1873</v>
      </c>
      <c r="B1559" s="4" t="s">
        <v>1874</v>
      </c>
      <c r="C1559" s="3">
        <v>95</v>
      </c>
      <c r="D1559" s="4">
        <v>165.15</v>
      </c>
      <c r="E1559" s="4">
        <v>166.95</v>
      </c>
      <c r="F1559" s="4">
        <v>170.25</v>
      </c>
      <c r="G1559" s="6">
        <v>0</v>
      </c>
      <c r="H1559" s="7">
        <v>0</v>
      </c>
      <c r="I1559" s="4">
        <v>1</v>
      </c>
      <c r="J1559" s="4">
        <v>40</v>
      </c>
      <c r="K1559" s="5">
        <v>0.60019999999999996</v>
      </c>
      <c r="L1559" s="26" t="b">
        <f t="shared" si="107"/>
        <v>1</v>
      </c>
      <c r="M1559" s="26" t="str">
        <f t="shared" si="104"/>
        <v>call</v>
      </c>
      <c r="N1559" s="28">
        <f t="shared" si="105"/>
        <v>46555</v>
      </c>
      <c r="O1559" s="29">
        <f t="shared" si="106"/>
        <v>620</v>
      </c>
    </row>
    <row r="1560" spans="1:15" x14ac:dyDescent="0.45">
      <c r="A1560" s="1" t="s">
        <v>1875</v>
      </c>
      <c r="B1560" s="2">
        <v>45667.571527777778</v>
      </c>
      <c r="C1560" s="3">
        <v>100</v>
      </c>
      <c r="D1560" s="4">
        <v>162.63999999999999</v>
      </c>
      <c r="E1560" s="4">
        <v>162.6</v>
      </c>
      <c r="F1560" s="4">
        <v>165.7</v>
      </c>
      <c r="G1560" s="6">
        <v>0</v>
      </c>
      <c r="H1560" s="7">
        <v>0</v>
      </c>
      <c r="I1560" s="4">
        <v>2</v>
      </c>
      <c r="J1560" s="4">
        <v>135</v>
      </c>
      <c r="K1560" s="5">
        <v>0.58830000000000005</v>
      </c>
      <c r="L1560" s="26" t="b">
        <f t="shared" si="107"/>
        <v>1</v>
      </c>
      <c r="M1560" s="26" t="str">
        <f t="shared" si="104"/>
        <v>call</v>
      </c>
      <c r="N1560" s="28">
        <f t="shared" si="105"/>
        <v>46555</v>
      </c>
      <c r="O1560" s="29">
        <f t="shared" si="106"/>
        <v>620</v>
      </c>
    </row>
    <row r="1561" spans="1:15" x14ac:dyDescent="0.45">
      <c r="A1561" s="1" t="s">
        <v>1876</v>
      </c>
      <c r="B1561" s="4" t="s">
        <v>1877</v>
      </c>
      <c r="C1561" s="3">
        <v>105</v>
      </c>
      <c r="D1561" s="4">
        <v>155</v>
      </c>
      <c r="E1561" s="4">
        <v>158.05000000000001</v>
      </c>
      <c r="F1561" s="4">
        <v>161.15</v>
      </c>
      <c r="G1561" s="6">
        <v>0</v>
      </c>
      <c r="H1561" s="7">
        <v>0</v>
      </c>
      <c r="I1561" s="4">
        <v>1</v>
      </c>
      <c r="J1561" s="4">
        <v>30</v>
      </c>
      <c r="K1561" s="5">
        <v>0.57350000000000001</v>
      </c>
      <c r="L1561" s="26" t="b">
        <f t="shared" si="107"/>
        <v>1</v>
      </c>
      <c r="M1561" s="26" t="str">
        <f t="shared" si="104"/>
        <v>call</v>
      </c>
      <c r="N1561" s="28">
        <f t="shared" si="105"/>
        <v>46555</v>
      </c>
      <c r="O1561" s="29">
        <f t="shared" si="106"/>
        <v>620</v>
      </c>
    </row>
    <row r="1562" spans="1:15" x14ac:dyDescent="0.45">
      <c r="A1562" s="1" t="s">
        <v>1878</v>
      </c>
      <c r="B1562" s="2">
        <v>45698.481249999997</v>
      </c>
      <c r="C1562" s="3">
        <v>110</v>
      </c>
      <c r="D1562" s="4">
        <v>154.5</v>
      </c>
      <c r="E1562" s="4">
        <v>153.19999999999999</v>
      </c>
      <c r="F1562" s="4">
        <v>156.65</v>
      </c>
      <c r="G1562" s="6">
        <v>0</v>
      </c>
      <c r="H1562" s="7">
        <v>0</v>
      </c>
      <c r="I1562" s="4">
        <v>5</v>
      </c>
      <c r="J1562" s="4">
        <v>42</v>
      </c>
      <c r="K1562" s="5">
        <v>0.55589999999999995</v>
      </c>
      <c r="L1562" s="26" t="b">
        <f t="shared" si="107"/>
        <v>1</v>
      </c>
      <c r="M1562" s="26" t="str">
        <f t="shared" si="104"/>
        <v>call</v>
      </c>
      <c r="N1562" s="28">
        <f t="shared" si="105"/>
        <v>46555</v>
      </c>
      <c r="O1562" s="29">
        <f t="shared" si="106"/>
        <v>620</v>
      </c>
    </row>
    <row r="1563" spans="1:15" x14ac:dyDescent="0.45">
      <c r="A1563" s="1" t="s">
        <v>1879</v>
      </c>
      <c r="B1563" s="4" t="s">
        <v>1880</v>
      </c>
      <c r="C1563" s="3">
        <v>115</v>
      </c>
      <c r="D1563" s="4">
        <v>148</v>
      </c>
      <c r="E1563" s="4">
        <v>148.69999999999999</v>
      </c>
      <c r="F1563" s="4">
        <v>152.15</v>
      </c>
      <c r="G1563" s="6">
        <v>0</v>
      </c>
      <c r="H1563" s="7">
        <v>0</v>
      </c>
      <c r="I1563" s="4">
        <v>1</v>
      </c>
      <c r="J1563" s="4">
        <v>101</v>
      </c>
      <c r="K1563" s="5">
        <v>0.54269999999999996</v>
      </c>
      <c r="L1563" s="26" t="b">
        <f t="shared" si="107"/>
        <v>1</v>
      </c>
      <c r="M1563" s="26" t="str">
        <f t="shared" si="104"/>
        <v>call</v>
      </c>
      <c r="N1563" s="28">
        <f t="shared" si="105"/>
        <v>46555</v>
      </c>
      <c r="O1563" s="29">
        <f t="shared" si="106"/>
        <v>620</v>
      </c>
    </row>
    <row r="1564" spans="1:15" x14ac:dyDescent="0.45">
      <c r="A1564" s="1" t="s">
        <v>1881</v>
      </c>
      <c r="B1564" s="2">
        <v>45877.572222222225</v>
      </c>
      <c r="C1564" s="3">
        <v>120</v>
      </c>
      <c r="D1564" s="4">
        <v>118.4</v>
      </c>
      <c r="E1564" s="4">
        <v>142.19999999999999</v>
      </c>
      <c r="F1564" s="4">
        <v>145.5</v>
      </c>
      <c r="G1564" s="6">
        <v>0</v>
      </c>
      <c r="H1564" s="7">
        <v>0</v>
      </c>
      <c r="I1564" s="4">
        <v>12</v>
      </c>
      <c r="J1564" s="4">
        <v>73</v>
      </c>
      <c r="K1564" s="5">
        <v>0.52029999999999998</v>
      </c>
      <c r="L1564" s="26" t="b">
        <f t="shared" si="107"/>
        <v>1</v>
      </c>
      <c r="M1564" s="26" t="str">
        <f t="shared" si="104"/>
        <v>call</v>
      </c>
      <c r="N1564" s="28">
        <f t="shared" si="105"/>
        <v>46555</v>
      </c>
      <c r="O1564" s="29">
        <f t="shared" si="106"/>
        <v>620</v>
      </c>
    </row>
    <row r="1565" spans="1:15" x14ac:dyDescent="0.45">
      <c r="A1565" s="1" t="s">
        <v>1882</v>
      </c>
      <c r="B1565" s="4" t="s">
        <v>1883</v>
      </c>
      <c r="C1565" s="3">
        <v>125</v>
      </c>
      <c r="D1565" s="4">
        <v>140.33000000000001</v>
      </c>
      <c r="E1565" s="4">
        <v>140</v>
      </c>
      <c r="F1565" s="4">
        <v>143.19999999999999</v>
      </c>
      <c r="G1565" s="6">
        <v>0</v>
      </c>
      <c r="H1565" s="7">
        <v>0</v>
      </c>
      <c r="I1565" s="4">
        <v>1</v>
      </c>
      <c r="J1565" s="4">
        <v>111</v>
      </c>
      <c r="K1565" s="5">
        <v>0.51990000000000003</v>
      </c>
      <c r="L1565" s="26" t="b">
        <f t="shared" si="107"/>
        <v>1</v>
      </c>
      <c r="M1565" s="26" t="str">
        <f t="shared" si="104"/>
        <v>call</v>
      </c>
      <c r="N1565" s="28">
        <f t="shared" si="105"/>
        <v>46555</v>
      </c>
      <c r="O1565" s="29">
        <f t="shared" si="106"/>
        <v>620</v>
      </c>
    </row>
    <row r="1566" spans="1:15" x14ac:dyDescent="0.45">
      <c r="A1566" s="1" t="s">
        <v>1884</v>
      </c>
      <c r="B1566" s="4" t="s">
        <v>1885</v>
      </c>
      <c r="C1566" s="3">
        <v>130</v>
      </c>
      <c r="D1566" s="4">
        <v>135.57</v>
      </c>
      <c r="E1566" s="4">
        <v>135.80000000000001</v>
      </c>
      <c r="F1566" s="4">
        <v>138.75</v>
      </c>
      <c r="G1566" s="6">
        <v>0</v>
      </c>
      <c r="H1566" s="7">
        <v>0</v>
      </c>
      <c r="I1566" s="4">
        <v>1</v>
      </c>
      <c r="J1566" s="4">
        <v>228</v>
      </c>
      <c r="K1566" s="5">
        <v>0.50990000000000002</v>
      </c>
      <c r="L1566" s="26" t="b">
        <f t="shared" si="107"/>
        <v>1</v>
      </c>
      <c r="M1566" s="26" t="str">
        <f t="shared" si="104"/>
        <v>call</v>
      </c>
      <c r="N1566" s="28">
        <f t="shared" si="105"/>
        <v>46555</v>
      </c>
      <c r="O1566" s="29">
        <f t="shared" si="106"/>
        <v>620</v>
      </c>
    </row>
    <row r="1567" spans="1:15" x14ac:dyDescent="0.45">
      <c r="A1567" s="1" t="s">
        <v>1886</v>
      </c>
      <c r="B1567" s="4" t="s">
        <v>1887</v>
      </c>
      <c r="C1567" s="3">
        <v>135</v>
      </c>
      <c r="D1567" s="4">
        <v>129.05000000000001</v>
      </c>
      <c r="E1567" s="4">
        <v>131.6</v>
      </c>
      <c r="F1567" s="4">
        <v>134.35</v>
      </c>
      <c r="G1567" s="8">
        <v>0</v>
      </c>
      <c r="H1567" s="9">
        <v>0</v>
      </c>
      <c r="I1567" s="4">
        <v>1</v>
      </c>
      <c r="J1567" s="4">
        <v>94</v>
      </c>
      <c r="K1567" s="5">
        <v>0.50009999999999999</v>
      </c>
      <c r="L1567" s="26" t="b">
        <f t="shared" si="107"/>
        <v>1</v>
      </c>
      <c r="M1567" s="26" t="str">
        <f t="shared" si="104"/>
        <v>call</v>
      </c>
      <c r="N1567" s="28">
        <f t="shared" si="105"/>
        <v>46555</v>
      </c>
      <c r="O1567" s="29">
        <f t="shared" si="106"/>
        <v>620</v>
      </c>
    </row>
    <row r="1568" spans="1:15" x14ac:dyDescent="0.45">
      <c r="A1568" s="1" t="s">
        <v>1888</v>
      </c>
      <c r="B1568" s="4" t="s">
        <v>1889</v>
      </c>
      <c r="C1568" s="3">
        <v>140</v>
      </c>
      <c r="D1568" s="4">
        <v>124.98</v>
      </c>
      <c r="E1568" s="4">
        <v>127.1</v>
      </c>
      <c r="F1568" s="4">
        <v>129.94999999999999</v>
      </c>
      <c r="G1568" s="6">
        <v>0</v>
      </c>
      <c r="H1568" s="7">
        <v>0</v>
      </c>
      <c r="I1568" s="4">
        <v>2</v>
      </c>
      <c r="J1568" s="4">
        <v>239</v>
      </c>
      <c r="K1568" s="5">
        <v>0.51100000000000001</v>
      </c>
      <c r="L1568" s="26" t="b">
        <f t="shared" si="107"/>
        <v>1</v>
      </c>
      <c r="M1568" s="26" t="str">
        <f t="shared" si="104"/>
        <v>call</v>
      </c>
      <c r="N1568" s="28">
        <f t="shared" si="105"/>
        <v>46555</v>
      </c>
      <c r="O1568" s="29">
        <f t="shared" si="106"/>
        <v>620</v>
      </c>
    </row>
    <row r="1569" spans="1:15" x14ac:dyDescent="0.45">
      <c r="A1569" s="1" t="s">
        <v>1890</v>
      </c>
      <c r="B1569" s="2">
        <v>45698.619444444441</v>
      </c>
      <c r="C1569" s="3">
        <v>145</v>
      </c>
      <c r="D1569" s="4">
        <v>124.02</v>
      </c>
      <c r="E1569" s="4">
        <v>122.85</v>
      </c>
      <c r="F1569" s="4">
        <v>125.5</v>
      </c>
      <c r="G1569" s="6">
        <v>0</v>
      </c>
      <c r="H1569" s="7">
        <v>0</v>
      </c>
      <c r="I1569" s="4">
        <v>1</v>
      </c>
      <c r="J1569" s="4">
        <v>119</v>
      </c>
      <c r="K1569" s="5">
        <v>0.49730000000000002</v>
      </c>
      <c r="L1569" s="26" t="b">
        <f t="shared" si="107"/>
        <v>1</v>
      </c>
      <c r="M1569" s="26" t="str">
        <f t="shared" si="104"/>
        <v>call</v>
      </c>
      <c r="N1569" s="28">
        <f t="shared" si="105"/>
        <v>46555</v>
      </c>
      <c r="O1569" s="29">
        <f t="shared" si="106"/>
        <v>620</v>
      </c>
    </row>
    <row r="1570" spans="1:15" x14ac:dyDescent="0.45">
      <c r="A1570" s="1" t="s">
        <v>1891</v>
      </c>
      <c r="B1570" s="2">
        <v>45726.651388888888</v>
      </c>
      <c r="C1570" s="3">
        <v>150</v>
      </c>
      <c r="D1570" s="4">
        <v>119.69</v>
      </c>
      <c r="E1570" s="4">
        <v>118.15</v>
      </c>
      <c r="F1570" s="4">
        <v>121.35</v>
      </c>
      <c r="G1570" s="8">
        <v>2.21</v>
      </c>
      <c r="H1570" s="9">
        <v>1.8800000000000001E-2</v>
      </c>
      <c r="I1570" s="4">
        <v>1</v>
      </c>
      <c r="J1570" s="4">
        <v>191</v>
      </c>
      <c r="K1570" s="5">
        <v>0.48809999999999998</v>
      </c>
      <c r="L1570" s="26" t="b">
        <f t="shared" si="107"/>
        <v>1</v>
      </c>
      <c r="M1570" s="26" t="str">
        <f t="shared" si="104"/>
        <v>call</v>
      </c>
      <c r="N1570" s="28">
        <f t="shared" si="105"/>
        <v>46555</v>
      </c>
      <c r="O1570" s="29">
        <f t="shared" si="106"/>
        <v>620</v>
      </c>
    </row>
    <row r="1571" spans="1:15" x14ac:dyDescent="0.45">
      <c r="A1571" s="1" t="s">
        <v>1892</v>
      </c>
      <c r="B1571" s="2">
        <v>45726.443749999999</v>
      </c>
      <c r="C1571" s="3">
        <v>155</v>
      </c>
      <c r="D1571" s="4">
        <v>115.69</v>
      </c>
      <c r="E1571" s="4">
        <v>115.1</v>
      </c>
      <c r="F1571" s="4">
        <v>116.05</v>
      </c>
      <c r="G1571" s="8">
        <v>3.83</v>
      </c>
      <c r="H1571" s="9">
        <v>3.4200000000000001E-2</v>
      </c>
      <c r="I1571" s="4">
        <v>1</v>
      </c>
      <c r="J1571" s="4">
        <v>152</v>
      </c>
      <c r="K1571" s="5">
        <v>0.4622</v>
      </c>
      <c r="L1571" s="26" t="b">
        <f t="shared" si="107"/>
        <v>1</v>
      </c>
      <c r="M1571" s="26" t="str">
        <f t="shared" si="104"/>
        <v>call</v>
      </c>
      <c r="N1571" s="28">
        <f t="shared" si="105"/>
        <v>46555</v>
      </c>
      <c r="O1571" s="29">
        <f t="shared" si="106"/>
        <v>620</v>
      </c>
    </row>
    <row r="1572" spans="1:15" x14ac:dyDescent="0.45">
      <c r="A1572" s="1" t="s">
        <v>1893</v>
      </c>
      <c r="B1572" s="4" t="s">
        <v>1894</v>
      </c>
      <c r="C1572" s="3">
        <v>160</v>
      </c>
      <c r="D1572" s="4">
        <v>107.89</v>
      </c>
      <c r="E1572" s="4">
        <v>110.9</v>
      </c>
      <c r="F1572" s="4">
        <v>111.8</v>
      </c>
      <c r="G1572" s="8">
        <v>0</v>
      </c>
      <c r="H1572" s="9">
        <v>0</v>
      </c>
      <c r="I1572" s="4">
        <v>10</v>
      </c>
      <c r="J1572" s="4">
        <v>205</v>
      </c>
      <c r="K1572" s="5">
        <v>0.45179999999999998</v>
      </c>
      <c r="L1572" s="26" t="b">
        <f t="shared" si="107"/>
        <v>1</v>
      </c>
      <c r="M1572" s="26" t="str">
        <f t="shared" si="104"/>
        <v>call</v>
      </c>
      <c r="N1572" s="28">
        <f t="shared" si="105"/>
        <v>46555</v>
      </c>
      <c r="O1572" s="29">
        <f t="shared" si="106"/>
        <v>620</v>
      </c>
    </row>
    <row r="1573" spans="1:15" x14ac:dyDescent="0.45">
      <c r="A1573" s="1" t="s">
        <v>1895</v>
      </c>
      <c r="B1573" s="4" t="s">
        <v>449</v>
      </c>
      <c r="C1573" s="3">
        <v>165</v>
      </c>
      <c r="D1573" s="4">
        <v>103</v>
      </c>
      <c r="E1573" s="4">
        <v>106.7</v>
      </c>
      <c r="F1573" s="4">
        <v>107.6</v>
      </c>
      <c r="G1573" s="6">
        <v>0</v>
      </c>
      <c r="H1573" s="7">
        <v>0</v>
      </c>
      <c r="I1573" s="4">
        <v>1</v>
      </c>
      <c r="J1573" s="4">
        <v>170</v>
      </c>
      <c r="K1573" s="5">
        <v>0.44190000000000002</v>
      </c>
      <c r="L1573" s="26" t="b">
        <f t="shared" si="107"/>
        <v>1</v>
      </c>
      <c r="M1573" s="26" t="str">
        <f t="shared" si="104"/>
        <v>call</v>
      </c>
      <c r="N1573" s="28">
        <f t="shared" si="105"/>
        <v>46555</v>
      </c>
      <c r="O1573" s="29">
        <f t="shared" si="106"/>
        <v>620</v>
      </c>
    </row>
    <row r="1574" spans="1:15" x14ac:dyDescent="0.45">
      <c r="A1574" s="1" t="s">
        <v>1896</v>
      </c>
      <c r="B1574" s="2">
        <v>45698.542361111111</v>
      </c>
      <c r="C1574" s="3">
        <v>170</v>
      </c>
      <c r="D1574" s="4">
        <v>102.67</v>
      </c>
      <c r="E1574" s="4">
        <v>102.6</v>
      </c>
      <c r="F1574" s="4">
        <v>103.45</v>
      </c>
      <c r="G1574" s="6">
        <v>0</v>
      </c>
      <c r="H1574" s="7">
        <v>0</v>
      </c>
      <c r="I1574" s="4">
        <v>3</v>
      </c>
      <c r="J1574" s="4">
        <v>234</v>
      </c>
      <c r="K1574" s="5">
        <v>0.43230000000000002</v>
      </c>
      <c r="L1574" s="26" t="b">
        <f t="shared" si="107"/>
        <v>1</v>
      </c>
      <c r="M1574" s="26" t="str">
        <f t="shared" si="104"/>
        <v>call</v>
      </c>
      <c r="N1574" s="28">
        <f t="shared" si="105"/>
        <v>46555</v>
      </c>
      <c r="O1574" s="29">
        <f t="shared" si="106"/>
        <v>620</v>
      </c>
    </row>
    <row r="1575" spans="1:15" x14ac:dyDescent="0.45">
      <c r="A1575" s="1" t="s">
        <v>1897</v>
      </c>
      <c r="B1575" s="2">
        <v>45726.443749999999</v>
      </c>
      <c r="C1575" s="3">
        <v>175</v>
      </c>
      <c r="D1575" s="4">
        <v>99.21</v>
      </c>
      <c r="E1575" s="4">
        <v>98.5</v>
      </c>
      <c r="F1575" s="4">
        <v>99.35</v>
      </c>
      <c r="G1575" s="6">
        <v>0.43</v>
      </c>
      <c r="H1575" s="7">
        <v>4.4000000000000003E-3</v>
      </c>
      <c r="I1575" s="4">
        <v>1</v>
      </c>
      <c r="J1575" s="4">
        <v>259</v>
      </c>
      <c r="K1575" s="5">
        <v>0.42320000000000002</v>
      </c>
      <c r="L1575" s="26" t="b">
        <f t="shared" si="107"/>
        <v>1</v>
      </c>
      <c r="M1575" s="26" t="str">
        <f t="shared" si="104"/>
        <v>call</v>
      </c>
      <c r="N1575" s="28">
        <f t="shared" si="105"/>
        <v>46555</v>
      </c>
      <c r="O1575" s="29">
        <f t="shared" si="106"/>
        <v>620</v>
      </c>
    </row>
    <row r="1576" spans="1:15" x14ac:dyDescent="0.45">
      <c r="A1576" s="1" t="s">
        <v>1898</v>
      </c>
      <c r="B1576" s="2">
        <v>45726.620833333334</v>
      </c>
      <c r="C1576" s="3">
        <v>180</v>
      </c>
      <c r="D1576" s="4">
        <v>95.44</v>
      </c>
      <c r="E1576" s="4">
        <v>94.45</v>
      </c>
      <c r="F1576" s="4">
        <v>95.5</v>
      </c>
      <c r="G1576" s="6">
        <v>0.94</v>
      </c>
      <c r="H1576" s="7">
        <v>9.9000000000000008E-3</v>
      </c>
      <c r="I1576" s="4">
        <v>8</v>
      </c>
      <c r="J1576" s="4">
        <v>977</v>
      </c>
      <c r="K1576" s="5">
        <v>0.41670000000000001</v>
      </c>
      <c r="L1576" s="26" t="b">
        <f t="shared" si="107"/>
        <v>1</v>
      </c>
      <c r="M1576" s="26" t="str">
        <f t="shared" si="104"/>
        <v>call</v>
      </c>
      <c r="N1576" s="28">
        <f t="shared" si="105"/>
        <v>46555</v>
      </c>
      <c r="O1576" s="29">
        <f t="shared" si="106"/>
        <v>620</v>
      </c>
    </row>
    <row r="1577" spans="1:15" x14ac:dyDescent="0.45">
      <c r="A1577" s="1" t="s">
        <v>1899</v>
      </c>
      <c r="B1577" s="2">
        <v>45726.630555555559</v>
      </c>
      <c r="C1577" s="3">
        <v>185</v>
      </c>
      <c r="D1577" s="4">
        <v>91.1</v>
      </c>
      <c r="E1577" s="4">
        <v>90.6</v>
      </c>
      <c r="F1577" s="4">
        <v>91.45</v>
      </c>
      <c r="G1577" s="6">
        <v>0.18</v>
      </c>
      <c r="H1577" s="7">
        <v>2E-3</v>
      </c>
      <c r="I1577" s="4">
        <v>4</v>
      </c>
      <c r="J1577" s="4">
        <v>146</v>
      </c>
      <c r="K1577" s="5">
        <v>0.40739999999999998</v>
      </c>
      <c r="L1577" s="26" t="b">
        <f t="shared" si="107"/>
        <v>1</v>
      </c>
      <c r="M1577" s="26" t="str">
        <f t="shared" si="104"/>
        <v>call</v>
      </c>
      <c r="N1577" s="28">
        <f t="shared" si="105"/>
        <v>46555</v>
      </c>
      <c r="O1577" s="29">
        <f t="shared" si="106"/>
        <v>620</v>
      </c>
    </row>
    <row r="1578" spans="1:15" x14ac:dyDescent="0.45">
      <c r="A1578" s="1" t="s">
        <v>1900</v>
      </c>
      <c r="B1578" s="2">
        <v>45726.629861111112</v>
      </c>
      <c r="C1578" s="3">
        <v>190</v>
      </c>
      <c r="D1578" s="4">
        <v>87.27</v>
      </c>
      <c r="E1578" s="4">
        <v>86.65</v>
      </c>
      <c r="F1578" s="4">
        <v>87.5</v>
      </c>
      <c r="G1578" s="8">
        <v>0.67</v>
      </c>
      <c r="H1578" s="9">
        <v>7.7000000000000002E-3</v>
      </c>
      <c r="I1578" s="4">
        <v>9</v>
      </c>
      <c r="J1578" s="4">
        <v>659</v>
      </c>
      <c r="K1578" s="5">
        <v>0.39900000000000002</v>
      </c>
      <c r="L1578" s="26" t="b">
        <f t="shared" si="107"/>
        <v>1</v>
      </c>
      <c r="M1578" s="26" t="str">
        <f t="shared" si="104"/>
        <v>call</v>
      </c>
      <c r="N1578" s="28">
        <f t="shared" si="105"/>
        <v>46555</v>
      </c>
      <c r="O1578" s="29">
        <f t="shared" si="106"/>
        <v>620</v>
      </c>
    </row>
    <row r="1579" spans="1:15" x14ac:dyDescent="0.45">
      <c r="A1579" s="1" t="s">
        <v>1901</v>
      </c>
      <c r="B1579" s="2">
        <v>45726.631249999999</v>
      </c>
      <c r="C1579" s="3">
        <v>195</v>
      </c>
      <c r="D1579" s="4">
        <v>83.36</v>
      </c>
      <c r="E1579" s="4">
        <v>82.95</v>
      </c>
      <c r="F1579" s="4">
        <v>83.55</v>
      </c>
      <c r="G1579" s="6">
        <v>0.64</v>
      </c>
      <c r="H1579" s="7">
        <v>7.7000000000000002E-3</v>
      </c>
      <c r="I1579" s="4">
        <v>2</v>
      </c>
      <c r="J1579" s="4">
        <v>348</v>
      </c>
      <c r="K1579" s="5">
        <v>0.39019999999999999</v>
      </c>
      <c r="L1579" s="26" t="b">
        <f t="shared" si="107"/>
        <v>1</v>
      </c>
      <c r="M1579" s="26" t="str">
        <f t="shared" si="104"/>
        <v>call</v>
      </c>
      <c r="N1579" s="28">
        <f t="shared" si="105"/>
        <v>46555</v>
      </c>
      <c r="O1579" s="29">
        <f t="shared" si="106"/>
        <v>620</v>
      </c>
    </row>
    <row r="1580" spans="1:15" x14ac:dyDescent="0.45">
      <c r="A1580" s="1" t="s">
        <v>1902</v>
      </c>
      <c r="B1580" s="2">
        <v>45726.646527777775</v>
      </c>
      <c r="C1580" s="3">
        <v>200</v>
      </c>
      <c r="D1580" s="4">
        <v>79.36</v>
      </c>
      <c r="E1580" s="4">
        <v>79.2</v>
      </c>
      <c r="F1580" s="4">
        <v>79.8</v>
      </c>
      <c r="G1580" s="4">
        <v>0.28000000000000003</v>
      </c>
      <c r="H1580" s="5">
        <v>3.5000000000000001E-3</v>
      </c>
      <c r="I1580" s="4">
        <v>17</v>
      </c>
      <c r="J1580" s="10">
        <v>7222</v>
      </c>
      <c r="K1580" s="5">
        <v>0.3831</v>
      </c>
      <c r="L1580" s="26" t="b">
        <f t="shared" si="107"/>
        <v>1</v>
      </c>
      <c r="M1580" s="26" t="str">
        <f t="shared" si="104"/>
        <v>call</v>
      </c>
      <c r="N1580" s="28">
        <f t="shared" si="105"/>
        <v>46555</v>
      </c>
      <c r="O1580" s="29">
        <f t="shared" si="106"/>
        <v>620</v>
      </c>
    </row>
    <row r="1581" spans="1:15" x14ac:dyDescent="0.45">
      <c r="A1581" s="1" t="s">
        <v>1903</v>
      </c>
      <c r="B1581" s="2">
        <v>45726.575694444444</v>
      </c>
      <c r="C1581" s="3">
        <v>210</v>
      </c>
      <c r="D1581" s="4">
        <v>71.849999999999994</v>
      </c>
      <c r="E1581" s="4">
        <v>71.849999999999994</v>
      </c>
      <c r="F1581" s="4">
        <v>72.5</v>
      </c>
      <c r="G1581" s="8">
        <v>0</v>
      </c>
      <c r="H1581" s="9">
        <v>0</v>
      </c>
      <c r="I1581" s="4">
        <v>10</v>
      </c>
      <c r="J1581" s="10">
        <v>4135</v>
      </c>
      <c r="K1581" s="5">
        <v>0.3695</v>
      </c>
      <c r="L1581" s="26" t="b">
        <f t="shared" si="107"/>
        <v>1</v>
      </c>
      <c r="M1581" s="26" t="str">
        <f t="shared" si="104"/>
        <v>call</v>
      </c>
      <c r="N1581" s="28">
        <f t="shared" si="105"/>
        <v>46555</v>
      </c>
      <c r="O1581" s="29">
        <f t="shared" si="106"/>
        <v>620</v>
      </c>
    </row>
    <row r="1582" spans="1:15" x14ac:dyDescent="0.45">
      <c r="A1582" s="1" t="s">
        <v>1904</v>
      </c>
      <c r="B1582" s="2">
        <v>45726.613194444442</v>
      </c>
      <c r="C1582" s="3">
        <v>220</v>
      </c>
      <c r="D1582" s="4">
        <v>64.62</v>
      </c>
      <c r="E1582" s="4">
        <v>65</v>
      </c>
      <c r="F1582" s="4">
        <v>65.5</v>
      </c>
      <c r="G1582" s="4">
        <v>-0.23</v>
      </c>
      <c r="H1582" s="5">
        <v>-3.5000000000000001E-3</v>
      </c>
      <c r="I1582" s="4">
        <v>14</v>
      </c>
      <c r="J1582" s="10">
        <v>2655</v>
      </c>
      <c r="K1582" s="5">
        <v>0.35670000000000002</v>
      </c>
      <c r="L1582" s="26" t="b">
        <f t="shared" si="107"/>
        <v>1</v>
      </c>
      <c r="M1582" s="26" t="str">
        <f t="shared" si="104"/>
        <v>call</v>
      </c>
      <c r="N1582" s="28">
        <f t="shared" si="105"/>
        <v>46555</v>
      </c>
      <c r="O1582" s="29">
        <f t="shared" si="106"/>
        <v>620</v>
      </c>
    </row>
    <row r="1583" spans="1:15" x14ac:dyDescent="0.45">
      <c r="A1583" s="1" t="s">
        <v>1905</v>
      </c>
      <c r="B1583" s="2">
        <v>45726.636111111111</v>
      </c>
      <c r="C1583" s="3">
        <v>230</v>
      </c>
      <c r="D1583" s="4">
        <v>58.7</v>
      </c>
      <c r="E1583" s="4">
        <v>58.35</v>
      </c>
      <c r="F1583" s="4">
        <v>58.85</v>
      </c>
      <c r="G1583" s="6">
        <v>0.4</v>
      </c>
      <c r="H1583" s="7">
        <v>6.8999999999999999E-3</v>
      </c>
      <c r="I1583" s="4">
        <v>20</v>
      </c>
      <c r="J1583" s="10">
        <v>2963</v>
      </c>
      <c r="K1583" s="5">
        <v>0.34499999999999997</v>
      </c>
      <c r="L1583" s="26" t="b">
        <f t="shared" si="107"/>
        <v>1</v>
      </c>
      <c r="M1583" s="26" t="str">
        <f t="shared" si="104"/>
        <v>call</v>
      </c>
      <c r="N1583" s="28">
        <f t="shared" si="105"/>
        <v>46555</v>
      </c>
      <c r="O1583" s="29">
        <f t="shared" si="106"/>
        <v>620</v>
      </c>
    </row>
    <row r="1584" spans="1:15" x14ac:dyDescent="0.45">
      <c r="A1584" s="1" t="s">
        <v>1906</v>
      </c>
      <c r="B1584" s="2">
        <v>45726.643055555556</v>
      </c>
      <c r="C1584" s="3">
        <v>240</v>
      </c>
      <c r="D1584" s="4">
        <v>52.1</v>
      </c>
      <c r="E1584" s="4">
        <v>51.8</v>
      </c>
      <c r="F1584" s="4">
        <v>52.8</v>
      </c>
      <c r="G1584" s="6">
        <v>0.1</v>
      </c>
      <c r="H1584" s="7">
        <v>1.9E-3</v>
      </c>
      <c r="I1584" s="4">
        <v>62</v>
      </c>
      <c r="J1584" s="10">
        <v>1019</v>
      </c>
      <c r="K1584" s="5">
        <v>0.33600000000000002</v>
      </c>
      <c r="L1584" s="26" t="b">
        <f t="shared" si="107"/>
        <v>1</v>
      </c>
      <c r="M1584" s="26" t="str">
        <f t="shared" si="104"/>
        <v>call</v>
      </c>
      <c r="N1584" s="28">
        <f t="shared" si="105"/>
        <v>46555</v>
      </c>
      <c r="O1584" s="29">
        <f t="shared" si="106"/>
        <v>620</v>
      </c>
    </row>
    <row r="1585" spans="1:15" x14ac:dyDescent="0.45">
      <c r="A1585" s="1" t="s">
        <v>1907</v>
      </c>
      <c r="B1585" s="2">
        <v>45726.626388888886</v>
      </c>
      <c r="C1585" s="3">
        <v>250</v>
      </c>
      <c r="D1585" s="4">
        <v>46.61</v>
      </c>
      <c r="E1585" s="4">
        <v>46.2</v>
      </c>
      <c r="F1585" s="4">
        <v>46.55</v>
      </c>
      <c r="G1585" s="6">
        <v>0.51</v>
      </c>
      <c r="H1585" s="7">
        <v>1.11E-2</v>
      </c>
      <c r="I1585" s="4">
        <v>90</v>
      </c>
      <c r="J1585" s="10">
        <v>2133</v>
      </c>
      <c r="K1585" s="5">
        <v>0.32319999999999999</v>
      </c>
      <c r="L1585" s="26" t="b">
        <f t="shared" si="107"/>
        <v>1</v>
      </c>
      <c r="M1585" s="26" t="str">
        <f t="shared" si="104"/>
        <v>call</v>
      </c>
      <c r="N1585" s="28">
        <f t="shared" si="105"/>
        <v>46555</v>
      </c>
      <c r="O1585" s="29">
        <f t="shared" si="106"/>
        <v>620</v>
      </c>
    </row>
    <row r="1586" spans="1:15" x14ac:dyDescent="0.45">
      <c r="A1586" s="11" t="s">
        <v>1908</v>
      </c>
      <c r="B1586" s="12">
        <v>45726.65347222222</v>
      </c>
      <c r="C1586" s="13">
        <v>260</v>
      </c>
      <c r="D1586" s="14">
        <v>41.1</v>
      </c>
      <c r="E1586" s="14">
        <v>40.799999999999997</v>
      </c>
      <c r="F1586" s="14">
        <v>41.1</v>
      </c>
      <c r="G1586" s="19">
        <v>0.45</v>
      </c>
      <c r="H1586" s="20">
        <v>1.11E-2</v>
      </c>
      <c r="I1586" s="14">
        <v>196</v>
      </c>
      <c r="J1586" s="17">
        <v>1680</v>
      </c>
      <c r="K1586" s="18">
        <v>0.31430000000000002</v>
      </c>
      <c r="L1586" s="26" t="b">
        <f t="shared" si="107"/>
        <v>0</v>
      </c>
      <c r="M1586" s="26" t="str">
        <f t="shared" si="104"/>
        <v>call</v>
      </c>
      <c r="N1586" s="28">
        <f t="shared" si="105"/>
        <v>46555</v>
      </c>
      <c r="O1586" s="29">
        <f t="shared" si="106"/>
        <v>620</v>
      </c>
    </row>
    <row r="1587" spans="1:15" x14ac:dyDescent="0.45">
      <c r="A1587" s="11" t="s">
        <v>1909</v>
      </c>
      <c r="B1587" s="12">
        <v>45726.658333333333</v>
      </c>
      <c r="C1587" s="13">
        <v>270</v>
      </c>
      <c r="D1587" s="14">
        <v>35.950000000000003</v>
      </c>
      <c r="E1587" s="14">
        <v>35.799999999999997</v>
      </c>
      <c r="F1587" s="14">
        <v>36.049999999999997</v>
      </c>
      <c r="G1587" s="19">
        <v>-0.05</v>
      </c>
      <c r="H1587" s="20">
        <v>-1.4E-3</v>
      </c>
      <c r="I1587" s="14">
        <v>59</v>
      </c>
      <c r="J1587" s="17">
        <v>1210</v>
      </c>
      <c r="K1587" s="18">
        <v>0.30599999999999999</v>
      </c>
      <c r="L1587" s="26" t="b">
        <f t="shared" si="107"/>
        <v>0</v>
      </c>
      <c r="M1587" s="26" t="str">
        <f t="shared" si="104"/>
        <v>call</v>
      </c>
      <c r="N1587" s="28">
        <f t="shared" si="105"/>
        <v>46555</v>
      </c>
      <c r="O1587" s="29">
        <f t="shared" si="106"/>
        <v>620</v>
      </c>
    </row>
    <row r="1588" spans="1:15" x14ac:dyDescent="0.45">
      <c r="A1588" s="11" t="s">
        <v>1910</v>
      </c>
      <c r="B1588" s="12">
        <v>45726.606249999997</v>
      </c>
      <c r="C1588" s="13">
        <v>280</v>
      </c>
      <c r="D1588" s="14">
        <v>31.5</v>
      </c>
      <c r="E1588" s="14">
        <v>31.25</v>
      </c>
      <c r="F1588" s="14">
        <v>31.5</v>
      </c>
      <c r="G1588" s="15">
        <v>0.23</v>
      </c>
      <c r="H1588" s="16">
        <v>7.4000000000000003E-3</v>
      </c>
      <c r="I1588" s="14">
        <v>166</v>
      </c>
      <c r="J1588" s="14">
        <v>917</v>
      </c>
      <c r="K1588" s="18">
        <v>0.2989</v>
      </c>
      <c r="L1588" s="26" t="b">
        <f t="shared" si="107"/>
        <v>0</v>
      </c>
      <c r="M1588" s="26" t="str">
        <f t="shared" si="104"/>
        <v>call</v>
      </c>
      <c r="N1588" s="28">
        <f t="shared" si="105"/>
        <v>46555</v>
      </c>
      <c r="O1588" s="29">
        <f t="shared" si="106"/>
        <v>620</v>
      </c>
    </row>
    <row r="1589" spans="1:15" x14ac:dyDescent="0.45">
      <c r="A1589" s="11" t="s">
        <v>1911</v>
      </c>
      <c r="B1589" s="12">
        <v>45726.626388888886</v>
      </c>
      <c r="C1589" s="13">
        <v>290</v>
      </c>
      <c r="D1589" s="14">
        <v>27.49</v>
      </c>
      <c r="E1589" s="14">
        <v>27.1</v>
      </c>
      <c r="F1589" s="14">
        <v>27.35</v>
      </c>
      <c r="G1589" s="19">
        <v>0.28999999999999998</v>
      </c>
      <c r="H1589" s="20">
        <v>1.0699999999999999E-2</v>
      </c>
      <c r="I1589" s="14">
        <v>32</v>
      </c>
      <c r="J1589" s="17">
        <v>1028</v>
      </c>
      <c r="K1589" s="18">
        <v>0.2923</v>
      </c>
      <c r="L1589" s="26" t="b">
        <f t="shared" si="107"/>
        <v>0</v>
      </c>
      <c r="M1589" s="26" t="str">
        <f t="shared" si="104"/>
        <v>call</v>
      </c>
      <c r="N1589" s="28">
        <f t="shared" si="105"/>
        <v>46555</v>
      </c>
      <c r="O1589" s="29">
        <f t="shared" si="106"/>
        <v>620</v>
      </c>
    </row>
    <row r="1590" spans="1:15" x14ac:dyDescent="0.45">
      <c r="A1590" s="11" t="s">
        <v>1912</v>
      </c>
      <c r="B1590" s="12">
        <v>45726.624305555553</v>
      </c>
      <c r="C1590" s="13">
        <v>300</v>
      </c>
      <c r="D1590" s="14">
        <v>23.82</v>
      </c>
      <c r="E1590" s="14">
        <v>23.4</v>
      </c>
      <c r="F1590" s="14">
        <v>23.65</v>
      </c>
      <c r="G1590" s="15">
        <v>0.39</v>
      </c>
      <c r="H1590" s="16">
        <v>1.66E-2</v>
      </c>
      <c r="I1590" s="14">
        <v>162</v>
      </c>
      <c r="J1590" s="17">
        <v>3999</v>
      </c>
      <c r="K1590" s="18">
        <v>0.28649999999999998</v>
      </c>
      <c r="L1590" s="26" t="b">
        <f t="shared" si="107"/>
        <v>0</v>
      </c>
      <c r="M1590" s="26" t="str">
        <f t="shared" si="104"/>
        <v>call</v>
      </c>
      <c r="N1590" s="28">
        <f t="shared" si="105"/>
        <v>46555</v>
      </c>
      <c r="O1590" s="29">
        <f t="shared" si="106"/>
        <v>620</v>
      </c>
    </row>
    <row r="1591" spans="1:15" x14ac:dyDescent="0.45">
      <c r="A1591" s="11" t="s">
        <v>1913</v>
      </c>
      <c r="B1591" s="12">
        <v>45726.635416666664</v>
      </c>
      <c r="C1591" s="13">
        <v>310</v>
      </c>
      <c r="D1591" s="14">
        <v>20.399999999999999</v>
      </c>
      <c r="E1591" s="14">
        <v>20.149999999999999</v>
      </c>
      <c r="F1591" s="14">
        <v>20.399999999999999</v>
      </c>
      <c r="G1591" s="19">
        <v>-0.15</v>
      </c>
      <c r="H1591" s="20">
        <v>-7.3000000000000001E-3</v>
      </c>
      <c r="I1591" s="14">
        <v>9</v>
      </c>
      <c r="J1591" s="14">
        <v>156</v>
      </c>
      <c r="K1591" s="18">
        <v>0.28160000000000002</v>
      </c>
      <c r="L1591" s="26" t="b">
        <f t="shared" si="107"/>
        <v>0</v>
      </c>
      <c r="M1591" s="26" t="str">
        <f t="shared" si="104"/>
        <v>call</v>
      </c>
      <c r="N1591" s="28">
        <f t="shared" si="105"/>
        <v>46555</v>
      </c>
      <c r="O1591" s="29">
        <f t="shared" si="106"/>
        <v>620</v>
      </c>
    </row>
    <row r="1592" spans="1:15" x14ac:dyDescent="0.45">
      <c r="A1592" s="11" t="s">
        <v>1914</v>
      </c>
      <c r="B1592" s="12">
        <v>45726.625</v>
      </c>
      <c r="C1592" s="13">
        <v>320</v>
      </c>
      <c r="D1592" s="14">
        <v>17.68</v>
      </c>
      <c r="E1592" s="14">
        <v>17.3</v>
      </c>
      <c r="F1592" s="14">
        <v>17.55</v>
      </c>
      <c r="G1592" s="19">
        <v>0.33</v>
      </c>
      <c r="H1592" s="20">
        <v>1.9E-2</v>
      </c>
      <c r="I1592" s="14">
        <v>14</v>
      </c>
      <c r="J1592" s="14">
        <v>915</v>
      </c>
      <c r="K1592" s="18">
        <v>0.27750000000000002</v>
      </c>
      <c r="L1592" s="26" t="b">
        <f t="shared" si="107"/>
        <v>0</v>
      </c>
      <c r="M1592" s="26" t="str">
        <f t="shared" si="104"/>
        <v>call</v>
      </c>
      <c r="N1592" s="28">
        <f t="shared" si="105"/>
        <v>46555</v>
      </c>
      <c r="O1592" s="29">
        <f t="shared" si="106"/>
        <v>620</v>
      </c>
    </row>
    <row r="1593" spans="1:15" x14ac:dyDescent="0.45">
      <c r="A1593" s="11" t="s">
        <v>1915</v>
      </c>
      <c r="B1593" s="12">
        <v>45726.63958333333</v>
      </c>
      <c r="C1593" s="13">
        <v>330</v>
      </c>
      <c r="D1593" s="14">
        <v>14.94</v>
      </c>
      <c r="E1593" s="14">
        <v>14.8</v>
      </c>
      <c r="F1593" s="14">
        <v>15.05</v>
      </c>
      <c r="G1593" s="15">
        <v>-0.11</v>
      </c>
      <c r="H1593" s="16">
        <v>-7.3000000000000001E-3</v>
      </c>
      <c r="I1593" s="14">
        <v>1</v>
      </c>
      <c r="J1593" s="17">
        <v>2403</v>
      </c>
      <c r="K1593" s="18">
        <v>0.27379999999999999</v>
      </c>
      <c r="L1593" s="26" t="b">
        <f t="shared" si="107"/>
        <v>0</v>
      </c>
      <c r="M1593" s="26" t="str">
        <f t="shared" si="104"/>
        <v>call</v>
      </c>
      <c r="N1593" s="28">
        <f t="shared" si="105"/>
        <v>46555</v>
      </c>
      <c r="O1593" s="29">
        <f t="shared" si="106"/>
        <v>620</v>
      </c>
    </row>
    <row r="1594" spans="1:15" x14ac:dyDescent="0.45">
      <c r="A1594" s="11" t="s">
        <v>1916</v>
      </c>
      <c r="B1594" s="12">
        <v>45726.625694444447</v>
      </c>
      <c r="C1594" s="13">
        <v>340</v>
      </c>
      <c r="D1594" s="14">
        <v>12.95</v>
      </c>
      <c r="E1594" s="14">
        <v>12.6</v>
      </c>
      <c r="F1594" s="14">
        <v>12.85</v>
      </c>
      <c r="G1594" s="15">
        <v>0.39</v>
      </c>
      <c r="H1594" s="16">
        <v>3.1099999999999999E-2</v>
      </c>
      <c r="I1594" s="14">
        <v>4</v>
      </c>
      <c r="J1594" s="14">
        <v>940</v>
      </c>
      <c r="K1594" s="18">
        <v>0.27039999999999997</v>
      </c>
      <c r="L1594" s="26" t="b">
        <f t="shared" si="107"/>
        <v>0</v>
      </c>
      <c r="M1594" s="26" t="str">
        <f t="shared" si="104"/>
        <v>call</v>
      </c>
      <c r="N1594" s="28">
        <f t="shared" si="105"/>
        <v>46555</v>
      </c>
      <c r="O1594" s="29">
        <f t="shared" si="106"/>
        <v>620</v>
      </c>
    </row>
    <row r="1595" spans="1:15" x14ac:dyDescent="0.45">
      <c r="A1595" s="11" t="s">
        <v>1917</v>
      </c>
      <c r="B1595" s="12">
        <v>45726.609027777777</v>
      </c>
      <c r="C1595" s="13">
        <v>350</v>
      </c>
      <c r="D1595" s="14">
        <v>11.02</v>
      </c>
      <c r="E1595" s="14">
        <v>10.75</v>
      </c>
      <c r="F1595" s="14">
        <v>11</v>
      </c>
      <c r="G1595" s="15">
        <v>0.11</v>
      </c>
      <c r="H1595" s="16">
        <v>1.01E-2</v>
      </c>
      <c r="I1595" s="14">
        <v>17</v>
      </c>
      <c r="J1595" s="17">
        <v>2838</v>
      </c>
      <c r="K1595" s="18">
        <v>0.26800000000000002</v>
      </c>
      <c r="L1595" s="26" t="b">
        <f t="shared" si="107"/>
        <v>0</v>
      </c>
      <c r="M1595" s="26" t="str">
        <f t="shared" si="104"/>
        <v>call</v>
      </c>
      <c r="N1595" s="28">
        <f t="shared" si="105"/>
        <v>46555</v>
      </c>
      <c r="O1595" s="29">
        <f t="shared" si="106"/>
        <v>620</v>
      </c>
    </row>
    <row r="1596" spans="1:15" x14ac:dyDescent="0.45">
      <c r="A1596" s="11" t="s">
        <v>1918</v>
      </c>
      <c r="B1596" s="12">
        <v>45726.625</v>
      </c>
      <c r="C1596" s="13">
        <v>360</v>
      </c>
      <c r="D1596" s="14">
        <v>9.49</v>
      </c>
      <c r="E1596" s="14">
        <v>9.15</v>
      </c>
      <c r="F1596" s="14">
        <v>9.4</v>
      </c>
      <c r="G1596" s="15">
        <v>0.44</v>
      </c>
      <c r="H1596" s="16">
        <v>4.8599999999999997E-2</v>
      </c>
      <c r="I1596" s="14">
        <v>17</v>
      </c>
      <c r="J1596" s="14">
        <v>213</v>
      </c>
      <c r="K1596" s="18">
        <v>0.26579999999999998</v>
      </c>
      <c r="L1596" s="26" t="b">
        <f t="shared" si="107"/>
        <v>0</v>
      </c>
      <c r="M1596" s="26" t="str">
        <f t="shared" si="104"/>
        <v>call</v>
      </c>
      <c r="N1596" s="28">
        <f t="shared" si="105"/>
        <v>46555</v>
      </c>
      <c r="O1596" s="29">
        <f t="shared" si="106"/>
        <v>620</v>
      </c>
    </row>
    <row r="1597" spans="1:15" x14ac:dyDescent="0.45">
      <c r="A1597" s="11" t="s">
        <v>1919</v>
      </c>
      <c r="B1597" s="14" t="s">
        <v>272</v>
      </c>
      <c r="C1597" s="13">
        <v>370</v>
      </c>
      <c r="D1597" s="14">
        <v>7.5</v>
      </c>
      <c r="E1597" s="14">
        <v>7.8</v>
      </c>
      <c r="F1597" s="14">
        <v>8</v>
      </c>
      <c r="G1597" s="19">
        <v>0</v>
      </c>
      <c r="H1597" s="20">
        <v>0</v>
      </c>
      <c r="I1597" s="14">
        <v>42</v>
      </c>
      <c r="J1597" s="14">
        <v>113</v>
      </c>
      <c r="K1597" s="18">
        <v>0.2636</v>
      </c>
      <c r="L1597" s="26" t="b">
        <f t="shared" si="107"/>
        <v>0</v>
      </c>
      <c r="M1597" s="26" t="str">
        <f t="shared" ref="M1597:M1660" si="108">IF(MID(A1597,11,1)="C","call","put")</f>
        <v>call</v>
      </c>
      <c r="N1597" s="28">
        <f t="shared" ref="N1597:N1660" si="109">DATE(MID(A1597,5,2)+2000,MID(A1597,7,2),MID(A1597,9,2))</f>
        <v>46555</v>
      </c>
      <c r="O1597" s="29">
        <f t="shared" si="106"/>
        <v>620</v>
      </c>
    </row>
    <row r="1598" spans="1:15" x14ac:dyDescent="0.45">
      <c r="A1598" s="11" t="s">
        <v>1920</v>
      </c>
      <c r="B1598" s="12">
        <v>45726.615972222222</v>
      </c>
      <c r="C1598" s="13">
        <v>380</v>
      </c>
      <c r="D1598" s="14">
        <v>6.88</v>
      </c>
      <c r="E1598" s="14">
        <v>6.65</v>
      </c>
      <c r="F1598" s="14">
        <v>6.85</v>
      </c>
      <c r="G1598" s="19">
        <v>0.25</v>
      </c>
      <c r="H1598" s="20">
        <v>3.7699999999999997E-2</v>
      </c>
      <c r="I1598" s="14">
        <v>2</v>
      </c>
      <c r="J1598" s="14">
        <v>199</v>
      </c>
      <c r="K1598" s="18">
        <v>0.26240000000000002</v>
      </c>
      <c r="L1598" s="26" t="b">
        <f t="shared" si="107"/>
        <v>0</v>
      </c>
      <c r="M1598" s="26" t="str">
        <f t="shared" si="108"/>
        <v>call</v>
      </c>
      <c r="N1598" s="28">
        <f t="shared" si="109"/>
        <v>46555</v>
      </c>
      <c r="O1598" s="29">
        <f t="shared" ref="O1598:O1661" si="110">N1598-DATE(2025,10,5)</f>
        <v>620</v>
      </c>
    </row>
    <row r="1599" spans="1:15" x14ac:dyDescent="0.45">
      <c r="A1599" s="11" t="s">
        <v>1921</v>
      </c>
      <c r="B1599" s="12">
        <v>45726.600694444445</v>
      </c>
      <c r="C1599" s="13">
        <v>390</v>
      </c>
      <c r="D1599" s="14">
        <v>5.8</v>
      </c>
      <c r="E1599" s="14">
        <v>5.7</v>
      </c>
      <c r="F1599" s="14">
        <v>5.85</v>
      </c>
      <c r="G1599" s="19">
        <v>0.4</v>
      </c>
      <c r="H1599" s="20">
        <v>7.4099999999999999E-2</v>
      </c>
      <c r="I1599" s="14">
        <v>2</v>
      </c>
      <c r="J1599" s="14">
        <v>195</v>
      </c>
      <c r="K1599" s="18">
        <v>0.2611</v>
      </c>
      <c r="L1599" s="26" t="b">
        <f t="shared" si="107"/>
        <v>0</v>
      </c>
      <c r="M1599" s="26" t="str">
        <f t="shared" si="108"/>
        <v>call</v>
      </c>
      <c r="N1599" s="28">
        <f t="shared" si="109"/>
        <v>46555</v>
      </c>
      <c r="O1599" s="29">
        <f t="shared" si="110"/>
        <v>620</v>
      </c>
    </row>
    <row r="1600" spans="1:15" x14ac:dyDescent="0.45">
      <c r="A1600" s="11" t="s">
        <v>1922</v>
      </c>
      <c r="B1600" s="12">
        <v>45726.630555555559</v>
      </c>
      <c r="C1600" s="13">
        <v>400</v>
      </c>
      <c r="D1600" s="14">
        <v>4.95</v>
      </c>
      <c r="E1600" s="14">
        <v>4.8499999999999996</v>
      </c>
      <c r="F1600" s="14">
        <v>5.05</v>
      </c>
      <c r="G1600" s="15">
        <v>-0.15</v>
      </c>
      <c r="H1600" s="16">
        <v>-2.9399999999999999E-2</v>
      </c>
      <c r="I1600" s="14">
        <v>27</v>
      </c>
      <c r="J1600" s="17">
        <v>1002</v>
      </c>
      <c r="K1600" s="18">
        <v>0.26079999999999998</v>
      </c>
      <c r="L1600" s="26" t="b">
        <f t="shared" ref="L1600:L1663" si="111">IF(M1600="call",C1600&lt;$P$1,C1600&gt;$P$1)</f>
        <v>0</v>
      </c>
      <c r="M1600" s="26" t="str">
        <f t="shared" si="108"/>
        <v>call</v>
      </c>
      <c r="N1600" s="28">
        <f t="shared" si="109"/>
        <v>46555</v>
      </c>
      <c r="O1600" s="29">
        <f t="shared" si="110"/>
        <v>620</v>
      </c>
    </row>
    <row r="1601" spans="1:15" x14ac:dyDescent="0.45">
      <c r="A1601" s="11" t="s">
        <v>1923</v>
      </c>
      <c r="B1601" s="12">
        <v>45726.490277777775</v>
      </c>
      <c r="C1601" s="13">
        <v>410</v>
      </c>
      <c r="D1601" s="14">
        <v>4.4000000000000004</v>
      </c>
      <c r="E1601" s="14">
        <v>4.1500000000000004</v>
      </c>
      <c r="F1601" s="14">
        <v>4.3</v>
      </c>
      <c r="G1601" s="19">
        <v>0.45</v>
      </c>
      <c r="H1601" s="20">
        <v>0.1139</v>
      </c>
      <c r="I1601" s="14">
        <v>10</v>
      </c>
      <c r="J1601" s="14">
        <v>243</v>
      </c>
      <c r="K1601" s="18">
        <v>0.25969999999999999</v>
      </c>
      <c r="L1601" s="26" t="b">
        <f t="shared" si="111"/>
        <v>0</v>
      </c>
      <c r="M1601" s="26" t="str">
        <f t="shared" si="108"/>
        <v>call</v>
      </c>
      <c r="N1601" s="28">
        <f t="shared" si="109"/>
        <v>46555</v>
      </c>
      <c r="O1601" s="29">
        <f t="shared" si="110"/>
        <v>620</v>
      </c>
    </row>
    <row r="1602" spans="1:15" x14ac:dyDescent="0.45">
      <c r="A1602" s="11" t="s">
        <v>1924</v>
      </c>
      <c r="B1602" s="12">
        <v>45726.616666666669</v>
      </c>
      <c r="C1602" s="13">
        <v>420</v>
      </c>
      <c r="D1602" s="14">
        <v>3.71</v>
      </c>
      <c r="E1602" s="14">
        <v>3.6</v>
      </c>
      <c r="F1602" s="14">
        <v>3.75</v>
      </c>
      <c r="G1602" s="19">
        <v>0.31</v>
      </c>
      <c r="H1602" s="20">
        <v>9.1200000000000003E-2</v>
      </c>
      <c r="I1602" s="14">
        <v>18</v>
      </c>
      <c r="J1602" s="14">
        <v>469</v>
      </c>
      <c r="K1602" s="18">
        <v>0.26019999999999999</v>
      </c>
      <c r="L1602" s="26" t="b">
        <f t="shared" si="111"/>
        <v>0</v>
      </c>
      <c r="M1602" s="26" t="str">
        <f t="shared" si="108"/>
        <v>call</v>
      </c>
      <c r="N1602" s="28">
        <f t="shared" si="109"/>
        <v>46555</v>
      </c>
      <c r="O1602" s="29">
        <f t="shared" si="110"/>
        <v>620</v>
      </c>
    </row>
    <row r="1603" spans="1:15" x14ac:dyDescent="0.45">
      <c r="A1603" s="11" t="s">
        <v>1925</v>
      </c>
      <c r="B1603" s="12">
        <v>45726.632638888892</v>
      </c>
      <c r="C1603" s="13">
        <v>430</v>
      </c>
      <c r="D1603" s="14">
        <v>3.1</v>
      </c>
      <c r="E1603" s="14">
        <v>3.05</v>
      </c>
      <c r="F1603" s="14">
        <v>3.2</v>
      </c>
      <c r="G1603" s="15">
        <v>0.17</v>
      </c>
      <c r="H1603" s="16">
        <v>5.8000000000000003E-2</v>
      </c>
      <c r="I1603" s="14">
        <v>3</v>
      </c>
      <c r="J1603" s="14">
        <v>273</v>
      </c>
      <c r="K1603" s="18">
        <v>0.25929999999999997</v>
      </c>
      <c r="L1603" s="26" t="b">
        <f t="shared" si="111"/>
        <v>0</v>
      </c>
      <c r="M1603" s="26" t="str">
        <f t="shared" si="108"/>
        <v>call</v>
      </c>
      <c r="N1603" s="28">
        <f t="shared" si="109"/>
        <v>46555</v>
      </c>
      <c r="O1603" s="29">
        <f t="shared" si="110"/>
        <v>620</v>
      </c>
    </row>
    <row r="1604" spans="1:15" x14ac:dyDescent="0.45">
      <c r="A1604" s="11" t="s">
        <v>1926</v>
      </c>
      <c r="B1604" s="12">
        <v>45726.499305555553</v>
      </c>
      <c r="C1604" s="13">
        <v>440</v>
      </c>
      <c r="D1604" s="14">
        <v>2.78</v>
      </c>
      <c r="E1604" s="14">
        <v>2.65</v>
      </c>
      <c r="F1604" s="14">
        <v>2.78</v>
      </c>
      <c r="G1604" s="15">
        <v>0.12</v>
      </c>
      <c r="H1604" s="16">
        <v>4.5100000000000001E-2</v>
      </c>
      <c r="I1604" s="14">
        <v>3</v>
      </c>
      <c r="J1604" s="14">
        <v>192</v>
      </c>
      <c r="K1604" s="18">
        <v>0.25969999999999999</v>
      </c>
      <c r="L1604" s="26" t="b">
        <f t="shared" si="111"/>
        <v>0</v>
      </c>
      <c r="M1604" s="26" t="str">
        <f t="shared" si="108"/>
        <v>call</v>
      </c>
      <c r="N1604" s="28">
        <f t="shared" si="109"/>
        <v>46555</v>
      </c>
      <c r="O1604" s="29">
        <f t="shared" si="110"/>
        <v>620</v>
      </c>
    </row>
    <row r="1605" spans="1:15" x14ac:dyDescent="0.45">
      <c r="A1605" s="11" t="s">
        <v>1927</v>
      </c>
      <c r="B1605" s="12">
        <v>45726.647222222222</v>
      </c>
      <c r="C1605" s="13">
        <v>450</v>
      </c>
      <c r="D1605" s="14">
        <v>2.36</v>
      </c>
      <c r="E1605" s="14">
        <v>2.31</v>
      </c>
      <c r="F1605" s="14">
        <v>2.4</v>
      </c>
      <c r="G1605" s="14">
        <v>-0.08</v>
      </c>
      <c r="H1605" s="18">
        <v>-3.2800000000000003E-2</v>
      </c>
      <c r="I1605" s="14">
        <v>222</v>
      </c>
      <c r="J1605" s="17">
        <v>2678</v>
      </c>
      <c r="K1605" s="18">
        <v>0.2596</v>
      </c>
      <c r="L1605" s="26" t="b">
        <f t="shared" si="111"/>
        <v>0</v>
      </c>
      <c r="M1605" s="26" t="str">
        <f t="shared" si="108"/>
        <v>call</v>
      </c>
      <c r="N1605" s="28">
        <f t="shared" si="109"/>
        <v>46555</v>
      </c>
      <c r="O1605" s="29">
        <f t="shared" si="110"/>
        <v>620</v>
      </c>
    </row>
    <row r="1606" spans="1:15" x14ac:dyDescent="0.45">
      <c r="A1606" s="11" t="s">
        <v>1928</v>
      </c>
      <c r="B1606" s="14" t="s">
        <v>1929</v>
      </c>
      <c r="C1606" s="13">
        <v>50</v>
      </c>
      <c r="D1606" s="14">
        <v>0.23</v>
      </c>
      <c r="E1606" s="14">
        <v>0.14000000000000001</v>
      </c>
      <c r="F1606" s="14">
        <v>0.23</v>
      </c>
      <c r="G1606" s="14">
        <v>0</v>
      </c>
      <c r="H1606" s="18">
        <v>0</v>
      </c>
      <c r="I1606" s="14">
        <v>25</v>
      </c>
      <c r="J1606" s="14">
        <v>758</v>
      </c>
      <c r="K1606" s="18">
        <v>0.51859999999999995</v>
      </c>
      <c r="L1606" s="26" t="b">
        <f t="shared" si="111"/>
        <v>0</v>
      </c>
      <c r="M1606" s="26" t="str">
        <f t="shared" si="108"/>
        <v>put</v>
      </c>
      <c r="N1606" s="28">
        <f t="shared" si="109"/>
        <v>46555</v>
      </c>
      <c r="O1606" s="29">
        <f t="shared" si="110"/>
        <v>620</v>
      </c>
    </row>
    <row r="1607" spans="1:15" x14ac:dyDescent="0.45">
      <c r="A1607" s="11" t="s">
        <v>1930</v>
      </c>
      <c r="B1607" s="12">
        <v>45878.636805555558</v>
      </c>
      <c r="C1607" s="13">
        <v>55</v>
      </c>
      <c r="D1607" s="14">
        <v>0.27</v>
      </c>
      <c r="E1607" s="14">
        <v>0.21</v>
      </c>
      <c r="F1607" s="14">
        <v>0.28000000000000003</v>
      </c>
      <c r="G1607" s="14">
        <v>0</v>
      </c>
      <c r="H1607" s="18">
        <v>0</v>
      </c>
      <c r="I1607" s="14">
        <v>2</v>
      </c>
      <c r="J1607" s="14">
        <v>18</v>
      </c>
      <c r="K1607" s="18">
        <v>0.50639999999999996</v>
      </c>
      <c r="L1607" s="26" t="b">
        <f t="shared" si="111"/>
        <v>0</v>
      </c>
      <c r="M1607" s="26" t="str">
        <f t="shared" si="108"/>
        <v>put</v>
      </c>
      <c r="N1607" s="28">
        <f t="shared" si="109"/>
        <v>46555</v>
      </c>
      <c r="O1607" s="29">
        <f t="shared" si="110"/>
        <v>620</v>
      </c>
    </row>
    <row r="1608" spans="1:15" x14ac:dyDescent="0.45">
      <c r="A1608" s="11" t="s">
        <v>1931</v>
      </c>
      <c r="B1608" s="14" t="s">
        <v>1932</v>
      </c>
      <c r="C1608" s="13">
        <v>60</v>
      </c>
      <c r="D1608" s="14">
        <v>0.27</v>
      </c>
      <c r="E1608" s="14">
        <v>0.26</v>
      </c>
      <c r="F1608" s="14">
        <v>0.32</v>
      </c>
      <c r="G1608" s="14">
        <v>0</v>
      </c>
      <c r="H1608" s="18">
        <v>0</v>
      </c>
      <c r="I1608" s="14">
        <v>2</v>
      </c>
      <c r="J1608" s="14">
        <v>64</v>
      </c>
      <c r="K1608" s="18">
        <v>0.49559999999999998</v>
      </c>
      <c r="L1608" s="26" t="b">
        <f t="shared" si="111"/>
        <v>0</v>
      </c>
      <c r="M1608" s="26" t="str">
        <f t="shared" si="108"/>
        <v>put</v>
      </c>
      <c r="N1608" s="28">
        <f t="shared" si="109"/>
        <v>46555</v>
      </c>
      <c r="O1608" s="29">
        <f t="shared" si="110"/>
        <v>620</v>
      </c>
    </row>
    <row r="1609" spans="1:15" x14ac:dyDescent="0.45">
      <c r="A1609" s="11" t="s">
        <v>1933</v>
      </c>
      <c r="B1609" s="14" t="s">
        <v>1934</v>
      </c>
      <c r="C1609" s="13">
        <v>65</v>
      </c>
      <c r="D1609" s="14">
        <v>0.38</v>
      </c>
      <c r="E1609" s="14">
        <v>0.31</v>
      </c>
      <c r="F1609" s="14">
        <v>0.4</v>
      </c>
      <c r="G1609" s="14">
        <v>0</v>
      </c>
      <c r="H1609" s="18">
        <v>0</v>
      </c>
      <c r="I1609" s="14">
        <v>1</v>
      </c>
      <c r="J1609" s="14">
        <v>29</v>
      </c>
      <c r="K1609" s="18">
        <v>0.4839</v>
      </c>
      <c r="L1609" s="26" t="b">
        <f t="shared" si="111"/>
        <v>0</v>
      </c>
      <c r="M1609" s="26" t="str">
        <f t="shared" si="108"/>
        <v>put</v>
      </c>
      <c r="N1609" s="28">
        <f t="shared" si="109"/>
        <v>46555</v>
      </c>
      <c r="O1609" s="29">
        <f t="shared" si="110"/>
        <v>620</v>
      </c>
    </row>
    <row r="1610" spans="1:15" x14ac:dyDescent="0.45">
      <c r="A1610" s="11" t="s">
        <v>1935</v>
      </c>
      <c r="B1610" s="14" t="s">
        <v>1936</v>
      </c>
      <c r="C1610" s="13">
        <v>70</v>
      </c>
      <c r="D1610" s="14">
        <v>0.41</v>
      </c>
      <c r="E1610" s="14">
        <v>0.38</v>
      </c>
      <c r="F1610" s="14">
        <v>0.44</v>
      </c>
      <c r="G1610" s="14">
        <v>0</v>
      </c>
      <c r="H1610" s="18">
        <v>0</v>
      </c>
      <c r="I1610" s="14">
        <v>6</v>
      </c>
      <c r="J1610" s="14">
        <v>20</v>
      </c>
      <c r="K1610" s="18">
        <v>0.46479999999999999</v>
      </c>
      <c r="L1610" s="26" t="b">
        <f t="shared" si="111"/>
        <v>0</v>
      </c>
      <c r="M1610" s="26" t="str">
        <f t="shared" si="108"/>
        <v>put</v>
      </c>
      <c r="N1610" s="28">
        <f t="shared" si="109"/>
        <v>46555</v>
      </c>
      <c r="O1610" s="29">
        <f t="shared" si="110"/>
        <v>620</v>
      </c>
    </row>
    <row r="1611" spans="1:15" x14ac:dyDescent="0.45">
      <c r="A1611" s="11" t="s">
        <v>1937</v>
      </c>
      <c r="B1611" s="14" t="s">
        <v>1806</v>
      </c>
      <c r="C1611" s="13">
        <v>75</v>
      </c>
      <c r="D1611" s="14">
        <v>0.46</v>
      </c>
      <c r="E1611" s="14">
        <v>0.44</v>
      </c>
      <c r="F1611" s="14">
        <v>0.51</v>
      </c>
      <c r="G1611" s="15">
        <v>0</v>
      </c>
      <c r="H1611" s="16">
        <v>0</v>
      </c>
      <c r="I1611" s="14">
        <v>20</v>
      </c>
      <c r="J1611" s="14">
        <v>423</v>
      </c>
      <c r="K1611" s="18">
        <v>0.45090000000000002</v>
      </c>
      <c r="L1611" s="26" t="b">
        <f t="shared" si="111"/>
        <v>0</v>
      </c>
      <c r="M1611" s="26" t="str">
        <f t="shared" si="108"/>
        <v>put</v>
      </c>
      <c r="N1611" s="28">
        <f t="shared" si="109"/>
        <v>46555</v>
      </c>
      <c r="O1611" s="29">
        <f t="shared" si="110"/>
        <v>620</v>
      </c>
    </row>
    <row r="1612" spans="1:15" x14ac:dyDescent="0.45">
      <c r="A1612" s="11" t="s">
        <v>1938</v>
      </c>
      <c r="B1612" s="14" t="s">
        <v>1939</v>
      </c>
      <c r="C1612" s="13">
        <v>80</v>
      </c>
      <c r="D1612" s="14">
        <v>0.54</v>
      </c>
      <c r="E1612" s="14">
        <v>0.52</v>
      </c>
      <c r="F1612" s="14">
        <v>0.59</v>
      </c>
      <c r="G1612" s="14">
        <v>0</v>
      </c>
      <c r="H1612" s="18">
        <v>0</v>
      </c>
      <c r="I1612" s="14">
        <v>2</v>
      </c>
      <c r="J1612" s="14">
        <v>154</v>
      </c>
      <c r="K1612" s="18">
        <v>0.438</v>
      </c>
      <c r="L1612" s="26" t="b">
        <f t="shared" si="111"/>
        <v>0</v>
      </c>
      <c r="M1612" s="26" t="str">
        <f t="shared" si="108"/>
        <v>put</v>
      </c>
      <c r="N1612" s="28">
        <f t="shared" si="109"/>
        <v>46555</v>
      </c>
      <c r="O1612" s="29">
        <f t="shared" si="110"/>
        <v>620</v>
      </c>
    </row>
    <row r="1613" spans="1:15" x14ac:dyDescent="0.45">
      <c r="A1613" s="11" t="s">
        <v>1940</v>
      </c>
      <c r="B1613" s="14" t="s">
        <v>1941</v>
      </c>
      <c r="C1613" s="13">
        <v>85</v>
      </c>
      <c r="D1613" s="14">
        <v>0.61</v>
      </c>
      <c r="E1613" s="14">
        <v>0.6</v>
      </c>
      <c r="F1613" s="14">
        <v>0.68</v>
      </c>
      <c r="G1613" s="14">
        <v>0</v>
      </c>
      <c r="H1613" s="18">
        <v>0</v>
      </c>
      <c r="I1613" s="14">
        <v>2</v>
      </c>
      <c r="J1613" s="14">
        <v>69</v>
      </c>
      <c r="K1613" s="18">
        <v>0.42599999999999999</v>
      </c>
      <c r="L1613" s="26" t="b">
        <f t="shared" si="111"/>
        <v>0</v>
      </c>
      <c r="M1613" s="26" t="str">
        <f t="shared" si="108"/>
        <v>put</v>
      </c>
      <c r="N1613" s="28">
        <f t="shared" si="109"/>
        <v>46555</v>
      </c>
      <c r="O1613" s="29">
        <f t="shared" si="110"/>
        <v>620</v>
      </c>
    </row>
    <row r="1614" spans="1:15" x14ac:dyDescent="0.45">
      <c r="A1614" s="11" t="s">
        <v>1942</v>
      </c>
      <c r="B1614" s="14" t="s">
        <v>1943</v>
      </c>
      <c r="C1614" s="13">
        <v>90</v>
      </c>
      <c r="D1614" s="14">
        <v>0.73</v>
      </c>
      <c r="E1614" s="14">
        <v>0.7</v>
      </c>
      <c r="F1614" s="14">
        <v>0.78</v>
      </c>
      <c r="G1614" s="14">
        <v>0</v>
      </c>
      <c r="H1614" s="18">
        <v>0</v>
      </c>
      <c r="I1614" s="14">
        <v>2</v>
      </c>
      <c r="J1614" s="14">
        <v>61</v>
      </c>
      <c r="K1614" s="18">
        <v>0.41460000000000002</v>
      </c>
      <c r="L1614" s="26" t="b">
        <f t="shared" si="111"/>
        <v>0</v>
      </c>
      <c r="M1614" s="26" t="str">
        <f t="shared" si="108"/>
        <v>put</v>
      </c>
      <c r="N1614" s="28">
        <f t="shared" si="109"/>
        <v>46555</v>
      </c>
      <c r="O1614" s="29">
        <f t="shared" si="110"/>
        <v>620</v>
      </c>
    </row>
    <row r="1615" spans="1:15" x14ac:dyDescent="0.45">
      <c r="A1615" s="11" t="s">
        <v>1944</v>
      </c>
      <c r="B1615" s="14" t="s">
        <v>1945</v>
      </c>
      <c r="C1615" s="13">
        <v>95</v>
      </c>
      <c r="D1615" s="14">
        <v>0.87</v>
      </c>
      <c r="E1615" s="14">
        <v>0.81</v>
      </c>
      <c r="F1615" s="14">
        <v>0.9</v>
      </c>
      <c r="G1615" s="19">
        <v>0</v>
      </c>
      <c r="H1615" s="20">
        <v>0</v>
      </c>
      <c r="I1615" s="14">
        <v>12</v>
      </c>
      <c r="J1615" s="14">
        <v>157</v>
      </c>
      <c r="K1615" s="18">
        <v>0.40429999999999999</v>
      </c>
      <c r="L1615" s="26" t="b">
        <f t="shared" si="111"/>
        <v>0</v>
      </c>
      <c r="M1615" s="26" t="str">
        <f t="shared" si="108"/>
        <v>put</v>
      </c>
      <c r="N1615" s="28">
        <f t="shared" si="109"/>
        <v>46555</v>
      </c>
      <c r="O1615" s="29">
        <f t="shared" si="110"/>
        <v>620</v>
      </c>
    </row>
    <row r="1616" spans="1:15" x14ac:dyDescent="0.45">
      <c r="A1616" s="11" t="s">
        <v>1946</v>
      </c>
      <c r="B1616" s="12">
        <v>45698.506944444445</v>
      </c>
      <c r="C1616" s="13">
        <v>100</v>
      </c>
      <c r="D1616" s="14">
        <v>0.94</v>
      </c>
      <c r="E1616" s="14">
        <v>0.95</v>
      </c>
      <c r="F1616" s="14">
        <v>1.03</v>
      </c>
      <c r="G1616" s="19">
        <v>0</v>
      </c>
      <c r="H1616" s="20">
        <v>0</v>
      </c>
      <c r="I1616" s="14">
        <v>1</v>
      </c>
      <c r="J1616" s="17">
        <v>1165</v>
      </c>
      <c r="K1616" s="18">
        <v>0.39429999999999998</v>
      </c>
      <c r="L1616" s="26" t="b">
        <f t="shared" si="111"/>
        <v>0</v>
      </c>
      <c r="M1616" s="26" t="str">
        <f t="shared" si="108"/>
        <v>put</v>
      </c>
      <c r="N1616" s="28">
        <f t="shared" si="109"/>
        <v>46555</v>
      </c>
      <c r="O1616" s="29">
        <f t="shared" si="110"/>
        <v>620</v>
      </c>
    </row>
    <row r="1617" spans="1:15" x14ac:dyDescent="0.45">
      <c r="A1617" s="11" t="s">
        <v>1947</v>
      </c>
      <c r="B1617" s="14" t="s">
        <v>1948</v>
      </c>
      <c r="C1617" s="13">
        <v>105</v>
      </c>
      <c r="D1617" s="14">
        <v>1.1399999999999999</v>
      </c>
      <c r="E1617" s="14">
        <v>1.0900000000000001</v>
      </c>
      <c r="F1617" s="14">
        <v>1.18</v>
      </c>
      <c r="G1617" s="14">
        <v>0</v>
      </c>
      <c r="H1617" s="18">
        <v>0</v>
      </c>
      <c r="I1617" s="14">
        <v>7</v>
      </c>
      <c r="J1617" s="14">
        <v>431</v>
      </c>
      <c r="K1617" s="18">
        <v>0.38500000000000001</v>
      </c>
      <c r="L1617" s="26" t="b">
        <f t="shared" si="111"/>
        <v>0</v>
      </c>
      <c r="M1617" s="26" t="str">
        <f t="shared" si="108"/>
        <v>put</v>
      </c>
      <c r="N1617" s="28">
        <f t="shared" si="109"/>
        <v>46555</v>
      </c>
      <c r="O1617" s="29">
        <f t="shared" si="110"/>
        <v>620</v>
      </c>
    </row>
    <row r="1618" spans="1:15" x14ac:dyDescent="0.45">
      <c r="A1618" s="11" t="s">
        <v>1949</v>
      </c>
      <c r="B1618" s="12">
        <v>45667.542361111111</v>
      </c>
      <c r="C1618" s="13">
        <v>110</v>
      </c>
      <c r="D1618" s="14">
        <v>1.29</v>
      </c>
      <c r="E1618" s="14">
        <v>1.25</v>
      </c>
      <c r="F1618" s="14">
        <v>1.35</v>
      </c>
      <c r="G1618" s="15">
        <v>0</v>
      </c>
      <c r="H1618" s="16">
        <v>0</v>
      </c>
      <c r="I1618" s="14">
        <v>7</v>
      </c>
      <c r="J1618" s="14">
        <v>74</v>
      </c>
      <c r="K1618" s="18">
        <v>0.37630000000000002</v>
      </c>
      <c r="L1618" s="26" t="b">
        <f t="shared" si="111"/>
        <v>0</v>
      </c>
      <c r="M1618" s="26" t="str">
        <f t="shared" si="108"/>
        <v>put</v>
      </c>
      <c r="N1618" s="28">
        <f t="shared" si="109"/>
        <v>46555</v>
      </c>
      <c r="O1618" s="29">
        <f t="shared" si="110"/>
        <v>620</v>
      </c>
    </row>
    <row r="1619" spans="1:15" x14ac:dyDescent="0.45">
      <c r="A1619" s="11" t="s">
        <v>1950</v>
      </c>
      <c r="B1619" s="12">
        <v>45667.547222222223</v>
      </c>
      <c r="C1619" s="13">
        <v>115</v>
      </c>
      <c r="D1619" s="14">
        <v>1.49</v>
      </c>
      <c r="E1619" s="14">
        <v>1.44</v>
      </c>
      <c r="F1619" s="14">
        <v>1.54</v>
      </c>
      <c r="G1619" s="15">
        <v>0</v>
      </c>
      <c r="H1619" s="16">
        <v>0</v>
      </c>
      <c r="I1619" s="14">
        <v>5</v>
      </c>
      <c r="J1619" s="14">
        <v>46</v>
      </c>
      <c r="K1619" s="18">
        <v>0.36799999999999999</v>
      </c>
      <c r="L1619" s="26" t="b">
        <f t="shared" si="111"/>
        <v>0</v>
      </c>
      <c r="M1619" s="26" t="str">
        <f t="shared" si="108"/>
        <v>put</v>
      </c>
      <c r="N1619" s="28">
        <f t="shared" si="109"/>
        <v>46555</v>
      </c>
      <c r="O1619" s="29">
        <f t="shared" si="110"/>
        <v>620</v>
      </c>
    </row>
    <row r="1620" spans="1:15" x14ac:dyDescent="0.45">
      <c r="A1620" s="11" t="s">
        <v>1951</v>
      </c>
      <c r="B1620" s="12">
        <v>45667.645138888889</v>
      </c>
      <c r="C1620" s="13">
        <v>120</v>
      </c>
      <c r="D1620" s="14">
        <v>1.71</v>
      </c>
      <c r="E1620" s="14">
        <v>1.65</v>
      </c>
      <c r="F1620" s="14">
        <v>1.75</v>
      </c>
      <c r="G1620" s="15">
        <v>0</v>
      </c>
      <c r="H1620" s="16">
        <v>0</v>
      </c>
      <c r="I1620" s="14">
        <v>23</v>
      </c>
      <c r="J1620" s="14">
        <v>436</v>
      </c>
      <c r="K1620" s="18">
        <v>0.36</v>
      </c>
      <c r="L1620" s="26" t="b">
        <f t="shared" si="111"/>
        <v>0</v>
      </c>
      <c r="M1620" s="26" t="str">
        <f t="shared" si="108"/>
        <v>put</v>
      </c>
      <c r="N1620" s="28">
        <f t="shared" si="109"/>
        <v>46555</v>
      </c>
      <c r="O1620" s="29">
        <f t="shared" si="110"/>
        <v>620</v>
      </c>
    </row>
    <row r="1621" spans="1:15" x14ac:dyDescent="0.45">
      <c r="A1621" s="11" t="s">
        <v>1952</v>
      </c>
      <c r="B1621" s="14" t="s">
        <v>1953</v>
      </c>
      <c r="C1621" s="13">
        <v>125</v>
      </c>
      <c r="D1621" s="14">
        <v>1.98</v>
      </c>
      <c r="E1621" s="14">
        <v>1.89</v>
      </c>
      <c r="F1621" s="14">
        <v>1.99</v>
      </c>
      <c r="G1621" s="14">
        <v>0</v>
      </c>
      <c r="H1621" s="18">
        <v>0</v>
      </c>
      <c r="I1621" s="14">
        <v>12</v>
      </c>
      <c r="J1621" s="14">
        <v>532</v>
      </c>
      <c r="K1621" s="18">
        <v>0.35249999999999998</v>
      </c>
      <c r="L1621" s="26" t="b">
        <f t="shared" si="111"/>
        <v>0</v>
      </c>
      <c r="M1621" s="26" t="str">
        <f t="shared" si="108"/>
        <v>put</v>
      </c>
      <c r="N1621" s="28">
        <f t="shared" si="109"/>
        <v>46555</v>
      </c>
      <c r="O1621" s="29">
        <f t="shared" si="110"/>
        <v>620</v>
      </c>
    </row>
    <row r="1622" spans="1:15" x14ac:dyDescent="0.45">
      <c r="A1622" s="11" t="s">
        <v>1954</v>
      </c>
      <c r="B1622" s="14" t="s">
        <v>1955</v>
      </c>
      <c r="C1622" s="13">
        <v>130</v>
      </c>
      <c r="D1622" s="14">
        <v>2.2799999999999998</v>
      </c>
      <c r="E1622" s="14">
        <v>2.14</v>
      </c>
      <c r="F1622" s="14">
        <v>2.25</v>
      </c>
      <c r="G1622" s="15">
        <v>0</v>
      </c>
      <c r="H1622" s="16">
        <v>0</v>
      </c>
      <c r="I1622" s="14">
        <v>13</v>
      </c>
      <c r="J1622" s="14">
        <v>402</v>
      </c>
      <c r="K1622" s="18">
        <v>0.34520000000000001</v>
      </c>
      <c r="L1622" s="26" t="b">
        <f t="shared" si="111"/>
        <v>0</v>
      </c>
      <c r="M1622" s="26" t="str">
        <f t="shared" si="108"/>
        <v>put</v>
      </c>
      <c r="N1622" s="28">
        <f t="shared" si="109"/>
        <v>46555</v>
      </c>
      <c r="O1622" s="29">
        <f t="shared" si="110"/>
        <v>620</v>
      </c>
    </row>
    <row r="1623" spans="1:15" x14ac:dyDescent="0.45">
      <c r="A1623" s="11" t="s">
        <v>1956</v>
      </c>
      <c r="B1623" s="12">
        <v>45667.552777777775</v>
      </c>
      <c r="C1623" s="13">
        <v>135</v>
      </c>
      <c r="D1623" s="14">
        <v>2.4900000000000002</v>
      </c>
      <c r="E1623" s="14">
        <v>2.42</v>
      </c>
      <c r="F1623" s="14">
        <v>2.59</v>
      </c>
      <c r="G1623" s="19">
        <v>0</v>
      </c>
      <c r="H1623" s="20">
        <v>0</v>
      </c>
      <c r="I1623" s="14">
        <v>5</v>
      </c>
      <c r="J1623" s="14">
        <v>468</v>
      </c>
      <c r="K1623" s="18">
        <v>0.33960000000000001</v>
      </c>
      <c r="L1623" s="26" t="b">
        <f t="shared" si="111"/>
        <v>0</v>
      </c>
      <c r="M1623" s="26" t="str">
        <f t="shared" si="108"/>
        <v>put</v>
      </c>
      <c r="N1623" s="28">
        <f t="shared" si="109"/>
        <v>46555</v>
      </c>
      <c r="O1623" s="29">
        <f t="shared" si="110"/>
        <v>620</v>
      </c>
    </row>
    <row r="1624" spans="1:15" x14ac:dyDescent="0.45">
      <c r="A1624" s="11" t="s">
        <v>1957</v>
      </c>
      <c r="B1624" s="12">
        <v>45698.545138888891</v>
      </c>
      <c r="C1624" s="13">
        <v>140</v>
      </c>
      <c r="D1624" s="14">
        <v>2.77</v>
      </c>
      <c r="E1624" s="14">
        <v>2.76</v>
      </c>
      <c r="F1624" s="14">
        <v>2.87</v>
      </c>
      <c r="G1624" s="15">
        <v>0</v>
      </c>
      <c r="H1624" s="16">
        <v>0</v>
      </c>
      <c r="I1624" s="14">
        <v>20</v>
      </c>
      <c r="J1624" s="14">
        <v>180</v>
      </c>
      <c r="K1624" s="18">
        <v>0.33150000000000002</v>
      </c>
      <c r="L1624" s="26" t="b">
        <f t="shared" si="111"/>
        <v>0</v>
      </c>
      <c r="M1624" s="26" t="str">
        <f t="shared" si="108"/>
        <v>put</v>
      </c>
      <c r="N1624" s="28">
        <f t="shared" si="109"/>
        <v>46555</v>
      </c>
      <c r="O1624" s="29">
        <f t="shared" si="110"/>
        <v>620</v>
      </c>
    </row>
    <row r="1625" spans="1:15" x14ac:dyDescent="0.45">
      <c r="A1625" s="11" t="s">
        <v>1958</v>
      </c>
      <c r="B1625" s="12">
        <v>45698.580555555556</v>
      </c>
      <c r="C1625" s="13">
        <v>145</v>
      </c>
      <c r="D1625" s="14">
        <v>3.15</v>
      </c>
      <c r="E1625" s="14">
        <v>3.1</v>
      </c>
      <c r="F1625" s="14">
        <v>3.25</v>
      </c>
      <c r="G1625" s="15">
        <v>0</v>
      </c>
      <c r="H1625" s="16">
        <v>0</v>
      </c>
      <c r="I1625" s="14">
        <v>3</v>
      </c>
      <c r="J1625" s="14">
        <v>212</v>
      </c>
      <c r="K1625" s="18">
        <v>0.32550000000000001</v>
      </c>
      <c r="L1625" s="26" t="b">
        <f t="shared" si="111"/>
        <v>0</v>
      </c>
      <c r="M1625" s="26" t="str">
        <f t="shared" si="108"/>
        <v>put</v>
      </c>
      <c r="N1625" s="28">
        <f t="shared" si="109"/>
        <v>46555</v>
      </c>
      <c r="O1625" s="29">
        <f t="shared" si="110"/>
        <v>620</v>
      </c>
    </row>
    <row r="1626" spans="1:15" x14ac:dyDescent="0.45">
      <c r="A1626" s="11" t="s">
        <v>1959</v>
      </c>
      <c r="B1626" s="14" t="s">
        <v>1960</v>
      </c>
      <c r="C1626" s="13">
        <v>150</v>
      </c>
      <c r="D1626" s="14">
        <v>3.65</v>
      </c>
      <c r="E1626" s="14">
        <v>3.5</v>
      </c>
      <c r="F1626" s="14">
        <v>3.65</v>
      </c>
      <c r="G1626" s="15">
        <v>0</v>
      </c>
      <c r="H1626" s="16">
        <v>0</v>
      </c>
      <c r="I1626" s="14">
        <v>18</v>
      </c>
      <c r="J1626" s="17">
        <v>2268</v>
      </c>
      <c r="K1626" s="18">
        <v>0.31919999999999998</v>
      </c>
      <c r="L1626" s="26" t="b">
        <f t="shared" si="111"/>
        <v>0</v>
      </c>
      <c r="M1626" s="26" t="str">
        <f t="shared" si="108"/>
        <v>put</v>
      </c>
      <c r="N1626" s="28">
        <f t="shared" si="109"/>
        <v>46555</v>
      </c>
      <c r="O1626" s="29">
        <f t="shared" si="110"/>
        <v>620</v>
      </c>
    </row>
    <row r="1627" spans="1:15" x14ac:dyDescent="0.45">
      <c r="A1627" s="11" t="s">
        <v>1961</v>
      </c>
      <c r="B1627" s="12">
        <v>45667.541666666664</v>
      </c>
      <c r="C1627" s="13">
        <v>155</v>
      </c>
      <c r="D1627" s="14">
        <v>4</v>
      </c>
      <c r="E1627" s="14">
        <v>3.9</v>
      </c>
      <c r="F1627" s="14">
        <v>4.0999999999999996</v>
      </c>
      <c r="G1627" s="15">
        <v>0</v>
      </c>
      <c r="H1627" s="16">
        <v>0</v>
      </c>
      <c r="I1627" s="14">
        <v>1</v>
      </c>
      <c r="J1627" s="14">
        <v>151</v>
      </c>
      <c r="K1627" s="18">
        <v>0.31340000000000001</v>
      </c>
      <c r="L1627" s="26" t="b">
        <f t="shared" si="111"/>
        <v>0</v>
      </c>
      <c r="M1627" s="26" t="str">
        <f t="shared" si="108"/>
        <v>put</v>
      </c>
      <c r="N1627" s="28">
        <f t="shared" si="109"/>
        <v>46555</v>
      </c>
      <c r="O1627" s="29">
        <f t="shared" si="110"/>
        <v>620</v>
      </c>
    </row>
    <row r="1628" spans="1:15" x14ac:dyDescent="0.45">
      <c r="A1628" s="11" t="s">
        <v>1962</v>
      </c>
      <c r="B1628" s="12">
        <v>45667.54583333333</v>
      </c>
      <c r="C1628" s="13">
        <v>160</v>
      </c>
      <c r="D1628" s="14">
        <v>4.5</v>
      </c>
      <c r="E1628" s="14">
        <v>4.4000000000000004</v>
      </c>
      <c r="F1628" s="14">
        <v>4.55</v>
      </c>
      <c r="G1628" s="15">
        <v>0</v>
      </c>
      <c r="H1628" s="16">
        <v>0</v>
      </c>
      <c r="I1628" s="14">
        <v>3</v>
      </c>
      <c r="J1628" s="17">
        <v>1189</v>
      </c>
      <c r="K1628" s="18">
        <v>0.30680000000000002</v>
      </c>
      <c r="L1628" s="26" t="b">
        <f t="shared" si="111"/>
        <v>0</v>
      </c>
      <c r="M1628" s="26" t="str">
        <f t="shared" si="108"/>
        <v>put</v>
      </c>
      <c r="N1628" s="28">
        <f t="shared" si="109"/>
        <v>46555</v>
      </c>
      <c r="O1628" s="29">
        <f t="shared" si="110"/>
        <v>620</v>
      </c>
    </row>
    <row r="1629" spans="1:15" x14ac:dyDescent="0.45">
      <c r="A1629" s="11" t="s">
        <v>1963</v>
      </c>
      <c r="B1629" s="12">
        <v>45698.501388888886</v>
      </c>
      <c r="C1629" s="13">
        <v>165</v>
      </c>
      <c r="D1629" s="14">
        <v>4.9400000000000004</v>
      </c>
      <c r="E1629" s="14">
        <v>4.9000000000000004</v>
      </c>
      <c r="F1629" s="14">
        <v>5.0999999999999996</v>
      </c>
      <c r="G1629" s="15">
        <v>0</v>
      </c>
      <c r="H1629" s="16">
        <v>0</v>
      </c>
      <c r="I1629" s="14">
        <v>2</v>
      </c>
      <c r="J1629" s="17">
        <v>1289</v>
      </c>
      <c r="K1629" s="18">
        <v>0.3014</v>
      </c>
      <c r="L1629" s="26" t="b">
        <f t="shared" si="111"/>
        <v>0</v>
      </c>
      <c r="M1629" s="26" t="str">
        <f t="shared" si="108"/>
        <v>put</v>
      </c>
      <c r="N1629" s="28">
        <f t="shared" si="109"/>
        <v>46555</v>
      </c>
      <c r="O1629" s="29">
        <f t="shared" si="110"/>
        <v>620</v>
      </c>
    </row>
    <row r="1630" spans="1:15" x14ac:dyDescent="0.45">
      <c r="A1630" s="11" t="s">
        <v>1964</v>
      </c>
      <c r="B1630" s="12">
        <v>45726.537499999999</v>
      </c>
      <c r="C1630" s="13">
        <v>170</v>
      </c>
      <c r="D1630" s="14">
        <v>5.55</v>
      </c>
      <c r="E1630" s="14">
        <v>5.5</v>
      </c>
      <c r="F1630" s="14">
        <v>5.65</v>
      </c>
      <c r="G1630" s="15">
        <v>-0.11</v>
      </c>
      <c r="H1630" s="16">
        <v>-1.9400000000000001E-2</v>
      </c>
      <c r="I1630" s="14">
        <v>1</v>
      </c>
      <c r="J1630" s="17">
        <v>1448</v>
      </c>
      <c r="K1630" s="18">
        <v>0.2954</v>
      </c>
      <c r="L1630" s="26" t="b">
        <f t="shared" si="111"/>
        <v>0</v>
      </c>
      <c r="M1630" s="26" t="str">
        <f t="shared" si="108"/>
        <v>put</v>
      </c>
      <c r="N1630" s="28">
        <f t="shared" si="109"/>
        <v>46555</v>
      </c>
      <c r="O1630" s="29">
        <f t="shared" si="110"/>
        <v>620</v>
      </c>
    </row>
    <row r="1631" spans="1:15" x14ac:dyDescent="0.45">
      <c r="A1631" s="11" t="s">
        <v>1965</v>
      </c>
      <c r="B1631" s="12">
        <v>45698.501388888886</v>
      </c>
      <c r="C1631" s="13">
        <v>175</v>
      </c>
      <c r="D1631" s="14">
        <v>6.12</v>
      </c>
      <c r="E1631" s="14">
        <v>6.15</v>
      </c>
      <c r="F1631" s="14">
        <v>6.3</v>
      </c>
      <c r="G1631" s="15">
        <v>0</v>
      </c>
      <c r="H1631" s="16">
        <v>0</v>
      </c>
      <c r="I1631" s="14">
        <v>2</v>
      </c>
      <c r="J1631" s="17">
        <v>1131</v>
      </c>
      <c r="K1631" s="18">
        <v>0.29020000000000001</v>
      </c>
      <c r="L1631" s="26" t="b">
        <f t="shared" si="111"/>
        <v>0</v>
      </c>
      <c r="M1631" s="26" t="str">
        <f t="shared" si="108"/>
        <v>put</v>
      </c>
      <c r="N1631" s="28">
        <f t="shared" si="109"/>
        <v>46555</v>
      </c>
      <c r="O1631" s="29">
        <f t="shared" si="110"/>
        <v>620</v>
      </c>
    </row>
    <row r="1632" spans="1:15" x14ac:dyDescent="0.45">
      <c r="A1632" s="11" t="s">
        <v>1966</v>
      </c>
      <c r="B1632" s="12">
        <v>45667.637499999997</v>
      </c>
      <c r="C1632" s="13">
        <v>180</v>
      </c>
      <c r="D1632" s="14">
        <v>7</v>
      </c>
      <c r="E1632" s="14">
        <v>6.8</v>
      </c>
      <c r="F1632" s="14">
        <v>7</v>
      </c>
      <c r="G1632" s="15">
        <v>0</v>
      </c>
      <c r="H1632" s="16">
        <v>0</v>
      </c>
      <c r="I1632" s="14">
        <v>17</v>
      </c>
      <c r="J1632" s="17">
        <v>2251</v>
      </c>
      <c r="K1632" s="18">
        <v>0.28499999999999998</v>
      </c>
      <c r="L1632" s="26" t="b">
        <f t="shared" si="111"/>
        <v>0</v>
      </c>
      <c r="M1632" s="26" t="str">
        <f t="shared" si="108"/>
        <v>put</v>
      </c>
      <c r="N1632" s="28">
        <f t="shared" si="109"/>
        <v>46555</v>
      </c>
      <c r="O1632" s="29">
        <f t="shared" si="110"/>
        <v>620</v>
      </c>
    </row>
    <row r="1633" spans="1:15" x14ac:dyDescent="0.45">
      <c r="A1633" s="11" t="s">
        <v>1967</v>
      </c>
      <c r="B1633" s="12">
        <v>45667.634027777778</v>
      </c>
      <c r="C1633" s="13">
        <v>185</v>
      </c>
      <c r="D1633" s="14">
        <v>7.75</v>
      </c>
      <c r="E1633" s="14">
        <v>7.55</v>
      </c>
      <c r="F1633" s="14">
        <v>7.75</v>
      </c>
      <c r="G1633" s="15">
        <v>0</v>
      </c>
      <c r="H1633" s="16">
        <v>0</v>
      </c>
      <c r="I1633" s="14">
        <v>13</v>
      </c>
      <c r="J1633" s="14">
        <v>389</v>
      </c>
      <c r="K1633" s="18">
        <v>0.27979999999999999</v>
      </c>
      <c r="L1633" s="26" t="b">
        <f t="shared" si="111"/>
        <v>0</v>
      </c>
      <c r="M1633" s="26" t="str">
        <f t="shared" si="108"/>
        <v>put</v>
      </c>
      <c r="N1633" s="28">
        <f t="shared" si="109"/>
        <v>46555</v>
      </c>
      <c r="O1633" s="29">
        <f t="shared" si="110"/>
        <v>620</v>
      </c>
    </row>
    <row r="1634" spans="1:15" x14ac:dyDescent="0.45">
      <c r="A1634" s="11" t="s">
        <v>1968</v>
      </c>
      <c r="B1634" s="12">
        <v>45667.645138888889</v>
      </c>
      <c r="C1634" s="13">
        <v>190</v>
      </c>
      <c r="D1634" s="14">
        <v>8.6999999999999993</v>
      </c>
      <c r="E1634" s="14">
        <v>8.4</v>
      </c>
      <c r="F1634" s="14">
        <v>8.5500000000000007</v>
      </c>
      <c r="G1634" s="15">
        <v>0</v>
      </c>
      <c r="H1634" s="16">
        <v>0</v>
      </c>
      <c r="I1634" s="14">
        <v>17</v>
      </c>
      <c r="J1634" s="14">
        <v>744</v>
      </c>
      <c r="K1634" s="18">
        <v>0.27450000000000002</v>
      </c>
      <c r="L1634" s="26" t="b">
        <f t="shared" si="111"/>
        <v>0</v>
      </c>
      <c r="M1634" s="26" t="str">
        <f t="shared" si="108"/>
        <v>put</v>
      </c>
      <c r="N1634" s="28">
        <f t="shared" si="109"/>
        <v>46555</v>
      </c>
      <c r="O1634" s="29">
        <f t="shared" si="110"/>
        <v>620</v>
      </c>
    </row>
    <row r="1635" spans="1:15" x14ac:dyDescent="0.45">
      <c r="A1635" s="11" t="s">
        <v>1969</v>
      </c>
      <c r="B1635" s="12">
        <v>45698.601388888892</v>
      </c>
      <c r="C1635" s="13">
        <v>195</v>
      </c>
      <c r="D1635" s="14">
        <v>9.35</v>
      </c>
      <c r="E1635" s="14">
        <v>9.3000000000000007</v>
      </c>
      <c r="F1635" s="14">
        <v>9.4499999999999993</v>
      </c>
      <c r="G1635" s="15">
        <v>-0.05</v>
      </c>
      <c r="H1635" s="16">
        <v>-5.3E-3</v>
      </c>
      <c r="I1635" s="14">
        <v>1</v>
      </c>
      <c r="J1635" s="17">
        <v>2579</v>
      </c>
      <c r="K1635" s="18">
        <v>0.26960000000000001</v>
      </c>
      <c r="L1635" s="26" t="b">
        <f t="shared" si="111"/>
        <v>0</v>
      </c>
      <c r="M1635" s="26" t="str">
        <f t="shared" si="108"/>
        <v>put</v>
      </c>
      <c r="N1635" s="28">
        <f t="shared" si="109"/>
        <v>46555</v>
      </c>
      <c r="O1635" s="29">
        <f t="shared" si="110"/>
        <v>620</v>
      </c>
    </row>
    <row r="1636" spans="1:15" x14ac:dyDescent="0.45">
      <c r="A1636" s="11" t="s">
        <v>1970</v>
      </c>
      <c r="B1636" s="12">
        <v>45726.587500000001</v>
      </c>
      <c r="C1636" s="13">
        <v>200</v>
      </c>
      <c r="D1636" s="14">
        <v>10.55</v>
      </c>
      <c r="E1636" s="14">
        <v>10.25</v>
      </c>
      <c r="F1636" s="14">
        <v>10.45</v>
      </c>
      <c r="G1636" s="15">
        <v>0.09</v>
      </c>
      <c r="H1636" s="16">
        <v>8.6E-3</v>
      </c>
      <c r="I1636" s="14">
        <v>8</v>
      </c>
      <c r="J1636" s="17">
        <v>3830</v>
      </c>
      <c r="K1636" s="18">
        <v>0.26519999999999999</v>
      </c>
      <c r="L1636" s="26" t="b">
        <f t="shared" si="111"/>
        <v>0</v>
      </c>
      <c r="M1636" s="26" t="str">
        <f t="shared" si="108"/>
        <v>put</v>
      </c>
      <c r="N1636" s="28">
        <f t="shared" si="109"/>
        <v>46555</v>
      </c>
      <c r="O1636" s="29">
        <f t="shared" si="110"/>
        <v>620</v>
      </c>
    </row>
    <row r="1637" spans="1:15" x14ac:dyDescent="0.45">
      <c r="A1637" s="11" t="s">
        <v>1971</v>
      </c>
      <c r="B1637" s="12">
        <v>45698.606249999997</v>
      </c>
      <c r="C1637" s="13">
        <v>210</v>
      </c>
      <c r="D1637" s="14">
        <v>12.65</v>
      </c>
      <c r="E1637" s="14">
        <v>12.45</v>
      </c>
      <c r="F1637" s="14">
        <v>12.65</v>
      </c>
      <c r="G1637" s="15">
        <v>0</v>
      </c>
      <c r="H1637" s="16">
        <v>0</v>
      </c>
      <c r="I1637" s="14">
        <v>70</v>
      </c>
      <c r="J1637" s="17">
        <v>1212</v>
      </c>
      <c r="K1637" s="18">
        <v>0.25600000000000001</v>
      </c>
      <c r="L1637" s="26" t="b">
        <f t="shared" si="111"/>
        <v>0</v>
      </c>
      <c r="M1637" s="26" t="str">
        <f t="shared" si="108"/>
        <v>put</v>
      </c>
      <c r="N1637" s="28">
        <f t="shared" si="109"/>
        <v>46555</v>
      </c>
      <c r="O1637" s="29">
        <f t="shared" si="110"/>
        <v>620</v>
      </c>
    </row>
    <row r="1638" spans="1:15" x14ac:dyDescent="0.45">
      <c r="A1638" s="11" t="s">
        <v>1972</v>
      </c>
      <c r="B1638" s="12">
        <v>45726.611111111109</v>
      </c>
      <c r="C1638" s="13">
        <v>220</v>
      </c>
      <c r="D1638" s="14">
        <v>15.01</v>
      </c>
      <c r="E1638" s="14">
        <v>14.95</v>
      </c>
      <c r="F1638" s="14">
        <v>15.15</v>
      </c>
      <c r="G1638" s="15">
        <v>-0.16</v>
      </c>
      <c r="H1638" s="16">
        <v>-1.0500000000000001E-2</v>
      </c>
      <c r="I1638" s="14">
        <v>2</v>
      </c>
      <c r="J1638" s="17">
        <v>1034</v>
      </c>
      <c r="K1638" s="18">
        <v>0.24660000000000001</v>
      </c>
      <c r="L1638" s="26" t="b">
        <f t="shared" si="111"/>
        <v>0</v>
      </c>
      <c r="M1638" s="26" t="str">
        <f t="shared" si="108"/>
        <v>put</v>
      </c>
      <c r="N1638" s="28">
        <f t="shared" si="109"/>
        <v>46555</v>
      </c>
      <c r="O1638" s="29">
        <f t="shared" si="110"/>
        <v>620</v>
      </c>
    </row>
    <row r="1639" spans="1:15" x14ac:dyDescent="0.45">
      <c r="A1639" s="11" t="s">
        <v>1973</v>
      </c>
      <c r="B1639" s="12">
        <v>45726.661805555559</v>
      </c>
      <c r="C1639" s="13">
        <v>230</v>
      </c>
      <c r="D1639" s="14">
        <v>18.13</v>
      </c>
      <c r="E1639" s="14">
        <v>17.8</v>
      </c>
      <c r="F1639" s="14">
        <v>18.100000000000001</v>
      </c>
      <c r="G1639" s="15">
        <v>0</v>
      </c>
      <c r="H1639" s="16">
        <v>0</v>
      </c>
      <c r="I1639" s="14">
        <v>13</v>
      </c>
      <c r="J1639" s="14">
        <v>807</v>
      </c>
      <c r="K1639" s="18">
        <v>0.23799999999999999</v>
      </c>
      <c r="L1639" s="26" t="b">
        <f t="shared" si="111"/>
        <v>0</v>
      </c>
      <c r="M1639" s="26" t="str">
        <f t="shared" si="108"/>
        <v>put</v>
      </c>
      <c r="N1639" s="28">
        <f t="shared" si="109"/>
        <v>46555</v>
      </c>
      <c r="O1639" s="29">
        <f t="shared" si="110"/>
        <v>620</v>
      </c>
    </row>
    <row r="1640" spans="1:15" x14ac:dyDescent="0.45">
      <c r="A1640" s="11" t="s">
        <v>1974</v>
      </c>
      <c r="B1640" s="12">
        <v>45726.624305555553</v>
      </c>
      <c r="C1640" s="13">
        <v>240</v>
      </c>
      <c r="D1640" s="14">
        <v>21.3</v>
      </c>
      <c r="E1640" s="14">
        <v>21.2</v>
      </c>
      <c r="F1640" s="14">
        <v>21.45</v>
      </c>
      <c r="G1640" s="15">
        <v>-0.25</v>
      </c>
      <c r="H1640" s="16">
        <v>-1.1599999999999999E-2</v>
      </c>
      <c r="I1640" s="14">
        <v>53</v>
      </c>
      <c r="J1640" s="14">
        <v>314</v>
      </c>
      <c r="K1640" s="18">
        <v>0.22950000000000001</v>
      </c>
      <c r="L1640" s="26" t="b">
        <f t="shared" si="111"/>
        <v>0</v>
      </c>
      <c r="M1640" s="26" t="str">
        <f t="shared" si="108"/>
        <v>put</v>
      </c>
      <c r="N1640" s="28">
        <f t="shared" si="109"/>
        <v>46555</v>
      </c>
      <c r="O1640" s="29">
        <f t="shared" si="110"/>
        <v>620</v>
      </c>
    </row>
    <row r="1641" spans="1:15" x14ac:dyDescent="0.45">
      <c r="A1641" s="11" t="s">
        <v>1975</v>
      </c>
      <c r="B1641" s="12">
        <v>45726.636805555558</v>
      </c>
      <c r="C1641" s="13">
        <v>250</v>
      </c>
      <c r="D1641" s="14">
        <v>25.15</v>
      </c>
      <c r="E1641" s="14">
        <v>24.85</v>
      </c>
      <c r="F1641" s="14">
        <v>25.2</v>
      </c>
      <c r="G1641" s="19">
        <v>-0.1</v>
      </c>
      <c r="H1641" s="20">
        <v>-4.0000000000000001E-3</v>
      </c>
      <c r="I1641" s="14">
        <v>9</v>
      </c>
      <c r="J1641" s="14">
        <v>294</v>
      </c>
      <c r="K1641" s="18">
        <v>0.22059999999999999</v>
      </c>
      <c r="L1641" s="26" t="b">
        <f t="shared" si="111"/>
        <v>0</v>
      </c>
      <c r="M1641" s="26" t="str">
        <f t="shared" si="108"/>
        <v>put</v>
      </c>
      <c r="N1641" s="28">
        <f t="shared" si="109"/>
        <v>46555</v>
      </c>
      <c r="O1641" s="29">
        <f t="shared" si="110"/>
        <v>620</v>
      </c>
    </row>
    <row r="1642" spans="1:15" x14ac:dyDescent="0.45">
      <c r="A1642" s="1" t="s">
        <v>1976</v>
      </c>
      <c r="B1642" s="2">
        <v>45726.65</v>
      </c>
      <c r="C1642" s="3">
        <v>260</v>
      </c>
      <c r="D1642" s="4">
        <v>29.46</v>
      </c>
      <c r="E1642" s="4">
        <v>29.2</v>
      </c>
      <c r="F1642" s="4">
        <v>29.5</v>
      </c>
      <c r="G1642" s="6">
        <v>0</v>
      </c>
      <c r="H1642" s="7">
        <v>0</v>
      </c>
      <c r="I1642" s="4">
        <v>59</v>
      </c>
      <c r="J1642" s="4">
        <v>413</v>
      </c>
      <c r="K1642" s="5">
        <v>0.21229999999999999</v>
      </c>
      <c r="L1642" s="26" t="b">
        <f t="shared" si="111"/>
        <v>1</v>
      </c>
      <c r="M1642" s="26" t="str">
        <f t="shared" si="108"/>
        <v>put</v>
      </c>
      <c r="N1642" s="28">
        <f t="shared" si="109"/>
        <v>46555</v>
      </c>
      <c r="O1642" s="29">
        <f t="shared" si="110"/>
        <v>620</v>
      </c>
    </row>
    <row r="1643" spans="1:15" x14ac:dyDescent="0.45">
      <c r="A1643" s="1" t="s">
        <v>1977</v>
      </c>
      <c r="B1643" s="2">
        <v>45726.647222222222</v>
      </c>
      <c r="C1643" s="3">
        <v>270</v>
      </c>
      <c r="D1643" s="4">
        <v>34.25</v>
      </c>
      <c r="E1643" s="4">
        <v>33.950000000000003</v>
      </c>
      <c r="F1643" s="4">
        <v>34.299999999999997</v>
      </c>
      <c r="G1643" s="8">
        <v>0.01</v>
      </c>
      <c r="H1643" s="9">
        <v>2.9999999999999997E-4</v>
      </c>
      <c r="I1643" s="4">
        <v>19</v>
      </c>
      <c r="J1643" s="4">
        <v>688</v>
      </c>
      <c r="K1643" s="5">
        <v>0.2039</v>
      </c>
      <c r="L1643" s="26" t="b">
        <f t="shared" si="111"/>
        <v>1</v>
      </c>
      <c r="M1643" s="26" t="str">
        <f t="shared" si="108"/>
        <v>put</v>
      </c>
      <c r="N1643" s="28">
        <f t="shared" si="109"/>
        <v>46555</v>
      </c>
      <c r="O1643" s="29">
        <f t="shared" si="110"/>
        <v>620</v>
      </c>
    </row>
    <row r="1644" spans="1:15" x14ac:dyDescent="0.45">
      <c r="A1644" s="1" t="s">
        <v>1978</v>
      </c>
      <c r="B1644" s="2">
        <v>45726.647916666669</v>
      </c>
      <c r="C1644" s="3">
        <v>280</v>
      </c>
      <c r="D1644" s="4">
        <v>39.450000000000003</v>
      </c>
      <c r="E1644" s="4">
        <v>39.200000000000003</v>
      </c>
      <c r="F1644" s="4">
        <v>39.6</v>
      </c>
      <c r="G1644" s="8">
        <v>-0.06</v>
      </c>
      <c r="H1644" s="9">
        <v>-1.5E-3</v>
      </c>
      <c r="I1644" s="4">
        <v>18</v>
      </c>
      <c r="J1644" s="4">
        <v>702</v>
      </c>
      <c r="K1644" s="5">
        <v>0.19520000000000001</v>
      </c>
      <c r="L1644" s="26" t="b">
        <f t="shared" si="111"/>
        <v>1</v>
      </c>
      <c r="M1644" s="26" t="str">
        <f t="shared" si="108"/>
        <v>put</v>
      </c>
      <c r="N1644" s="28">
        <f t="shared" si="109"/>
        <v>46555</v>
      </c>
      <c r="O1644" s="29">
        <f t="shared" si="110"/>
        <v>620</v>
      </c>
    </row>
    <row r="1645" spans="1:15" x14ac:dyDescent="0.45">
      <c r="A1645" s="1" t="s">
        <v>1979</v>
      </c>
      <c r="B1645" s="2">
        <v>45726.649305555555</v>
      </c>
      <c r="C1645" s="3">
        <v>290</v>
      </c>
      <c r="D1645" s="4">
        <v>45.3</v>
      </c>
      <c r="E1645" s="4">
        <v>44.75</v>
      </c>
      <c r="F1645" s="4">
        <v>45.5</v>
      </c>
      <c r="G1645" s="8">
        <v>-0.4</v>
      </c>
      <c r="H1645" s="9">
        <v>-8.8000000000000005E-3</v>
      </c>
      <c r="I1645" s="4">
        <v>8</v>
      </c>
      <c r="J1645" s="4">
        <v>40</v>
      </c>
      <c r="K1645" s="5">
        <v>0.18679999999999999</v>
      </c>
      <c r="L1645" s="26" t="b">
        <f t="shared" si="111"/>
        <v>1</v>
      </c>
      <c r="M1645" s="26" t="str">
        <f t="shared" si="108"/>
        <v>put</v>
      </c>
      <c r="N1645" s="28">
        <f t="shared" si="109"/>
        <v>46555</v>
      </c>
      <c r="O1645" s="29">
        <f t="shared" si="110"/>
        <v>620</v>
      </c>
    </row>
    <row r="1646" spans="1:15" x14ac:dyDescent="0.45">
      <c r="A1646" s="1" t="s">
        <v>1980</v>
      </c>
      <c r="B1646" s="2">
        <v>45726.635416666664</v>
      </c>
      <c r="C1646" s="3">
        <v>300</v>
      </c>
      <c r="D1646" s="4">
        <v>51.75</v>
      </c>
      <c r="E1646" s="4">
        <v>50.45</v>
      </c>
      <c r="F1646" s="4">
        <v>51.95</v>
      </c>
      <c r="G1646" s="8">
        <v>-0.03</v>
      </c>
      <c r="H1646" s="9">
        <v>-5.9999999999999995E-4</v>
      </c>
      <c r="I1646" s="4">
        <v>15</v>
      </c>
      <c r="J1646" s="4">
        <v>55</v>
      </c>
      <c r="K1646" s="5">
        <v>0.17799999999999999</v>
      </c>
      <c r="L1646" s="26" t="b">
        <f t="shared" si="111"/>
        <v>1</v>
      </c>
      <c r="M1646" s="26" t="str">
        <f t="shared" si="108"/>
        <v>put</v>
      </c>
      <c r="N1646" s="28">
        <f t="shared" si="109"/>
        <v>46555</v>
      </c>
      <c r="O1646" s="29">
        <f t="shared" si="110"/>
        <v>620</v>
      </c>
    </row>
    <row r="1647" spans="1:15" x14ac:dyDescent="0.45">
      <c r="A1647" s="1" t="s">
        <v>1981</v>
      </c>
      <c r="B1647" s="2">
        <v>45726.536111111112</v>
      </c>
      <c r="C1647" s="3">
        <v>310</v>
      </c>
      <c r="D1647" s="4">
        <v>58.23</v>
      </c>
      <c r="E1647" s="4">
        <v>58.4</v>
      </c>
      <c r="F1647" s="4">
        <v>58.95</v>
      </c>
      <c r="G1647" s="8">
        <v>-0.67</v>
      </c>
      <c r="H1647" s="9">
        <v>-1.14E-2</v>
      </c>
      <c r="I1647" s="4">
        <v>6</v>
      </c>
      <c r="J1647" s="4">
        <v>119</v>
      </c>
      <c r="K1647" s="5">
        <v>0.16869999999999999</v>
      </c>
      <c r="L1647" s="26" t="b">
        <f t="shared" si="111"/>
        <v>1</v>
      </c>
      <c r="M1647" s="26" t="str">
        <f t="shared" si="108"/>
        <v>put</v>
      </c>
      <c r="N1647" s="28">
        <f t="shared" si="109"/>
        <v>46555</v>
      </c>
      <c r="O1647" s="29">
        <f t="shared" si="110"/>
        <v>620</v>
      </c>
    </row>
    <row r="1648" spans="1:15" x14ac:dyDescent="0.45">
      <c r="A1648" s="1" t="s">
        <v>1982</v>
      </c>
      <c r="B1648" s="2">
        <v>45726.535416666666</v>
      </c>
      <c r="C1648" s="3">
        <v>320</v>
      </c>
      <c r="D1648" s="4">
        <v>65.739999999999995</v>
      </c>
      <c r="E1648" s="4">
        <v>66</v>
      </c>
      <c r="F1648" s="4">
        <v>67.5</v>
      </c>
      <c r="G1648" s="6">
        <v>-1.84</v>
      </c>
      <c r="H1648" s="7">
        <v>-2.7199999999999998E-2</v>
      </c>
      <c r="I1648" s="4">
        <v>6</v>
      </c>
      <c r="J1648" s="4">
        <v>5</v>
      </c>
      <c r="K1648" s="5">
        <v>0.16980000000000001</v>
      </c>
      <c r="L1648" s="26" t="b">
        <f t="shared" si="111"/>
        <v>1</v>
      </c>
      <c r="M1648" s="26" t="str">
        <f t="shared" si="108"/>
        <v>put</v>
      </c>
      <c r="N1648" s="28">
        <f t="shared" si="109"/>
        <v>46555</v>
      </c>
      <c r="O1648" s="29">
        <f t="shared" si="110"/>
        <v>620</v>
      </c>
    </row>
    <row r="1649" spans="1:15" x14ac:dyDescent="0.45">
      <c r="A1649" s="1" t="s">
        <v>1983</v>
      </c>
      <c r="B1649" s="2">
        <v>45667.570833333331</v>
      </c>
      <c r="C1649" s="3">
        <v>330</v>
      </c>
      <c r="D1649" s="4">
        <v>75.75</v>
      </c>
      <c r="E1649" s="4">
        <v>74.099999999999994</v>
      </c>
      <c r="F1649" s="4">
        <v>74.650000000000006</v>
      </c>
      <c r="G1649" s="8">
        <v>0</v>
      </c>
      <c r="H1649" s="9">
        <v>0</v>
      </c>
      <c r="I1649" s="4">
        <v>2</v>
      </c>
      <c r="J1649" s="4">
        <v>6</v>
      </c>
      <c r="K1649" s="5">
        <v>0.1484</v>
      </c>
      <c r="L1649" s="26" t="b">
        <f t="shared" si="111"/>
        <v>1</v>
      </c>
      <c r="M1649" s="26" t="str">
        <f t="shared" si="108"/>
        <v>put</v>
      </c>
      <c r="N1649" s="28">
        <f t="shared" si="109"/>
        <v>46555</v>
      </c>
      <c r="O1649" s="29">
        <f t="shared" si="110"/>
        <v>620</v>
      </c>
    </row>
    <row r="1650" spans="1:15" x14ac:dyDescent="0.45">
      <c r="A1650" s="1" t="s">
        <v>1984</v>
      </c>
      <c r="B1650" s="4" t="s">
        <v>1985</v>
      </c>
      <c r="C1650" s="3">
        <v>340</v>
      </c>
      <c r="D1650" s="4">
        <v>85.25</v>
      </c>
      <c r="E1650" s="4">
        <v>82.5</v>
      </c>
      <c r="F1650" s="4">
        <v>84.1</v>
      </c>
      <c r="G1650" s="8">
        <v>0</v>
      </c>
      <c r="H1650" s="9">
        <v>0</v>
      </c>
      <c r="I1650" s="4">
        <v>2</v>
      </c>
      <c r="J1650" s="4">
        <v>2</v>
      </c>
      <c r="K1650" s="5">
        <v>0.15179999999999999</v>
      </c>
      <c r="L1650" s="26" t="b">
        <f t="shared" si="111"/>
        <v>1</v>
      </c>
      <c r="M1650" s="26" t="str">
        <f t="shared" si="108"/>
        <v>put</v>
      </c>
      <c r="N1650" s="28">
        <f t="shared" si="109"/>
        <v>46555</v>
      </c>
      <c r="O1650" s="29">
        <f t="shared" si="110"/>
        <v>620</v>
      </c>
    </row>
    <row r="1651" spans="1:15" x14ac:dyDescent="0.45">
      <c r="A1651" s="1" t="s">
        <v>1986</v>
      </c>
      <c r="B1651" s="4" t="s">
        <v>1987</v>
      </c>
      <c r="C1651" s="3">
        <v>350</v>
      </c>
      <c r="D1651" s="4">
        <v>104.7</v>
      </c>
      <c r="E1651" s="4">
        <v>126.05</v>
      </c>
      <c r="F1651" s="4">
        <v>130.94999999999999</v>
      </c>
      <c r="G1651" s="8">
        <v>0</v>
      </c>
      <c r="H1651" s="9">
        <v>0</v>
      </c>
      <c r="I1651" s="4">
        <v>1</v>
      </c>
      <c r="J1651" s="4">
        <v>0</v>
      </c>
      <c r="K1651" s="5">
        <v>0.49480000000000002</v>
      </c>
      <c r="L1651" s="26" t="b">
        <f t="shared" si="111"/>
        <v>1</v>
      </c>
      <c r="M1651" s="26" t="str">
        <f t="shared" si="108"/>
        <v>put</v>
      </c>
      <c r="N1651" s="28">
        <f t="shared" si="109"/>
        <v>46555</v>
      </c>
      <c r="O1651" s="29">
        <f t="shared" si="110"/>
        <v>620</v>
      </c>
    </row>
    <row r="1652" spans="1:15" x14ac:dyDescent="0.45">
      <c r="A1652" s="1" t="s">
        <v>1988</v>
      </c>
      <c r="B1652" s="2">
        <v>45726.461805555555</v>
      </c>
      <c r="C1652" s="3">
        <v>360</v>
      </c>
      <c r="D1652" s="4">
        <v>102.14</v>
      </c>
      <c r="E1652" s="4">
        <v>100.75</v>
      </c>
      <c r="F1652" s="4">
        <v>103.35</v>
      </c>
      <c r="G1652" s="8">
        <v>-61.28</v>
      </c>
      <c r="H1652" s="9">
        <v>-0.375</v>
      </c>
      <c r="I1652" s="4">
        <v>6</v>
      </c>
      <c r="J1652" s="4">
        <v>0</v>
      </c>
      <c r="K1652" s="5">
        <v>0.15870000000000001</v>
      </c>
      <c r="L1652" s="26" t="b">
        <f t="shared" si="111"/>
        <v>1</v>
      </c>
      <c r="M1652" s="26" t="str">
        <f t="shared" si="108"/>
        <v>put</v>
      </c>
      <c r="N1652" s="28">
        <f t="shared" si="109"/>
        <v>46555</v>
      </c>
      <c r="O1652" s="29">
        <f t="shared" si="110"/>
        <v>620</v>
      </c>
    </row>
    <row r="1653" spans="1:15" x14ac:dyDescent="0.45">
      <c r="A1653" s="1" t="s">
        <v>1989</v>
      </c>
      <c r="B1653" s="4" t="s">
        <v>1990</v>
      </c>
      <c r="C1653" s="3">
        <v>380</v>
      </c>
      <c r="D1653" s="4">
        <v>178.27</v>
      </c>
      <c r="E1653" s="4">
        <v>176.5</v>
      </c>
      <c r="F1653" s="4">
        <v>181.5</v>
      </c>
      <c r="G1653" s="8">
        <v>0</v>
      </c>
      <c r="H1653" s="9">
        <v>0</v>
      </c>
      <c r="I1653" s="4">
        <v>2</v>
      </c>
      <c r="J1653" s="4">
        <v>0</v>
      </c>
      <c r="K1653" s="5">
        <v>0.67500000000000004</v>
      </c>
      <c r="L1653" s="26" t="b">
        <f t="shared" si="111"/>
        <v>1</v>
      </c>
      <c r="M1653" s="26" t="str">
        <f t="shared" si="108"/>
        <v>put</v>
      </c>
      <c r="N1653" s="28">
        <f t="shared" si="109"/>
        <v>46555</v>
      </c>
      <c r="O1653" s="29">
        <f t="shared" si="110"/>
        <v>620</v>
      </c>
    </row>
    <row r="1654" spans="1:15" x14ac:dyDescent="0.45">
      <c r="A1654" s="1" t="s">
        <v>1991</v>
      </c>
      <c r="B1654" s="4" t="s">
        <v>1992</v>
      </c>
      <c r="C1654" s="3">
        <v>390</v>
      </c>
      <c r="D1654" s="4">
        <v>144.62</v>
      </c>
      <c r="E1654" s="4">
        <v>169</v>
      </c>
      <c r="F1654" s="4">
        <v>174</v>
      </c>
      <c r="G1654" s="8">
        <v>0</v>
      </c>
      <c r="H1654" s="9">
        <v>0</v>
      </c>
      <c r="I1654" s="4">
        <v>4</v>
      </c>
      <c r="J1654" s="4">
        <v>0</v>
      </c>
      <c r="K1654" s="5">
        <v>0.55759999999999998</v>
      </c>
      <c r="L1654" s="26" t="b">
        <f t="shared" si="111"/>
        <v>1</v>
      </c>
      <c r="M1654" s="26" t="str">
        <f t="shared" si="108"/>
        <v>put</v>
      </c>
      <c r="N1654" s="28">
        <f t="shared" si="109"/>
        <v>46555</v>
      </c>
      <c r="O1654" s="29">
        <f t="shared" si="110"/>
        <v>620</v>
      </c>
    </row>
    <row r="1655" spans="1:15" x14ac:dyDescent="0.45">
      <c r="A1655" s="1" t="s">
        <v>1993</v>
      </c>
      <c r="B1655" s="4" t="s">
        <v>1994</v>
      </c>
      <c r="C1655" s="3">
        <v>400</v>
      </c>
      <c r="D1655" s="4">
        <v>198</v>
      </c>
      <c r="E1655" s="4">
        <v>143.5</v>
      </c>
      <c r="F1655" s="4">
        <v>145.65</v>
      </c>
      <c r="G1655" s="8">
        <v>0</v>
      </c>
      <c r="H1655" s="9">
        <v>0</v>
      </c>
      <c r="I1655" s="4">
        <v>10</v>
      </c>
      <c r="J1655" s="4">
        <v>0</v>
      </c>
      <c r="K1655" s="5">
        <v>0.24129999999999999</v>
      </c>
      <c r="L1655" s="26" t="b">
        <f t="shared" si="111"/>
        <v>1</v>
      </c>
      <c r="M1655" s="26" t="str">
        <f t="shared" si="108"/>
        <v>put</v>
      </c>
      <c r="N1655" s="28">
        <f t="shared" si="109"/>
        <v>46555</v>
      </c>
      <c r="O1655" s="29">
        <f t="shared" si="110"/>
        <v>620</v>
      </c>
    </row>
    <row r="1656" spans="1:15" x14ac:dyDescent="0.45">
      <c r="A1656" s="1" t="s">
        <v>1995</v>
      </c>
      <c r="B1656" s="4" t="s">
        <v>1996</v>
      </c>
      <c r="C1656" s="3">
        <v>410</v>
      </c>
      <c r="D1656" s="4">
        <v>166.68</v>
      </c>
      <c r="E1656" s="4">
        <v>194.5</v>
      </c>
      <c r="F1656" s="4">
        <v>199.45</v>
      </c>
      <c r="G1656" s="8">
        <v>0</v>
      </c>
      <c r="H1656" s="9">
        <v>0</v>
      </c>
      <c r="I1656" s="4">
        <v>3</v>
      </c>
      <c r="J1656" s="4">
        <v>0</v>
      </c>
      <c r="K1656" s="5">
        <v>0.62490000000000001</v>
      </c>
      <c r="L1656" s="26" t="b">
        <f t="shared" si="111"/>
        <v>1</v>
      </c>
      <c r="M1656" s="26" t="str">
        <f t="shared" si="108"/>
        <v>put</v>
      </c>
      <c r="N1656" s="28">
        <f t="shared" si="109"/>
        <v>46555</v>
      </c>
      <c r="O1656" s="29">
        <f t="shared" si="110"/>
        <v>620</v>
      </c>
    </row>
    <row r="1657" spans="1:15" x14ac:dyDescent="0.45">
      <c r="A1657" s="1" t="s">
        <v>1997</v>
      </c>
      <c r="B1657" s="4" t="s">
        <v>1998</v>
      </c>
      <c r="C1657" s="3">
        <v>420</v>
      </c>
      <c r="D1657" s="4">
        <v>164</v>
      </c>
      <c r="E1657" s="4">
        <v>160.85</v>
      </c>
      <c r="F1657" s="4">
        <v>163.15</v>
      </c>
      <c r="G1657" s="8">
        <v>0</v>
      </c>
      <c r="H1657" s="9">
        <v>0</v>
      </c>
      <c r="I1657" s="4">
        <v>20</v>
      </c>
      <c r="J1657" s="4">
        <v>0</v>
      </c>
      <c r="K1657" s="5">
        <v>0.20680000000000001</v>
      </c>
      <c r="L1657" s="26" t="b">
        <f t="shared" si="111"/>
        <v>1</v>
      </c>
      <c r="M1657" s="26" t="str">
        <f t="shared" si="108"/>
        <v>put</v>
      </c>
      <c r="N1657" s="28">
        <f t="shared" si="109"/>
        <v>46555</v>
      </c>
      <c r="O1657" s="29">
        <f t="shared" si="110"/>
        <v>620</v>
      </c>
    </row>
    <row r="1658" spans="1:15" x14ac:dyDescent="0.45">
      <c r="A1658" s="1" t="s">
        <v>1999</v>
      </c>
      <c r="B1658" s="2">
        <v>45993.40625</v>
      </c>
      <c r="C1658" s="3">
        <v>430</v>
      </c>
      <c r="D1658" s="4">
        <v>198.33</v>
      </c>
      <c r="E1658" s="4">
        <v>215.5</v>
      </c>
      <c r="F1658" s="4">
        <v>220.5</v>
      </c>
      <c r="G1658" s="8">
        <v>0</v>
      </c>
      <c r="H1658" s="9">
        <v>0</v>
      </c>
      <c r="I1658" s="4">
        <v>3</v>
      </c>
      <c r="J1658" s="4">
        <v>0</v>
      </c>
      <c r="K1658" s="5">
        <v>0.65649999999999997</v>
      </c>
      <c r="L1658" s="26" t="b">
        <f t="shared" si="111"/>
        <v>1</v>
      </c>
      <c r="M1658" s="26" t="str">
        <f t="shared" si="108"/>
        <v>put</v>
      </c>
      <c r="N1658" s="28">
        <f t="shared" si="109"/>
        <v>46555</v>
      </c>
      <c r="O1658" s="29">
        <f t="shared" si="110"/>
        <v>620</v>
      </c>
    </row>
    <row r="1659" spans="1:15" x14ac:dyDescent="0.45">
      <c r="A1659" s="1" t="s">
        <v>2000</v>
      </c>
      <c r="B1659" s="2">
        <v>45719.395833333336</v>
      </c>
      <c r="C1659" s="3">
        <v>440</v>
      </c>
      <c r="D1659" s="4">
        <v>197.65</v>
      </c>
      <c r="E1659" s="4">
        <v>0</v>
      </c>
      <c r="F1659" s="4">
        <v>0</v>
      </c>
      <c r="G1659" s="4">
        <v>0</v>
      </c>
      <c r="H1659" s="5">
        <v>0</v>
      </c>
      <c r="I1659" s="4">
        <v>1</v>
      </c>
      <c r="J1659" s="4">
        <v>0</v>
      </c>
      <c r="K1659" s="5">
        <v>0</v>
      </c>
      <c r="L1659" s="26" t="b">
        <f t="shared" si="111"/>
        <v>1</v>
      </c>
      <c r="M1659" s="26" t="str">
        <f t="shared" si="108"/>
        <v>put</v>
      </c>
      <c r="N1659" s="28">
        <f t="shared" si="109"/>
        <v>46555</v>
      </c>
      <c r="O1659" s="29">
        <f t="shared" si="110"/>
        <v>620</v>
      </c>
    </row>
    <row r="1660" spans="1:15" x14ac:dyDescent="0.45">
      <c r="A1660" s="1" t="s">
        <v>2001</v>
      </c>
      <c r="B1660" s="2">
        <v>46000.406944444447</v>
      </c>
      <c r="C1660" s="3">
        <v>450</v>
      </c>
      <c r="D1660" s="4">
        <v>220.65</v>
      </c>
      <c r="E1660" s="4">
        <v>190.85</v>
      </c>
      <c r="F1660" s="4">
        <v>193.15</v>
      </c>
      <c r="G1660" s="4">
        <v>0</v>
      </c>
      <c r="H1660" s="5">
        <v>0</v>
      </c>
      <c r="I1660" s="4">
        <v>15</v>
      </c>
      <c r="J1660" s="4">
        <v>0</v>
      </c>
      <c r="K1660" s="5">
        <v>0.22950000000000001</v>
      </c>
      <c r="L1660" s="26" t="b">
        <f t="shared" si="111"/>
        <v>1</v>
      </c>
      <c r="M1660" s="26" t="str">
        <f t="shared" si="108"/>
        <v>put</v>
      </c>
      <c r="N1660" s="28">
        <f t="shared" si="109"/>
        <v>46555</v>
      </c>
      <c r="O1660" s="29">
        <f t="shared" si="110"/>
        <v>620</v>
      </c>
    </row>
    <row r="1661" spans="1:15" x14ac:dyDescent="0.45">
      <c r="A1661" s="1" t="s">
        <v>2002</v>
      </c>
      <c r="B1661" s="4" t="s">
        <v>2003</v>
      </c>
      <c r="C1661" s="3">
        <v>50</v>
      </c>
      <c r="D1661" s="4">
        <v>209.5</v>
      </c>
      <c r="E1661" s="4">
        <v>209</v>
      </c>
      <c r="F1661" s="4">
        <v>214</v>
      </c>
      <c r="G1661" s="4">
        <v>0</v>
      </c>
      <c r="H1661" s="5">
        <v>0</v>
      </c>
      <c r="I1661" s="4">
        <v>6</v>
      </c>
      <c r="J1661" s="4">
        <v>239</v>
      </c>
      <c r="K1661" s="5">
        <v>0.74770000000000003</v>
      </c>
      <c r="L1661" s="26" t="b">
        <f t="shared" si="111"/>
        <v>1</v>
      </c>
      <c r="M1661" s="26" t="str">
        <f t="shared" ref="M1661:M1724" si="112">IF(MID(A1661,11,1)="C","call","put")</f>
        <v>call</v>
      </c>
      <c r="N1661" s="28">
        <f t="shared" ref="N1661:N1724" si="113">DATE(MID(A1661,5,2)+2000,MID(A1661,7,2),MID(A1661,9,2))</f>
        <v>46738</v>
      </c>
      <c r="O1661" s="29">
        <f t="shared" si="110"/>
        <v>803</v>
      </c>
    </row>
    <row r="1662" spans="1:15" x14ac:dyDescent="0.45">
      <c r="A1662" s="1" t="s">
        <v>2004</v>
      </c>
      <c r="B1662" s="4" t="s">
        <v>2005</v>
      </c>
      <c r="C1662" s="3">
        <v>55</v>
      </c>
      <c r="D1662" s="4">
        <v>203</v>
      </c>
      <c r="E1662" s="4">
        <v>204.5</v>
      </c>
      <c r="F1662" s="4">
        <v>209.5</v>
      </c>
      <c r="G1662" s="4">
        <v>0</v>
      </c>
      <c r="H1662" s="5">
        <v>0</v>
      </c>
      <c r="I1662" s="4">
        <v>3</v>
      </c>
      <c r="J1662" s="4">
        <v>326</v>
      </c>
      <c r="K1662" s="5">
        <v>0.72770000000000001</v>
      </c>
      <c r="L1662" s="26" t="b">
        <f t="shared" si="111"/>
        <v>1</v>
      </c>
      <c r="M1662" s="26" t="str">
        <f t="shared" si="112"/>
        <v>call</v>
      </c>
      <c r="N1662" s="28">
        <f t="shared" si="113"/>
        <v>46738</v>
      </c>
      <c r="O1662" s="29">
        <f t="shared" ref="O1662:O1725" si="114">N1662-DATE(2025,10,5)</f>
        <v>803</v>
      </c>
    </row>
    <row r="1663" spans="1:15" x14ac:dyDescent="0.45">
      <c r="A1663" s="1" t="s">
        <v>2006</v>
      </c>
      <c r="B1663" s="4" t="s">
        <v>2007</v>
      </c>
      <c r="C1663" s="3">
        <v>60</v>
      </c>
      <c r="D1663" s="4">
        <v>199.76</v>
      </c>
      <c r="E1663" s="4">
        <v>200</v>
      </c>
      <c r="F1663" s="4">
        <v>204.5</v>
      </c>
      <c r="G1663" s="4">
        <v>0</v>
      </c>
      <c r="H1663" s="5">
        <v>0</v>
      </c>
      <c r="I1663" s="4">
        <v>46</v>
      </c>
      <c r="J1663" s="4">
        <v>252</v>
      </c>
      <c r="K1663" s="5">
        <v>0.69789999999999996</v>
      </c>
      <c r="L1663" s="26" t="b">
        <f t="shared" si="111"/>
        <v>1</v>
      </c>
      <c r="M1663" s="26" t="str">
        <f t="shared" si="112"/>
        <v>call</v>
      </c>
      <c r="N1663" s="28">
        <f t="shared" si="113"/>
        <v>46738</v>
      </c>
      <c r="O1663" s="29">
        <f t="shared" si="114"/>
        <v>803</v>
      </c>
    </row>
    <row r="1664" spans="1:15" x14ac:dyDescent="0.45">
      <c r="A1664" s="1" t="s">
        <v>2008</v>
      </c>
      <c r="B1664" s="2">
        <v>45878.537499999999</v>
      </c>
      <c r="C1664" s="3">
        <v>65</v>
      </c>
      <c r="D1664" s="4">
        <v>176.2</v>
      </c>
      <c r="E1664" s="4">
        <v>195.5</v>
      </c>
      <c r="F1664" s="4">
        <v>200</v>
      </c>
      <c r="G1664" s="6">
        <v>0</v>
      </c>
      <c r="H1664" s="7">
        <v>0</v>
      </c>
      <c r="I1664" s="4">
        <v>4</v>
      </c>
      <c r="J1664" s="4">
        <v>21</v>
      </c>
      <c r="K1664" s="5">
        <v>0.67989999999999995</v>
      </c>
      <c r="L1664" s="26" t="b">
        <f t="shared" ref="L1664:L1727" si="115">IF(M1664="call",C1664&lt;$P$1,C1664&gt;$P$1)</f>
        <v>1</v>
      </c>
      <c r="M1664" s="26" t="str">
        <f t="shared" si="112"/>
        <v>call</v>
      </c>
      <c r="N1664" s="28">
        <f t="shared" si="113"/>
        <v>46738</v>
      </c>
      <c r="O1664" s="29">
        <f t="shared" si="114"/>
        <v>803</v>
      </c>
    </row>
    <row r="1665" spans="1:15" x14ac:dyDescent="0.45">
      <c r="A1665" s="1" t="s">
        <v>2009</v>
      </c>
      <c r="B1665" s="2">
        <v>45970.513194444444</v>
      </c>
      <c r="C1665" s="3">
        <v>70</v>
      </c>
      <c r="D1665" s="4">
        <v>163.6</v>
      </c>
      <c r="E1665" s="4">
        <v>190.5</v>
      </c>
      <c r="F1665" s="4">
        <v>195.5</v>
      </c>
      <c r="G1665" s="4">
        <v>0</v>
      </c>
      <c r="H1665" s="5">
        <v>0</v>
      </c>
      <c r="I1665" s="4">
        <v>1</v>
      </c>
      <c r="J1665" s="4">
        <v>104</v>
      </c>
      <c r="K1665" s="5">
        <v>0.65359999999999996</v>
      </c>
      <c r="L1665" s="26" t="b">
        <f t="shared" si="115"/>
        <v>1</v>
      </c>
      <c r="M1665" s="26" t="str">
        <f t="shared" si="112"/>
        <v>call</v>
      </c>
      <c r="N1665" s="28">
        <f t="shared" si="113"/>
        <v>46738</v>
      </c>
      <c r="O1665" s="29">
        <f t="shared" si="114"/>
        <v>803</v>
      </c>
    </row>
    <row r="1666" spans="1:15" x14ac:dyDescent="0.45">
      <c r="A1666" s="1" t="s">
        <v>2010</v>
      </c>
      <c r="B1666" s="2">
        <v>45846.444444444445</v>
      </c>
      <c r="C1666" s="3">
        <v>75</v>
      </c>
      <c r="D1666" s="4">
        <v>148.9</v>
      </c>
      <c r="E1666" s="4">
        <v>184</v>
      </c>
      <c r="F1666" s="4">
        <v>187.9</v>
      </c>
      <c r="G1666" s="4">
        <v>0</v>
      </c>
      <c r="H1666" s="5">
        <v>0</v>
      </c>
      <c r="I1666" s="4">
        <v>1</v>
      </c>
      <c r="J1666" s="4">
        <v>71</v>
      </c>
      <c r="K1666" s="5">
        <v>0.54490000000000005</v>
      </c>
      <c r="L1666" s="26" t="b">
        <f t="shared" si="115"/>
        <v>1</v>
      </c>
      <c r="M1666" s="26" t="str">
        <f t="shared" si="112"/>
        <v>call</v>
      </c>
      <c r="N1666" s="28">
        <f t="shared" si="113"/>
        <v>46738</v>
      </c>
      <c r="O1666" s="29">
        <f t="shared" si="114"/>
        <v>803</v>
      </c>
    </row>
    <row r="1667" spans="1:15" x14ac:dyDescent="0.45">
      <c r="A1667" s="1" t="s">
        <v>2011</v>
      </c>
      <c r="B1667" s="4" t="s">
        <v>2012</v>
      </c>
      <c r="C1667" s="3">
        <v>80</v>
      </c>
      <c r="D1667" s="4">
        <v>182.17</v>
      </c>
      <c r="E1667" s="4">
        <v>181.5</v>
      </c>
      <c r="F1667" s="4">
        <v>186.45</v>
      </c>
      <c r="G1667" s="6">
        <v>0</v>
      </c>
      <c r="H1667" s="7">
        <v>0</v>
      </c>
      <c r="I1667" s="4">
        <v>100</v>
      </c>
      <c r="J1667" s="4">
        <v>201</v>
      </c>
      <c r="K1667" s="5">
        <v>0.62019999999999997</v>
      </c>
      <c r="L1667" s="26" t="b">
        <f t="shared" si="115"/>
        <v>1</v>
      </c>
      <c r="M1667" s="26" t="str">
        <f t="shared" si="112"/>
        <v>call</v>
      </c>
      <c r="N1667" s="28">
        <f t="shared" si="113"/>
        <v>46738</v>
      </c>
      <c r="O1667" s="29">
        <f t="shared" si="114"/>
        <v>803</v>
      </c>
    </row>
    <row r="1668" spans="1:15" x14ac:dyDescent="0.45">
      <c r="A1668" s="1" t="s">
        <v>2013</v>
      </c>
      <c r="B1668" s="4" t="s">
        <v>2014</v>
      </c>
      <c r="C1668" s="3">
        <v>85</v>
      </c>
      <c r="D1668" s="4">
        <v>166.75</v>
      </c>
      <c r="E1668" s="4">
        <v>177.05</v>
      </c>
      <c r="F1668" s="4">
        <v>182</v>
      </c>
      <c r="G1668" s="4">
        <v>0</v>
      </c>
      <c r="H1668" s="5">
        <v>0</v>
      </c>
      <c r="I1668" s="4">
        <v>1</v>
      </c>
      <c r="J1668" s="4">
        <v>286</v>
      </c>
      <c r="K1668" s="5">
        <v>0.60580000000000001</v>
      </c>
      <c r="L1668" s="26" t="b">
        <f t="shared" si="115"/>
        <v>1</v>
      </c>
      <c r="M1668" s="26" t="str">
        <f t="shared" si="112"/>
        <v>call</v>
      </c>
      <c r="N1668" s="28">
        <f t="shared" si="113"/>
        <v>46738</v>
      </c>
      <c r="O1668" s="29">
        <f t="shared" si="114"/>
        <v>803</v>
      </c>
    </row>
    <row r="1669" spans="1:15" x14ac:dyDescent="0.45">
      <c r="A1669" s="1" t="s">
        <v>2015</v>
      </c>
      <c r="B1669" s="2">
        <v>45725.433333333334</v>
      </c>
      <c r="C1669" s="3">
        <v>90</v>
      </c>
      <c r="D1669" s="4">
        <v>153.85</v>
      </c>
      <c r="E1669" s="4">
        <v>173</v>
      </c>
      <c r="F1669" s="4">
        <v>177.45</v>
      </c>
      <c r="G1669" s="6">
        <v>0</v>
      </c>
      <c r="H1669" s="7">
        <v>0</v>
      </c>
      <c r="I1669" s="4">
        <v>1</v>
      </c>
      <c r="J1669" s="4">
        <v>39</v>
      </c>
      <c r="K1669" s="5">
        <v>0.59530000000000005</v>
      </c>
      <c r="L1669" s="26" t="b">
        <f t="shared" si="115"/>
        <v>1</v>
      </c>
      <c r="M1669" s="26" t="str">
        <f t="shared" si="112"/>
        <v>call</v>
      </c>
      <c r="N1669" s="28">
        <f t="shared" si="113"/>
        <v>46738</v>
      </c>
      <c r="O1669" s="29">
        <f t="shared" si="114"/>
        <v>803</v>
      </c>
    </row>
    <row r="1670" spans="1:15" x14ac:dyDescent="0.45">
      <c r="A1670" s="1" t="s">
        <v>2016</v>
      </c>
      <c r="B1670" s="2">
        <v>45939.590277777781</v>
      </c>
      <c r="C1670" s="3">
        <v>95</v>
      </c>
      <c r="D1670" s="4">
        <v>139.75</v>
      </c>
      <c r="E1670" s="4">
        <v>168.5</v>
      </c>
      <c r="F1670" s="4">
        <v>172.85</v>
      </c>
      <c r="G1670" s="6">
        <v>0</v>
      </c>
      <c r="H1670" s="7">
        <v>0</v>
      </c>
      <c r="I1670" s="4">
        <v>2</v>
      </c>
      <c r="J1670" s="4">
        <v>70</v>
      </c>
      <c r="K1670" s="5">
        <v>0.5786</v>
      </c>
      <c r="L1670" s="26" t="b">
        <f t="shared" si="115"/>
        <v>1</v>
      </c>
      <c r="M1670" s="26" t="str">
        <f t="shared" si="112"/>
        <v>call</v>
      </c>
      <c r="N1670" s="28">
        <f t="shared" si="113"/>
        <v>46738</v>
      </c>
      <c r="O1670" s="29">
        <f t="shared" si="114"/>
        <v>803</v>
      </c>
    </row>
    <row r="1671" spans="1:15" x14ac:dyDescent="0.45">
      <c r="A1671" s="1" t="s">
        <v>2017</v>
      </c>
      <c r="B1671" s="2">
        <v>45726.635416666664</v>
      </c>
      <c r="C1671" s="3">
        <v>100</v>
      </c>
      <c r="D1671" s="4">
        <v>166</v>
      </c>
      <c r="E1671" s="4">
        <v>164</v>
      </c>
      <c r="F1671" s="4">
        <v>169</v>
      </c>
      <c r="G1671" s="6">
        <v>3.05</v>
      </c>
      <c r="H1671" s="7">
        <v>1.8700000000000001E-2</v>
      </c>
      <c r="I1671" s="4">
        <v>4</v>
      </c>
      <c r="J1671" s="4">
        <v>397</v>
      </c>
      <c r="K1671" s="5">
        <v>0.57040000000000002</v>
      </c>
      <c r="L1671" s="26" t="b">
        <f t="shared" si="115"/>
        <v>1</v>
      </c>
      <c r="M1671" s="26" t="str">
        <f t="shared" si="112"/>
        <v>call</v>
      </c>
      <c r="N1671" s="28">
        <f t="shared" si="113"/>
        <v>46738</v>
      </c>
      <c r="O1671" s="29">
        <f t="shared" si="114"/>
        <v>803</v>
      </c>
    </row>
    <row r="1672" spans="1:15" x14ac:dyDescent="0.45">
      <c r="A1672" s="1" t="s">
        <v>2018</v>
      </c>
      <c r="B1672" s="4" t="s">
        <v>2019</v>
      </c>
      <c r="C1672" s="3">
        <v>105</v>
      </c>
      <c r="D1672" s="4">
        <v>158.58000000000001</v>
      </c>
      <c r="E1672" s="4">
        <v>159.5</v>
      </c>
      <c r="F1672" s="4">
        <v>164.4</v>
      </c>
      <c r="G1672" s="6">
        <v>0</v>
      </c>
      <c r="H1672" s="7">
        <v>0</v>
      </c>
      <c r="I1672" s="4">
        <v>1</v>
      </c>
      <c r="J1672" s="4">
        <v>62</v>
      </c>
      <c r="K1672" s="5">
        <v>0.55420000000000003</v>
      </c>
      <c r="L1672" s="26" t="b">
        <f t="shared" si="115"/>
        <v>1</v>
      </c>
      <c r="M1672" s="26" t="str">
        <f t="shared" si="112"/>
        <v>call</v>
      </c>
      <c r="N1672" s="28">
        <f t="shared" si="113"/>
        <v>46738</v>
      </c>
      <c r="O1672" s="29">
        <f t="shared" si="114"/>
        <v>803</v>
      </c>
    </row>
    <row r="1673" spans="1:15" x14ac:dyDescent="0.45">
      <c r="A1673" s="1" t="s">
        <v>2020</v>
      </c>
      <c r="B1673" s="4" t="s">
        <v>2021</v>
      </c>
      <c r="C1673" s="3">
        <v>110</v>
      </c>
      <c r="D1673" s="4">
        <v>154.85</v>
      </c>
      <c r="E1673" s="4">
        <v>155</v>
      </c>
      <c r="F1673" s="4">
        <v>159.35</v>
      </c>
      <c r="G1673" s="6">
        <v>0</v>
      </c>
      <c r="H1673" s="7">
        <v>0</v>
      </c>
      <c r="I1673" s="4">
        <v>1</v>
      </c>
      <c r="J1673" s="4">
        <v>175</v>
      </c>
      <c r="K1673" s="5">
        <v>0.53410000000000002</v>
      </c>
      <c r="L1673" s="26" t="b">
        <f t="shared" si="115"/>
        <v>1</v>
      </c>
      <c r="M1673" s="26" t="str">
        <f t="shared" si="112"/>
        <v>call</v>
      </c>
      <c r="N1673" s="28">
        <f t="shared" si="113"/>
        <v>46738</v>
      </c>
      <c r="O1673" s="29">
        <f t="shared" si="114"/>
        <v>803</v>
      </c>
    </row>
    <row r="1674" spans="1:15" x14ac:dyDescent="0.45">
      <c r="A1674" s="1" t="s">
        <v>2022</v>
      </c>
      <c r="B1674" s="4" t="s">
        <v>2023</v>
      </c>
      <c r="C1674" s="3">
        <v>115</v>
      </c>
      <c r="D1674" s="4">
        <v>146.55000000000001</v>
      </c>
      <c r="E1674" s="4">
        <v>150.5</v>
      </c>
      <c r="F1674" s="4">
        <v>155.5</v>
      </c>
      <c r="G1674" s="6">
        <v>0</v>
      </c>
      <c r="H1674" s="7">
        <v>0</v>
      </c>
      <c r="I1674" s="4">
        <v>2</v>
      </c>
      <c r="J1674" s="4">
        <v>389</v>
      </c>
      <c r="K1674" s="5">
        <v>0.52569999999999995</v>
      </c>
      <c r="L1674" s="26" t="b">
        <f t="shared" si="115"/>
        <v>1</v>
      </c>
      <c r="M1674" s="26" t="str">
        <f t="shared" si="112"/>
        <v>call</v>
      </c>
      <c r="N1674" s="28">
        <f t="shared" si="113"/>
        <v>46738</v>
      </c>
      <c r="O1674" s="29">
        <f t="shared" si="114"/>
        <v>803</v>
      </c>
    </row>
    <row r="1675" spans="1:15" x14ac:dyDescent="0.45">
      <c r="A1675" s="1" t="s">
        <v>2024</v>
      </c>
      <c r="B1675" s="2">
        <v>45726.512499999997</v>
      </c>
      <c r="C1675" s="3">
        <v>120</v>
      </c>
      <c r="D1675" s="4">
        <v>149.93</v>
      </c>
      <c r="E1675" s="4">
        <v>146.55000000000001</v>
      </c>
      <c r="F1675" s="4">
        <v>150.94999999999999</v>
      </c>
      <c r="G1675" s="6">
        <v>4.88</v>
      </c>
      <c r="H1675" s="7">
        <v>3.3599999999999998E-2</v>
      </c>
      <c r="I1675" s="4">
        <v>110</v>
      </c>
      <c r="J1675" s="4">
        <v>237</v>
      </c>
      <c r="K1675" s="5">
        <v>0.51580000000000004</v>
      </c>
      <c r="L1675" s="26" t="b">
        <f t="shared" si="115"/>
        <v>1</v>
      </c>
      <c r="M1675" s="26" t="str">
        <f t="shared" si="112"/>
        <v>call</v>
      </c>
      <c r="N1675" s="28">
        <f t="shared" si="113"/>
        <v>46738</v>
      </c>
      <c r="O1675" s="29">
        <f t="shared" si="114"/>
        <v>803</v>
      </c>
    </row>
    <row r="1676" spans="1:15" x14ac:dyDescent="0.45">
      <c r="A1676" s="1" t="s">
        <v>2025</v>
      </c>
      <c r="B1676" s="2">
        <v>45698.626388888886</v>
      </c>
      <c r="C1676" s="3">
        <v>125</v>
      </c>
      <c r="D1676" s="4">
        <v>144.05000000000001</v>
      </c>
      <c r="E1676" s="4">
        <v>142.30000000000001</v>
      </c>
      <c r="F1676" s="4">
        <v>147</v>
      </c>
      <c r="G1676" s="6">
        <v>0</v>
      </c>
      <c r="H1676" s="7">
        <v>0</v>
      </c>
      <c r="I1676" s="4">
        <v>11</v>
      </c>
      <c r="J1676" s="4">
        <v>439</v>
      </c>
      <c r="K1676" s="5">
        <v>0.50800000000000001</v>
      </c>
      <c r="L1676" s="26" t="b">
        <f t="shared" si="115"/>
        <v>1</v>
      </c>
      <c r="M1676" s="26" t="str">
        <f t="shared" si="112"/>
        <v>call</v>
      </c>
      <c r="N1676" s="28">
        <f t="shared" si="113"/>
        <v>46738</v>
      </c>
      <c r="O1676" s="29">
        <f t="shared" si="114"/>
        <v>803</v>
      </c>
    </row>
    <row r="1677" spans="1:15" x14ac:dyDescent="0.45">
      <c r="A1677" s="1" t="s">
        <v>2026</v>
      </c>
      <c r="B1677" s="2">
        <v>45726.527083333334</v>
      </c>
      <c r="C1677" s="3">
        <v>130</v>
      </c>
      <c r="D1677" s="4">
        <v>140.55000000000001</v>
      </c>
      <c r="E1677" s="4">
        <v>138.4</v>
      </c>
      <c r="F1677" s="4">
        <v>141.75</v>
      </c>
      <c r="G1677" s="6">
        <v>1.29</v>
      </c>
      <c r="H1677" s="7">
        <v>9.2999999999999992E-3</v>
      </c>
      <c r="I1677" s="4">
        <v>10</v>
      </c>
      <c r="J1677" s="4">
        <v>368</v>
      </c>
      <c r="K1677" s="5">
        <v>0.51780000000000004</v>
      </c>
      <c r="L1677" s="26" t="b">
        <f t="shared" si="115"/>
        <v>1</v>
      </c>
      <c r="M1677" s="26" t="str">
        <f t="shared" si="112"/>
        <v>call</v>
      </c>
      <c r="N1677" s="28">
        <f t="shared" si="113"/>
        <v>46738</v>
      </c>
      <c r="O1677" s="29">
        <f t="shared" si="114"/>
        <v>803</v>
      </c>
    </row>
    <row r="1678" spans="1:15" x14ac:dyDescent="0.45">
      <c r="A1678" s="1" t="s">
        <v>2027</v>
      </c>
      <c r="B1678" s="4" t="s">
        <v>449</v>
      </c>
      <c r="C1678" s="3">
        <v>135</v>
      </c>
      <c r="D1678" s="4">
        <v>132.47999999999999</v>
      </c>
      <c r="E1678" s="4">
        <v>133.5</v>
      </c>
      <c r="F1678" s="4">
        <v>137.5</v>
      </c>
      <c r="G1678" s="8">
        <v>0</v>
      </c>
      <c r="H1678" s="9">
        <v>0</v>
      </c>
      <c r="I1678" s="4">
        <v>2</v>
      </c>
      <c r="J1678" s="4">
        <v>115</v>
      </c>
      <c r="K1678" s="5">
        <v>0.50619999999999998</v>
      </c>
      <c r="L1678" s="26" t="b">
        <f t="shared" si="115"/>
        <v>1</v>
      </c>
      <c r="M1678" s="26" t="str">
        <f t="shared" si="112"/>
        <v>call</v>
      </c>
      <c r="N1678" s="28">
        <f t="shared" si="113"/>
        <v>46738</v>
      </c>
      <c r="O1678" s="29">
        <f t="shared" si="114"/>
        <v>803</v>
      </c>
    </row>
    <row r="1679" spans="1:15" x14ac:dyDescent="0.45">
      <c r="A1679" s="1" t="s">
        <v>2028</v>
      </c>
      <c r="B1679" s="2">
        <v>45667.442361111112</v>
      </c>
      <c r="C1679" s="3">
        <v>140</v>
      </c>
      <c r="D1679" s="4">
        <v>128.9</v>
      </c>
      <c r="E1679" s="4">
        <v>129.05000000000001</v>
      </c>
      <c r="F1679" s="4">
        <v>133.94999999999999</v>
      </c>
      <c r="G1679" s="6">
        <v>0</v>
      </c>
      <c r="H1679" s="7">
        <v>0</v>
      </c>
      <c r="I1679" s="4">
        <v>300</v>
      </c>
      <c r="J1679" s="4">
        <v>564</v>
      </c>
      <c r="K1679" s="5">
        <v>0.50409999999999999</v>
      </c>
      <c r="L1679" s="26" t="b">
        <f t="shared" si="115"/>
        <v>1</v>
      </c>
      <c r="M1679" s="26" t="str">
        <f t="shared" si="112"/>
        <v>call</v>
      </c>
      <c r="N1679" s="28">
        <f t="shared" si="113"/>
        <v>46738</v>
      </c>
      <c r="O1679" s="29">
        <f t="shared" si="114"/>
        <v>803</v>
      </c>
    </row>
    <row r="1680" spans="1:15" x14ac:dyDescent="0.45">
      <c r="A1680" s="1" t="s">
        <v>2029</v>
      </c>
      <c r="B1680" s="4" t="s">
        <v>2030</v>
      </c>
      <c r="C1680" s="3">
        <v>145</v>
      </c>
      <c r="D1680" s="4">
        <v>122.95</v>
      </c>
      <c r="E1680" s="4">
        <v>125.5</v>
      </c>
      <c r="F1680" s="4">
        <v>129.65</v>
      </c>
      <c r="G1680" s="6">
        <v>0</v>
      </c>
      <c r="H1680" s="7">
        <v>0</v>
      </c>
      <c r="I1680" s="4">
        <v>9</v>
      </c>
      <c r="J1680" s="4">
        <v>528</v>
      </c>
      <c r="K1680" s="5">
        <v>0.49159999999999998</v>
      </c>
      <c r="L1680" s="26" t="b">
        <f t="shared" si="115"/>
        <v>1</v>
      </c>
      <c r="M1680" s="26" t="str">
        <f t="shared" si="112"/>
        <v>call</v>
      </c>
      <c r="N1680" s="28">
        <f t="shared" si="113"/>
        <v>46738</v>
      </c>
      <c r="O1680" s="29">
        <f t="shared" si="114"/>
        <v>803</v>
      </c>
    </row>
    <row r="1681" spans="1:15" x14ac:dyDescent="0.45">
      <c r="A1681" s="1" t="s">
        <v>2031</v>
      </c>
      <c r="B1681" s="2">
        <v>45726.63958333333</v>
      </c>
      <c r="C1681" s="3">
        <v>150</v>
      </c>
      <c r="D1681" s="4">
        <v>123.09</v>
      </c>
      <c r="E1681" s="4">
        <v>121.25</v>
      </c>
      <c r="F1681" s="4">
        <v>125.45</v>
      </c>
      <c r="G1681" s="8">
        <v>0.71</v>
      </c>
      <c r="H1681" s="9">
        <v>5.7999999999999996E-3</v>
      </c>
      <c r="I1681" s="4">
        <v>2</v>
      </c>
      <c r="J1681" s="4">
        <v>773</v>
      </c>
      <c r="K1681" s="5">
        <v>0.48039999999999999</v>
      </c>
      <c r="L1681" s="26" t="b">
        <f t="shared" si="115"/>
        <v>1</v>
      </c>
      <c r="M1681" s="26" t="str">
        <f t="shared" si="112"/>
        <v>call</v>
      </c>
      <c r="N1681" s="28">
        <f t="shared" si="113"/>
        <v>46738</v>
      </c>
      <c r="O1681" s="29">
        <f t="shared" si="114"/>
        <v>803</v>
      </c>
    </row>
    <row r="1682" spans="1:15" x14ac:dyDescent="0.45">
      <c r="A1682" s="1" t="s">
        <v>2032</v>
      </c>
      <c r="B1682" s="4" t="s">
        <v>2019</v>
      </c>
      <c r="C1682" s="3">
        <v>155</v>
      </c>
      <c r="D1682" s="4">
        <v>116.15</v>
      </c>
      <c r="E1682" s="4">
        <v>117.25</v>
      </c>
      <c r="F1682" s="4">
        <v>121.35</v>
      </c>
      <c r="G1682" s="8">
        <v>0</v>
      </c>
      <c r="H1682" s="9">
        <v>0</v>
      </c>
      <c r="I1682" s="4">
        <v>2</v>
      </c>
      <c r="J1682" s="4">
        <v>160</v>
      </c>
      <c r="K1682" s="5">
        <v>0.47039999999999998</v>
      </c>
      <c r="L1682" s="26" t="b">
        <f t="shared" si="115"/>
        <v>1</v>
      </c>
      <c r="M1682" s="26" t="str">
        <f t="shared" si="112"/>
        <v>call</v>
      </c>
      <c r="N1682" s="28">
        <f t="shared" si="113"/>
        <v>46738</v>
      </c>
      <c r="O1682" s="29">
        <f t="shared" si="114"/>
        <v>803</v>
      </c>
    </row>
    <row r="1683" spans="1:15" x14ac:dyDescent="0.45">
      <c r="A1683" s="1" t="s">
        <v>2033</v>
      </c>
      <c r="B1683" s="2">
        <v>45698.636805555558</v>
      </c>
      <c r="C1683" s="3">
        <v>160</v>
      </c>
      <c r="D1683" s="4">
        <v>114.35</v>
      </c>
      <c r="E1683" s="4">
        <v>113.3</v>
      </c>
      <c r="F1683" s="4">
        <v>117.5</v>
      </c>
      <c r="G1683" s="8">
        <v>0</v>
      </c>
      <c r="H1683" s="9">
        <v>0</v>
      </c>
      <c r="I1683" s="4">
        <v>51</v>
      </c>
      <c r="J1683" s="4">
        <v>407</v>
      </c>
      <c r="K1683" s="5">
        <v>0.46310000000000001</v>
      </c>
      <c r="L1683" s="26" t="b">
        <f t="shared" si="115"/>
        <v>1</v>
      </c>
      <c r="M1683" s="26" t="str">
        <f t="shared" si="112"/>
        <v>call</v>
      </c>
      <c r="N1683" s="28">
        <f t="shared" si="113"/>
        <v>46738</v>
      </c>
      <c r="O1683" s="29">
        <f t="shared" si="114"/>
        <v>803</v>
      </c>
    </row>
    <row r="1684" spans="1:15" x14ac:dyDescent="0.45">
      <c r="A1684" s="1" t="s">
        <v>2034</v>
      </c>
      <c r="B1684" s="4" t="s">
        <v>1814</v>
      </c>
      <c r="C1684" s="3">
        <v>165</v>
      </c>
      <c r="D1684" s="4">
        <v>111.4</v>
      </c>
      <c r="E1684" s="4">
        <v>109.8</v>
      </c>
      <c r="F1684" s="4">
        <v>112.15</v>
      </c>
      <c r="G1684" s="6">
        <v>3.55</v>
      </c>
      <c r="H1684" s="7">
        <v>3.2899999999999999E-2</v>
      </c>
      <c r="I1684" s="4">
        <v>1</v>
      </c>
      <c r="J1684" s="4">
        <v>364</v>
      </c>
      <c r="K1684" s="5">
        <v>0.43919999999999998</v>
      </c>
      <c r="L1684" s="26" t="b">
        <f t="shared" si="115"/>
        <v>1</v>
      </c>
      <c r="M1684" s="26" t="str">
        <f t="shared" si="112"/>
        <v>call</v>
      </c>
      <c r="N1684" s="28">
        <f t="shared" si="113"/>
        <v>46738</v>
      </c>
      <c r="O1684" s="29">
        <f t="shared" si="114"/>
        <v>803</v>
      </c>
    </row>
    <row r="1685" spans="1:15" x14ac:dyDescent="0.45">
      <c r="A1685" s="1" t="s">
        <v>2035</v>
      </c>
      <c r="B1685" s="4" t="s">
        <v>2036</v>
      </c>
      <c r="C1685" s="3">
        <v>170</v>
      </c>
      <c r="D1685" s="4">
        <v>103.93</v>
      </c>
      <c r="E1685" s="4">
        <v>105.8</v>
      </c>
      <c r="F1685" s="4">
        <v>108.4</v>
      </c>
      <c r="G1685" s="6">
        <v>0</v>
      </c>
      <c r="H1685" s="7">
        <v>0</v>
      </c>
      <c r="I1685" s="4">
        <v>4</v>
      </c>
      <c r="J1685" s="4">
        <v>716</v>
      </c>
      <c r="K1685" s="5">
        <v>0.43309999999999998</v>
      </c>
      <c r="L1685" s="26" t="b">
        <f t="shared" si="115"/>
        <v>1</v>
      </c>
      <c r="M1685" s="26" t="str">
        <f t="shared" si="112"/>
        <v>call</v>
      </c>
      <c r="N1685" s="28">
        <f t="shared" si="113"/>
        <v>46738</v>
      </c>
      <c r="O1685" s="29">
        <f t="shared" si="114"/>
        <v>803</v>
      </c>
    </row>
    <row r="1686" spans="1:15" x14ac:dyDescent="0.45">
      <c r="A1686" s="1" t="s">
        <v>2037</v>
      </c>
      <c r="B1686" s="2">
        <v>45698.447916666664</v>
      </c>
      <c r="C1686" s="3">
        <v>175</v>
      </c>
      <c r="D1686" s="4">
        <v>101.67</v>
      </c>
      <c r="E1686" s="4">
        <v>102.05</v>
      </c>
      <c r="F1686" s="4">
        <v>105.3</v>
      </c>
      <c r="G1686" s="6">
        <v>0</v>
      </c>
      <c r="H1686" s="7">
        <v>0</v>
      </c>
      <c r="I1686" s="4">
        <v>1</v>
      </c>
      <c r="J1686" s="4">
        <v>430</v>
      </c>
      <c r="K1686" s="5">
        <v>0.43309999999999998</v>
      </c>
      <c r="L1686" s="26" t="b">
        <f t="shared" si="115"/>
        <v>1</v>
      </c>
      <c r="M1686" s="26" t="str">
        <f t="shared" si="112"/>
        <v>call</v>
      </c>
      <c r="N1686" s="28">
        <f t="shared" si="113"/>
        <v>46738</v>
      </c>
      <c r="O1686" s="29">
        <f t="shared" si="114"/>
        <v>803</v>
      </c>
    </row>
    <row r="1687" spans="1:15" x14ac:dyDescent="0.45">
      <c r="A1687" s="1" t="s">
        <v>2038</v>
      </c>
      <c r="B1687" s="2">
        <v>45726.488888888889</v>
      </c>
      <c r="C1687" s="3">
        <v>180</v>
      </c>
      <c r="D1687" s="4">
        <v>99.95</v>
      </c>
      <c r="E1687" s="4">
        <v>98.05</v>
      </c>
      <c r="F1687" s="4">
        <v>100.45</v>
      </c>
      <c r="G1687" s="6">
        <v>2.85</v>
      </c>
      <c r="H1687" s="7">
        <v>2.9399999999999999E-2</v>
      </c>
      <c r="I1687" s="4">
        <v>2</v>
      </c>
      <c r="J1687" s="10">
        <v>1026</v>
      </c>
      <c r="K1687" s="5">
        <v>0.41520000000000001</v>
      </c>
      <c r="L1687" s="26" t="b">
        <f t="shared" si="115"/>
        <v>1</v>
      </c>
      <c r="M1687" s="26" t="str">
        <f t="shared" si="112"/>
        <v>call</v>
      </c>
      <c r="N1687" s="28">
        <f t="shared" si="113"/>
        <v>46738</v>
      </c>
      <c r="O1687" s="29">
        <f t="shared" si="114"/>
        <v>803</v>
      </c>
    </row>
    <row r="1688" spans="1:15" x14ac:dyDescent="0.45">
      <c r="A1688" s="1" t="s">
        <v>2039</v>
      </c>
      <c r="B1688" s="2">
        <v>45726.65625</v>
      </c>
      <c r="C1688" s="3">
        <v>185</v>
      </c>
      <c r="D1688" s="4">
        <v>95.39</v>
      </c>
      <c r="E1688" s="4">
        <v>94.3</v>
      </c>
      <c r="F1688" s="4">
        <v>96.65</v>
      </c>
      <c r="G1688" s="6">
        <v>1.37</v>
      </c>
      <c r="H1688" s="7">
        <v>1.46E-2</v>
      </c>
      <c r="I1688" s="4">
        <v>5</v>
      </c>
      <c r="J1688" s="10">
        <v>2608</v>
      </c>
      <c r="K1688" s="5">
        <v>0.40770000000000001</v>
      </c>
      <c r="L1688" s="26" t="b">
        <f t="shared" si="115"/>
        <v>1</v>
      </c>
      <c r="M1688" s="26" t="str">
        <f t="shared" si="112"/>
        <v>call</v>
      </c>
      <c r="N1688" s="28">
        <f t="shared" si="113"/>
        <v>46738</v>
      </c>
      <c r="O1688" s="29">
        <f t="shared" si="114"/>
        <v>803</v>
      </c>
    </row>
    <row r="1689" spans="1:15" x14ac:dyDescent="0.45">
      <c r="A1689" s="1" t="s">
        <v>2040</v>
      </c>
      <c r="B1689" s="2">
        <v>45726.661805555559</v>
      </c>
      <c r="C1689" s="3">
        <v>190</v>
      </c>
      <c r="D1689" s="4">
        <v>91.5</v>
      </c>
      <c r="E1689" s="4">
        <v>90.8</v>
      </c>
      <c r="F1689" s="4">
        <v>92.85</v>
      </c>
      <c r="G1689" s="8">
        <v>0.05</v>
      </c>
      <c r="H1689" s="9">
        <v>5.0000000000000001E-4</v>
      </c>
      <c r="I1689" s="4">
        <v>2</v>
      </c>
      <c r="J1689" s="10">
        <v>1146</v>
      </c>
      <c r="K1689" s="5">
        <v>0.4</v>
      </c>
      <c r="L1689" s="26" t="b">
        <f t="shared" si="115"/>
        <v>1</v>
      </c>
      <c r="M1689" s="26" t="str">
        <f t="shared" si="112"/>
        <v>call</v>
      </c>
      <c r="N1689" s="28">
        <f t="shared" si="113"/>
        <v>46738</v>
      </c>
      <c r="O1689" s="29">
        <f t="shared" si="114"/>
        <v>803</v>
      </c>
    </row>
    <row r="1690" spans="1:15" x14ac:dyDescent="0.45">
      <c r="A1690" s="1" t="s">
        <v>2041</v>
      </c>
      <c r="B1690" s="2">
        <v>45726.532638888886</v>
      </c>
      <c r="C1690" s="3">
        <v>195</v>
      </c>
      <c r="D1690" s="4">
        <v>88.55</v>
      </c>
      <c r="E1690" s="4">
        <v>87.2</v>
      </c>
      <c r="F1690" s="4">
        <v>89.1</v>
      </c>
      <c r="G1690" s="6">
        <v>1.65</v>
      </c>
      <c r="H1690" s="7">
        <v>1.9E-2</v>
      </c>
      <c r="I1690" s="4">
        <v>1</v>
      </c>
      <c r="J1690" s="4">
        <v>489</v>
      </c>
      <c r="K1690" s="5">
        <v>0.39240000000000003</v>
      </c>
      <c r="L1690" s="26" t="b">
        <f t="shared" si="115"/>
        <v>1</v>
      </c>
      <c r="M1690" s="26" t="str">
        <f t="shared" si="112"/>
        <v>call</v>
      </c>
      <c r="N1690" s="28">
        <f t="shared" si="113"/>
        <v>46738</v>
      </c>
      <c r="O1690" s="29">
        <f t="shared" si="114"/>
        <v>803</v>
      </c>
    </row>
    <row r="1691" spans="1:15" x14ac:dyDescent="0.45">
      <c r="A1691" s="1" t="s">
        <v>2042</v>
      </c>
      <c r="B1691" s="2">
        <v>45726.459722222222</v>
      </c>
      <c r="C1691" s="3">
        <v>200</v>
      </c>
      <c r="D1691" s="4">
        <v>84.15</v>
      </c>
      <c r="E1691" s="4">
        <v>83.6</v>
      </c>
      <c r="F1691" s="4">
        <v>85.65</v>
      </c>
      <c r="G1691" s="4">
        <v>7.0000000000000007E-2</v>
      </c>
      <c r="H1691" s="5">
        <v>8.0000000000000004E-4</v>
      </c>
      <c r="I1691" s="4">
        <v>5</v>
      </c>
      <c r="J1691" s="10">
        <v>4781</v>
      </c>
      <c r="K1691" s="5">
        <v>0.3871</v>
      </c>
      <c r="L1691" s="26" t="b">
        <f t="shared" si="115"/>
        <v>1</v>
      </c>
      <c r="M1691" s="26" t="str">
        <f t="shared" si="112"/>
        <v>call</v>
      </c>
      <c r="N1691" s="28">
        <f t="shared" si="113"/>
        <v>46738</v>
      </c>
      <c r="O1691" s="29">
        <f t="shared" si="114"/>
        <v>803</v>
      </c>
    </row>
    <row r="1692" spans="1:15" x14ac:dyDescent="0.45">
      <c r="A1692" s="1" t="s">
        <v>2043</v>
      </c>
      <c r="B1692" s="2">
        <v>45726.451388888891</v>
      </c>
      <c r="C1692" s="3">
        <v>205</v>
      </c>
      <c r="D1692" s="4">
        <v>81</v>
      </c>
      <c r="E1692" s="4">
        <v>80.099999999999994</v>
      </c>
      <c r="F1692" s="4">
        <v>82</v>
      </c>
      <c r="G1692" s="8">
        <v>0</v>
      </c>
      <c r="H1692" s="9">
        <v>0</v>
      </c>
      <c r="I1692" s="4">
        <v>25</v>
      </c>
      <c r="J1692" s="10">
        <v>1174</v>
      </c>
      <c r="K1692" s="5">
        <v>0.37980000000000003</v>
      </c>
      <c r="L1692" s="26" t="b">
        <f t="shared" si="115"/>
        <v>1</v>
      </c>
      <c r="M1692" s="26" t="str">
        <f t="shared" si="112"/>
        <v>call</v>
      </c>
      <c r="N1692" s="28">
        <f t="shared" si="113"/>
        <v>46738</v>
      </c>
      <c r="O1692" s="29">
        <f t="shared" si="114"/>
        <v>803</v>
      </c>
    </row>
    <row r="1693" spans="1:15" x14ac:dyDescent="0.45">
      <c r="A1693" s="1" t="s">
        <v>2044</v>
      </c>
      <c r="B1693" s="2">
        <v>45726.63958333333</v>
      </c>
      <c r="C1693" s="3">
        <v>210</v>
      </c>
      <c r="D1693" s="4">
        <v>77.239999999999995</v>
      </c>
      <c r="E1693" s="4">
        <v>76.650000000000006</v>
      </c>
      <c r="F1693" s="4">
        <v>78.55</v>
      </c>
      <c r="G1693" s="4">
        <v>-0.06</v>
      </c>
      <c r="H1693" s="5">
        <v>-8.0000000000000004E-4</v>
      </c>
      <c r="I1693" s="4">
        <v>5</v>
      </c>
      <c r="J1693" s="10">
        <v>1145</v>
      </c>
      <c r="K1693" s="5">
        <v>0.37380000000000002</v>
      </c>
      <c r="L1693" s="26" t="b">
        <f t="shared" si="115"/>
        <v>1</v>
      </c>
      <c r="M1693" s="26" t="str">
        <f t="shared" si="112"/>
        <v>call</v>
      </c>
      <c r="N1693" s="28">
        <f t="shared" si="113"/>
        <v>46738</v>
      </c>
      <c r="O1693" s="29">
        <f t="shared" si="114"/>
        <v>803</v>
      </c>
    </row>
    <row r="1694" spans="1:15" x14ac:dyDescent="0.45">
      <c r="A1694" s="1" t="s">
        <v>2045</v>
      </c>
      <c r="B1694" s="2">
        <v>45726.63958333333</v>
      </c>
      <c r="C1694" s="3">
        <v>215</v>
      </c>
      <c r="D1694" s="4">
        <v>73.94</v>
      </c>
      <c r="E1694" s="4">
        <v>73.25</v>
      </c>
      <c r="F1694" s="4">
        <v>75.3</v>
      </c>
      <c r="G1694" s="6">
        <v>1.66</v>
      </c>
      <c r="H1694" s="7">
        <v>2.3E-2</v>
      </c>
      <c r="I1694" s="4">
        <v>12</v>
      </c>
      <c r="J1694" s="10">
        <v>1167</v>
      </c>
      <c r="K1694" s="5">
        <v>0.36899999999999999</v>
      </c>
      <c r="L1694" s="26" t="b">
        <f t="shared" si="115"/>
        <v>1</v>
      </c>
      <c r="M1694" s="26" t="str">
        <f t="shared" si="112"/>
        <v>call</v>
      </c>
      <c r="N1694" s="28">
        <f t="shared" si="113"/>
        <v>46738</v>
      </c>
      <c r="O1694" s="29">
        <f t="shared" si="114"/>
        <v>803</v>
      </c>
    </row>
    <row r="1695" spans="1:15" x14ac:dyDescent="0.45">
      <c r="A1695" s="1" t="s">
        <v>2046</v>
      </c>
      <c r="B1695" s="2">
        <v>45726.662499999999</v>
      </c>
      <c r="C1695" s="3">
        <v>220</v>
      </c>
      <c r="D1695" s="4">
        <v>70.349999999999994</v>
      </c>
      <c r="E1695" s="4">
        <v>70</v>
      </c>
      <c r="F1695" s="4">
        <v>71.8</v>
      </c>
      <c r="G1695" s="6">
        <v>0.05</v>
      </c>
      <c r="H1695" s="7">
        <v>6.9999999999999999E-4</v>
      </c>
      <c r="I1695" s="4">
        <v>54</v>
      </c>
      <c r="J1695" s="10">
        <v>1775</v>
      </c>
      <c r="K1695" s="5">
        <v>0.3619</v>
      </c>
      <c r="L1695" s="26" t="b">
        <f t="shared" si="115"/>
        <v>1</v>
      </c>
      <c r="M1695" s="26" t="str">
        <f t="shared" si="112"/>
        <v>call</v>
      </c>
      <c r="N1695" s="28">
        <f t="shared" si="113"/>
        <v>46738</v>
      </c>
      <c r="O1695" s="29">
        <f t="shared" si="114"/>
        <v>803</v>
      </c>
    </row>
    <row r="1696" spans="1:15" x14ac:dyDescent="0.45">
      <c r="A1696" s="1" t="s">
        <v>2047</v>
      </c>
      <c r="B1696" s="2">
        <v>45726.620138888888</v>
      </c>
      <c r="C1696" s="3">
        <v>225</v>
      </c>
      <c r="D1696" s="4">
        <v>67.84</v>
      </c>
      <c r="E1696" s="4">
        <v>66.75</v>
      </c>
      <c r="F1696" s="4">
        <v>68.7</v>
      </c>
      <c r="G1696" s="6">
        <v>1.42</v>
      </c>
      <c r="H1696" s="7">
        <v>2.1399999999999999E-2</v>
      </c>
      <c r="I1696" s="4">
        <v>19</v>
      </c>
      <c r="J1696" s="10">
        <v>2485</v>
      </c>
      <c r="K1696" s="5">
        <v>0.35759999999999997</v>
      </c>
      <c r="L1696" s="26" t="b">
        <f t="shared" si="115"/>
        <v>1</v>
      </c>
      <c r="M1696" s="26" t="str">
        <f t="shared" si="112"/>
        <v>call</v>
      </c>
      <c r="N1696" s="28">
        <f t="shared" si="113"/>
        <v>46738</v>
      </c>
      <c r="O1696" s="29">
        <f t="shared" si="114"/>
        <v>803</v>
      </c>
    </row>
    <row r="1697" spans="1:15" x14ac:dyDescent="0.45">
      <c r="A1697" s="1" t="s">
        <v>2048</v>
      </c>
      <c r="B1697" s="2">
        <v>45726.481944444444</v>
      </c>
      <c r="C1697" s="3">
        <v>230</v>
      </c>
      <c r="D1697" s="4">
        <v>64.06</v>
      </c>
      <c r="E1697" s="4">
        <v>63.65</v>
      </c>
      <c r="F1697" s="4">
        <v>65.45</v>
      </c>
      <c r="G1697" s="6">
        <v>-0.44</v>
      </c>
      <c r="H1697" s="7">
        <v>-6.7999999999999996E-3</v>
      </c>
      <c r="I1697" s="4">
        <v>20</v>
      </c>
      <c r="J1697" s="10">
        <v>2228</v>
      </c>
      <c r="K1697" s="5">
        <v>0.35160000000000002</v>
      </c>
      <c r="L1697" s="26" t="b">
        <f t="shared" si="115"/>
        <v>1</v>
      </c>
      <c r="M1697" s="26" t="str">
        <f t="shared" si="112"/>
        <v>call</v>
      </c>
      <c r="N1697" s="28">
        <f t="shared" si="113"/>
        <v>46738</v>
      </c>
      <c r="O1697" s="29">
        <f t="shared" si="114"/>
        <v>803</v>
      </c>
    </row>
    <row r="1698" spans="1:15" x14ac:dyDescent="0.45">
      <c r="A1698" s="1" t="s">
        <v>2049</v>
      </c>
      <c r="B1698" s="2">
        <v>45726.525000000001</v>
      </c>
      <c r="C1698" s="3">
        <v>235</v>
      </c>
      <c r="D1698" s="4">
        <v>61.03</v>
      </c>
      <c r="E1698" s="4">
        <v>60.65</v>
      </c>
      <c r="F1698" s="4">
        <v>62</v>
      </c>
      <c r="G1698" s="6">
        <v>0.08</v>
      </c>
      <c r="H1698" s="7">
        <v>1.2999999999999999E-3</v>
      </c>
      <c r="I1698" s="4">
        <v>24</v>
      </c>
      <c r="J1698" s="4">
        <v>584</v>
      </c>
      <c r="K1698" s="5">
        <v>0.34389999999999998</v>
      </c>
      <c r="L1698" s="26" t="b">
        <f t="shared" si="115"/>
        <v>1</v>
      </c>
      <c r="M1698" s="26" t="str">
        <f t="shared" si="112"/>
        <v>call</v>
      </c>
      <c r="N1698" s="28">
        <f t="shared" si="113"/>
        <v>46738</v>
      </c>
      <c r="O1698" s="29">
        <f t="shared" si="114"/>
        <v>803</v>
      </c>
    </row>
    <row r="1699" spans="1:15" x14ac:dyDescent="0.45">
      <c r="A1699" s="1" t="s">
        <v>2050</v>
      </c>
      <c r="B1699" s="2">
        <v>45726.499305555553</v>
      </c>
      <c r="C1699" s="3">
        <v>240</v>
      </c>
      <c r="D1699" s="4">
        <v>58.44</v>
      </c>
      <c r="E1699" s="4">
        <v>57.6</v>
      </c>
      <c r="F1699" s="4">
        <v>59.75</v>
      </c>
      <c r="G1699" s="8">
        <v>0.75</v>
      </c>
      <c r="H1699" s="9">
        <v>1.2999999999999999E-2</v>
      </c>
      <c r="I1699" s="4">
        <v>1</v>
      </c>
      <c r="J1699" s="4">
        <v>822</v>
      </c>
      <c r="K1699" s="5">
        <v>0.34439999999999998</v>
      </c>
      <c r="L1699" s="26" t="b">
        <f t="shared" si="115"/>
        <v>1</v>
      </c>
      <c r="M1699" s="26" t="str">
        <f t="shared" si="112"/>
        <v>call</v>
      </c>
      <c r="N1699" s="28">
        <f t="shared" si="113"/>
        <v>46738</v>
      </c>
      <c r="O1699" s="29">
        <f t="shared" si="114"/>
        <v>803</v>
      </c>
    </row>
    <row r="1700" spans="1:15" x14ac:dyDescent="0.45">
      <c r="A1700" s="1" t="s">
        <v>2051</v>
      </c>
      <c r="B1700" s="2">
        <v>45698.585416666669</v>
      </c>
      <c r="C1700" s="3">
        <v>245</v>
      </c>
      <c r="D1700" s="4">
        <v>55.72</v>
      </c>
      <c r="E1700" s="4">
        <v>54.9</v>
      </c>
      <c r="F1700" s="4">
        <v>56.55</v>
      </c>
      <c r="G1700" s="6">
        <v>0.63</v>
      </c>
      <c r="H1700" s="7">
        <v>1.14E-2</v>
      </c>
      <c r="I1700" s="4">
        <v>1</v>
      </c>
      <c r="J1700" s="4">
        <v>727</v>
      </c>
      <c r="K1700" s="5">
        <v>0.33760000000000001</v>
      </c>
      <c r="L1700" s="26" t="b">
        <f t="shared" si="115"/>
        <v>1</v>
      </c>
      <c r="M1700" s="26" t="str">
        <f t="shared" si="112"/>
        <v>call</v>
      </c>
      <c r="N1700" s="28">
        <f t="shared" si="113"/>
        <v>46738</v>
      </c>
      <c r="O1700" s="29">
        <f t="shared" si="114"/>
        <v>803</v>
      </c>
    </row>
    <row r="1701" spans="1:15" x14ac:dyDescent="0.45">
      <c r="A1701" s="1" t="s">
        <v>2052</v>
      </c>
      <c r="B1701" s="2">
        <v>45726.585416666669</v>
      </c>
      <c r="C1701" s="3">
        <v>250</v>
      </c>
      <c r="D1701" s="4">
        <v>52.79</v>
      </c>
      <c r="E1701" s="4">
        <v>51.95</v>
      </c>
      <c r="F1701" s="4">
        <v>53.75</v>
      </c>
      <c r="G1701" s="8">
        <v>0.15</v>
      </c>
      <c r="H1701" s="9">
        <v>2.8E-3</v>
      </c>
      <c r="I1701" s="4">
        <v>34</v>
      </c>
      <c r="J1701" s="10">
        <v>5486</v>
      </c>
      <c r="K1701" s="5">
        <v>0.33329999999999999</v>
      </c>
      <c r="L1701" s="26" t="b">
        <f t="shared" si="115"/>
        <v>1</v>
      </c>
      <c r="M1701" s="26" t="str">
        <f t="shared" si="112"/>
        <v>call</v>
      </c>
      <c r="N1701" s="28">
        <f t="shared" si="113"/>
        <v>46738</v>
      </c>
      <c r="O1701" s="29">
        <f t="shared" si="114"/>
        <v>803</v>
      </c>
    </row>
    <row r="1702" spans="1:15" x14ac:dyDescent="0.45">
      <c r="A1702" s="1" t="s">
        <v>2053</v>
      </c>
      <c r="B1702" s="2">
        <v>45726.574305555558</v>
      </c>
      <c r="C1702" s="3">
        <v>255</v>
      </c>
      <c r="D1702" s="4">
        <v>49.61</v>
      </c>
      <c r="E1702" s="4">
        <v>49.55</v>
      </c>
      <c r="F1702" s="4">
        <v>50.55</v>
      </c>
      <c r="G1702" s="6">
        <v>0.01</v>
      </c>
      <c r="H1702" s="7">
        <v>2.0000000000000001E-4</v>
      </c>
      <c r="I1702" s="4">
        <v>5</v>
      </c>
      <c r="J1702" s="4">
        <v>621</v>
      </c>
      <c r="K1702" s="5">
        <v>0.32579999999999998</v>
      </c>
      <c r="L1702" s="26" t="b">
        <f t="shared" si="115"/>
        <v>1</v>
      </c>
      <c r="M1702" s="26" t="str">
        <f t="shared" si="112"/>
        <v>call</v>
      </c>
      <c r="N1702" s="28">
        <f t="shared" si="113"/>
        <v>46738</v>
      </c>
      <c r="O1702" s="29">
        <f t="shared" si="114"/>
        <v>803</v>
      </c>
    </row>
    <row r="1703" spans="1:15" x14ac:dyDescent="0.45">
      <c r="A1703" s="11" t="s">
        <v>2054</v>
      </c>
      <c r="B1703" s="12">
        <v>45726.660416666666</v>
      </c>
      <c r="C1703" s="13">
        <v>260</v>
      </c>
      <c r="D1703" s="14">
        <v>47.3</v>
      </c>
      <c r="E1703" s="14">
        <v>46.75</v>
      </c>
      <c r="F1703" s="14">
        <v>48</v>
      </c>
      <c r="G1703" s="19">
        <v>0.15</v>
      </c>
      <c r="H1703" s="20">
        <v>3.2000000000000002E-3</v>
      </c>
      <c r="I1703" s="14">
        <v>71</v>
      </c>
      <c r="J1703" s="17">
        <v>2681</v>
      </c>
      <c r="K1703" s="18">
        <v>0.32229999999999998</v>
      </c>
      <c r="L1703" s="26" t="b">
        <f t="shared" si="115"/>
        <v>0</v>
      </c>
      <c r="M1703" s="26" t="str">
        <f t="shared" si="112"/>
        <v>call</v>
      </c>
      <c r="N1703" s="28">
        <f t="shared" si="113"/>
        <v>46738</v>
      </c>
      <c r="O1703" s="29">
        <f t="shared" si="114"/>
        <v>803</v>
      </c>
    </row>
    <row r="1704" spans="1:15" x14ac:dyDescent="0.45">
      <c r="A1704" s="11" t="s">
        <v>2055</v>
      </c>
      <c r="B1704" s="12">
        <v>45726.469444444447</v>
      </c>
      <c r="C1704" s="13">
        <v>265</v>
      </c>
      <c r="D1704" s="14">
        <v>44.75</v>
      </c>
      <c r="E1704" s="14">
        <v>44.2</v>
      </c>
      <c r="F1704" s="14">
        <v>45.35</v>
      </c>
      <c r="G1704" s="15">
        <v>0.08</v>
      </c>
      <c r="H1704" s="16">
        <v>1.8E-3</v>
      </c>
      <c r="I1704" s="14">
        <v>10</v>
      </c>
      <c r="J1704" s="14">
        <v>889</v>
      </c>
      <c r="K1704" s="18">
        <v>0.31769999999999998</v>
      </c>
      <c r="L1704" s="26" t="b">
        <f t="shared" si="115"/>
        <v>0</v>
      </c>
      <c r="M1704" s="26" t="str">
        <f t="shared" si="112"/>
        <v>call</v>
      </c>
      <c r="N1704" s="28">
        <f t="shared" si="113"/>
        <v>46738</v>
      </c>
      <c r="O1704" s="29">
        <f t="shared" si="114"/>
        <v>803</v>
      </c>
    </row>
    <row r="1705" spans="1:15" x14ac:dyDescent="0.45">
      <c r="A1705" s="11" t="s">
        <v>2056</v>
      </c>
      <c r="B1705" s="12">
        <v>45726.584722222222</v>
      </c>
      <c r="C1705" s="13">
        <v>270</v>
      </c>
      <c r="D1705" s="14">
        <v>42.3</v>
      </c>
      <c r="E1705" s="14">
        <v>41.7</v>
      </c>
      <c r="F1705" s="14">
        <v>43.5</v>
      </c>
      <c r="G1705" s="15">
        <v>0.18</v>
      </c>
      <c r="H1705" s="16">
        <v>4.3E-3</v>
      </c>
      <c r="I1705" s="14">
        <v>16</v>
      </c>
      <c r="J1705" s="17">
        <v>2910</v>
      </c>
      <c r="K1705" s="18">
        <v>0.318</v>
      </c>
      <c r="L1705" s="26" t="b">
        <f t="shared" si="115"/>
        <v>0</v>
      </c>
      <c r="M1705" s="26" t="str">
        <f t="shared" si="112"/>
        <v>call</v>
      </c>
      <c r="N1705" s="28">
        <f t="shared" si="113"/>
        <v>46738</v>
      </c>
      <c r="O1705" s="29">
        <f t="shared" si="114"/>
        <v>803</v>
      </c>
    </row>
    <row r="1706" spans="1:15" x14ac:dyDescent="0.45">
      <c r="A1706" s="11" t="s">
        <v>2057</v>
      </c>
      <c r="B1706" s="12">
        <v>45726.555555555555</v>
      </c>
      <c r="C1706" s="13">
        <v>275</v>
      </c>
      <c r="D1706" s="14">
        <v>39.950000000000003</v>
      </c>
      <c r="E1706" s="14">
        <v>39.700000000000003</v>
      </c>
      <c r="F1706" s="14">
        <v>40.1</v>
      </c>
      <c r="G1706" s="15">
        <v>0.62</v>
      </c>
      <c r="H1706" s="16">
        <v>1.5800000000000002E-2</v>
      </c>
      <c r="I1706" s="14">
        <v>21</v>
      </c>
      <c r="J1706" s="14">
        <v>539</v>
      </c>
      <c r="K1706" s="18">
        <v>0.3075</v>
      </c>
      <c r="L1706" s="26" t="b">
        <f t="shared" si="115"/>
        <v>0</v>
      </c>
      <c r="M1706" s="26" t="str">
        <f t="shared" si="112"/>
        <v>call</v>
      </c>
      <c r="N1706" s="28">
        <f t="shared" si="113"/>
        <v>46738</v>
      </c>
      <c r="O1706" s="29">
        <f t="shared" si="114"/>
        <v>803</v>
      </c>
    </row>
    <row r="1707" spans="1:15" x14ac:dyDescent="0.45">
      <c r="A1707" s="11" t="s">
        <v>2058</v>
      </c>
      <c r="B1707" s="12">
        <v>45726.584027777775</v>
      </c>
      <c r="C1707" s="13">
        <v>280</v>
      </c>
      <c r="D1707" s="14">
        <v>37.58</v>
      </c>
      <c r="E1707" s="14">
        <v>37.5</v>
      </c>
      <c r="F1707" s="14">
        <v>37.85</v>
      </c>
      <c r="G1707" s="15">
        <v>0.38</v>
      </c>
      <c r="H1707" s="16">
        <v>1.0200000000000001E-2</v>
      </c>
      <c r="I1707" s="14">
        <v>37</v>
      </c>
      <c r="J1707" s="17">
        <v>2484</v>
      </c>
      <c r="K1707" s="18">
        <v>0.30420000000000003</v>
      </c>
      <c r="L1707" s="26" t="b">
        <f t="shared" si="115"/>
        <v>0</v>
      </c>
      <c r="M1707" s="26" t="str">
        <f t="shared" si="112"/>
        <v>call</v>
      </c>
      <c r="N1707" s="28">
        <f t="shared" si="113"/>
        <v>46738</v>
      </c>
      <c r="O1707" s="29">
        <f t="shared" si="114"/>
        <v>803</v>
      </c>
    </row>
    <row r="1708" spans="1:15" x14ac:dyDescent="0.45">
      <c r="A1708" s="11" t="s">
        <v>2059</v>
      </c>
      <c r="B1708" s="12">
        <v>45726.51666666667</v>
      </c>
      <c r="C1708" s="13">
        <v>285</v>
      </c>
      <c r="D1708" s="14">
        <v>35.97</v>
      </c>
      <c r="E1708" s="14">
        <v>35.35</v>
      </c>
      <c r="F1708" s="14">
        <v>35.700000000000003</v>
      </c>
      <c r="G1708" s="19">
        <v>0.77</v>
      </c>
      <c r="H1708" s="20">
        <v>2.1899999999999999E-2</v>
      </c>
      <c r="I1708" s="14">
        <v>21</v>
      </c>
      <c r="J1708" s="14">
        <v>432</v>
      </c>
      <c r="K1708" s="18">
        <v>0.30109999999999998</v>
      </c>
      <c r="L1708" s="26" t="b">
        <f t="shared" si="115"/>
        <v>0</v>
      </c>
      <c r="M1708" s="26" t="str">
        <f t="shared" si="112"/>
        <v>call</v>
      </c>
      <c r="N1708" s="28">
        <f t="shared" si="113"/>
        <v>46738</v>
      </c>
      <c r="O1708" s="29">
        <f t="shared" si="114"/>
        <v>803</v>
      </c>
    </row>
    <row r="1709" spans="1:15" x14ac:dyDescent="0.45">
      <c r="A1709" s="11" t="s">
        <v>2060</v>
      </c>
      <c r="B1709" s="12">
        <v>45726.582638888889</v>
      </c>
      <c r="C1709" s="13">
        <v>290</v>
      </c>
      <c r="D1709" s="14">
        <v>33.520000000000003</v>
      </c>
      <c r="E1709" s="14">
        <v>33.299999999999997</v>
      </c>
      <c r="F1709" s="14">
        <v>33.65</v>
      </c>
      <c r="G1709" s="19">
        <v>0.32</v>
      </c>
      <c r="H1709" s="20">
        <v>9.5999999999999992E-3</v>
      </c>
      <c r="I1709" s="14">
        <v>177</v>
      </c>
      <c r="J1709" s="17">
        <v>1733</v>
      </c>
      <c r="K1709" s="18">
        <v>0.29820000000000002</v>
      </c>
      <c r="L1709" s="26" t="b">
        <f t="shared" si="115"/>
        <v>0</v>
      </c>
      <c r="M1709" s="26" t="str">
        <f t="shared" si="112"/>
        <v>call</v>
      </c>
      <c r="N1709" s="28">
        <f t="shared" si="113"/>
        <v>46738</v>
      </c>
      <c r="O1709" s="29">
        <f t="shared" si="114"/>
        <v>803</v>
      </c>
    </row>
    <row r="1710" spans="1:15" x14ac:dyDescent="0.45">
      <c r="A1710" s="11" t="s">
        <v>2061</v>
      </c>
      <c r="B1710" s="12">
        <v>45726.582638888889</v>
      </c>
      <c r="C1710" s="13">
        <v>295</v>
      </c>
      <c r="D1710" s="14">
        <v>31.61</v>
      </c>
      <c r="E1710" s="14">
        <v>31.35</v>
      </c>
      <c r="F1710" s="14">
        <v>31.7</v>
      </c>
      <c r="G1710" s="19">
        <v>0.25</v>
      </c>
      <c r="H1710" s="20">
        <v>8.0000000000000002E-3</v>
      </c>
      <c r="I1710" s="14">
        <v>3</v>
      </c>
      <c r="J1710" s="14">
        <v>268</v>
      </c>
      <c r="K1710" s="18">
        <v>0.29549999999999998</v>
      </c>
      <c r="L1710" s="26" t="b">
        <f t="shared" si="115"/>
        <v>0</v>
      </c>
      <c r="M1710" s="26" t="str">
        <f t="shared" si="112"/>
        <v>call</v>
      </c>
      <c r="N1710" s="28">
        <f t="shared" si="113"/>
        <v>46738</v>
      </c>
      <c r="O1710" s="29">
        <f t="shared" si="114"/>
        <v>803</v>
      </c>
    </row>
    <row r="1711" spans="1:15" x14ac:dyDescent="0.45">
      <c r="A1711" s="11" t="s">
        <v>2062</v>
      </c>
      <c r="B1711" s="12">
        <v>45726.613194444442</v>
      </c>
      <c r="C1711" s="13">
        <v>300</v>
      </c>
      <c r="D1711" s="14">
        <v>30</v>
      </c>
      <c r="E1711" s="14">
        <v>29.5</v>
      </c>
      <c r="F1711" s="14">
        <v>29.85</v>
      </c>
      <c r="G1711" s="15">
        <v>0.6</v>
      </c>
      <c r="H1711" s="16">
        <v>2.0400000000000001E-2</v>
      </c>
      <c r="I1711" s="14">
        <v>21</v>
      </c>
      <c r="J1711" s="17">
        <v>5421</v>
      </c>
      <c r="K1711" s="18">
        <v>0.29289999999999999</v>
      </c>
      <c r="L1711" s="26" t="b">
        <f t="shared" si="115"/>
        <v>0</v>
      </c>
      <c r="M1711" s="26" t="str">
        <f t="shared" si="112"/>
        <v>call</v>
      </c>
      <c r="N1711" s="28">
        <f t="shared" si="113"/>
        <v>46738</v>
      </c>
      <c r="O1711" s="29">
        <f t="shared" si="114"/>
        <v>803</v>
      </c>
    </row>
    <row r="1712" spans="1:15" x14ac:dyDescent="0.45">
      <c r="A1712" s="11" t="s">
        <v>2063</v>
      </c>
      <c r="B1712" s="12">
        <v>45726.469444444447</v>
      </c>
      <c r="C1712" s="13">
        <v>305</v>
      </c>
      <c r="D1712" s="14">
        <v>28.2</v>
      </c>
      <c r="E1712" s="14">
        <v>27.7</v>
      </c>
      <c r="F1712" s="14">
        <v>28.05</v>
      </c>
      <c r="G1712" s="19">
        <v>0.33</v>
      </c>
      <c r="H1712" s="20">
        <v>1.18E-2</v>
      </c>
      <c r="I1712" s="14">
        <v>1</v>
      </c>
      <c r="J1712" s="14">
        <v>721</v>
      </c>
      <c r="K1712" s="18">
        <v>0.2903</v>
      </c>
      <c r="L1712" s="26" t="b">
        <f t="shared" si="115"/>
        <v>0</v>
      </c>
      <c r="M1712" s="26" t="str">
        <f t="shared" si="112"/>
        <v>call</v>
      </c>
      <c r="N1712" s="28">
        <f t="shared" si="113"/>
        <v>46738</v>
      </c>
      <c r="O1712" s="29">
        <f t="shared" si="114"/>
        <v>803</v>
      </c>
    </row>
    <row r="1713" spans="1:15" x14ac:dyDescent="0.45">
      <c r="A1713" s="11" t="s">
        <v>2064</v>
      </c>
      <c r="B1713" s="12">
        <v>45726.550694444442</v>
      </c>
      <c r="C1713" s="13">
        <v>310</v>
      </c>
      <c r="D1713" s="14">
        <v>26.63</v>
      </c>
      <c r="E1713" s="14">
        <v>26.05</v>
      </c>
      <c r="F1713" s="14">
        <v>26.4</v>
      </c>
      <c r="G1713" s="19">
        <v>0.43</v>
      </c>
      <c r="H1713" s="20">
        <v>1.6400000000000001E-2</v>
      </c>
      <c r="I1713" s="14">
        <v>2</v>
      </c>
      <c r="J1713" s="14">
        <v>674</v>
      </c>
      <c r="K1713" s="18">
        <v>0.28820000000000001</v>
      </c>
      <c r="L1713" s="26" t="b">
        <f t="shared" si="115"/>
        <v>0</v>
      </c>
      <c r="M1713" s="26" t="str">
        <f t="shared" si="112"/>
        <v>call</v>
      </c>
      <c r="N1713" s="28">
        <f t="shared" si="113"/>
        <v>46738</v>
      </c>
      <c r="O1713" s="29">
        <f t="shared" si="114"/>
        <v>803</v>
      </c>
    </row>
    <row r="1714" spans="1:15" x14ac:dyDescent="0.45">
      <c r="A1714" s="11" t="s">
        <v>2065</v>
      </c>
      <c r="B1714" s="12">
        <v>45726.550694444442</v>
      </c>
      <c r="C1714" s="13">
        <v>315</v>
      </c>
      <c r="D1714" s="14">
        <v>25.09</v>
      </c>
      <c r="E1714" s="14">
        <v>24.45</v>
      </c>
      <c r="F1714" s="14">
        <v>24.8</v>
      </c>
      <c r="G1714" s="15">
        <v>0.47</v>
      </c>
      <c r="H1714" s="16">
        <v>1.9099999999999999E-2</v>
      </c>
      <c r="I1714" s="14">
        <v>2</v>
      </c>
      <c r="J1714" s="14">
        <v>647</v>
      </c>
      <c r="K1714" s="18">
        <v>0.28589999999999999</v>
      </c>
      <c r="L1714" s="26" t="b">
        <f t="shared" si="115"/>
        <v>0</v>
      </c>
      <c r="M1714" s="26" t="str">
        <f t="shared" si="112"/>
        <v>call</v>
      </c>
      <c r="N1714" s="28">
        <f t="shared" si="113"/>
        <v>46738</v>
      </c>
      <c r="O1714" s="29">
        <f t="shared" si="114"/>
        <v>803</v>
      </c>
    </row>
    <row r="1715" spans="1:15" x14ac:dyDescent="0.45">
      <c r="A1715" s="11" t="s">
        <v>2066</v>
      </c>
      <c r="B1715" s="12">
        <v>45726.47152777778</v>
      </c>
      <c r="C1715" s="13">
        <v>320</v>
      </c>
      <c r="D1715" s="14">
        <v>23.2</v>
      </c>
      <c r="E1715" s="14">
        <v>22.95</v>
      </c>
      <c r="F1715" s="14">
        <v>23.25</v>
      </c>
      <c r="G1715" s="15">
        <v>7.0000000000000007E-2</v>
      </c>
      <c r="H1715" s="16">
        <v>3.0000000000000001E-3</v>
      </c>
      <c r="I1715" s="14">
        <v>11</v>
      </c>
      <c r="J1715" s="14">
        <v>617</v>
      </c>
      <c r="K1715" s="18">
        <v>0.28360000000000002</v>
      </c>
      <c r="L1715" s="26" t="b">
        <f t="shared" si="115"/>
        <v>0</v>
      </c>
      <c r="M1715" s="26" t="str">
        <f t="shared" si="112"/>
        <v>call</v>
      </c>
      <c r="N1715" s="28">
        <f t="shared" si="113"/>
        <v>46738</v>
      </c>
      <c r="O1715" s="29">
        <f t="shared" si="114"/>
        <v>803</v>
      </c>
    </row>
    <row r="1716" spans="1:15" x14ac:dyDescent="0.45">
      <c r="A1716" s="11" t="s">
        <v>2067</v>
      </c>
      <c r="B1716" s="12">
        <v>45698.659722222219</v>
      </c>
      <c r="C1716" s="13">
        <v>325</v>
      </c>
      <c r="D1716" s="14">
        <v>21.55</v>
      </c>
      <c r="E1716" s="14">
        <v>21.5</v>
      </c>
      <c r="F1716" s="14">
        <v>21.85</v>
      </c>
      <c r="G1716" s="14">
        <v>0</v>
      </c>
      <c r="H1716" s="18">
        <v>0</v>
      </c>
      <c r="I1716" s="14">
        <v>9</v>
      </c>
      <c r="J1716" s="14">
        <v>299</v>
      </c>
      <c r="K1716" s="18">
        <v>0.28189999999999998</v>
      </c>
      <c r="L1716" s="26" t="b">
        <f t="shared" si="115"/>
        <v>0</v>
      </c>
      <c r="M1716" s="26" t="str">
        <f t="shared" si="112"/>
        <v>call</v>
      </c>
      <c r="N1716" s="28">
        <f t="shared" si="113"/>
        <v>46738</v>
      </c>
      <c r="O1716" s="29">
        <f t="shared" si="114"/>
        <v>803</v>
      </c>
    </row>
    <row r="1717" spans="1:15" x14ac:dyDescent="0.45">
      <c r="A1717" s="11" t="s">
        <v>2068</v>
      </c>
      <c r="B1717" s="12">
        <v>45698.501388888886</v>
      </c>
      <c r="C1717" s="13">
        <v>330</v>
      </c>
      <c r="D1717" s="14">
        <v>20.66</v>
      </c>
      <c r="E1717" s="14">
        <v>20.149999999999999</v>
      </c>
      <c r="F1717" s="14">
        <v>20.5</v>
      </c>
      <c r="G1717" s="19">
        <v>0.16</v>
      </c>
      <c r="H1717" s="20">
        <v>7.7999999999999996E-3</v>
      </c>
      <c r="I1717" s="14">
        <v>2</v>
      </c>
      <c r="J1717" s="14">
        <v>360</v>
      </c>
      <c r="K1717" s="18">
        <v>0.28000000000000003</v>
      </c>
      <c r="L1717" s="26" t="b">
        <f t="shared" si="115"/>
        <v>0</v>
      </c>
      <c r="M1717" s="26" t="str">
        <f t="shared" si="112"/>
        <v>call</v>
      </c>
      <c r="N1717" s="28">
        <f t="shared" si="113"/>
        <v>46738</v>
      </c>
      <c r="O1717" s="29">
        <f t="shared" si="114"/>
        <v>803</v>
      </c>
    </row>
    <row r="1718" spans="1:15" x14ac:dyDescent="0.45">
      <c r="A1718" s="11" t="s">
        <v>2069</v>
      </c>
      <c r="B1718" s="12">
        <v>45726.557638888888</v>
      </c>
      <c r="C1718" s="13">
        <v>335</v>
      </c>
      <c r="D1718" s="14">
        <v>19.37</v>
      </c>
      <c r="E1718" s="14">
        <v>18.899999999999999</v>
      </c>
      <c r="F1718" s="14">
        <v>19.2</v>
      </c>
      <c r="G1718" s="19">
        <v>0.28999999999999998</v>
      </c>
      <c r="H1718" s="20">
        <v>1.52E-2</v>
      </c>
      <c r="I1718" s="14">
        <v>2</v>
      </c>
      <c r="J1718" s="14">
        <v>208</v>
      </c>
      <c r="K1718" s="18">
        <v>0.27810000000000001</v>
      </c>
      <c r="L1718" s="26" t="b">
        <f t="shared" si="115"/>
        <v>0</v>
      </c>
      <c r="M1718" s="26" t="str">
        <f t="shared" si="112"/>
        <v>call</v>
      </c>
      <c r="N1718" s="28">
        <f t="shared" si="113"/>
        <v>46738</v>
      </c>
      <c r="O1718" s="29">
        <f t="shared" si="114"/>
        <v>803</v>
      </c>
    </row>
    <row r="1719" spans="1:15" x14ac:dyDescent="0.45">
      <c r="A1719" s="11" t="s">
        <v>2070</v>
      </c>
      <c r="B1719" s="12">
        <v>45726.477083333331</v>
      </c>
      <c r="C1719" s="13">
        <v>340</v>
      </c>
      <c r="D1719" s="14">
        <v>18.07</v>
      </c>
      <c r="E1719" s="14">
        <v>17.7</v>
      </c>
      <c r="F1719" s="14">
        <v>18</v>
      </c>
      <c r="G1719" s="19">
        <v>0.13</v>
      </c>
      <c r="H1719" s="20">
        <v>7.1999999999999998E-3</v>
      </c>
      <c r="I1719" s="14">
        <v>4</v>
      </c>
      <c r="J1719" s="14">
        <v>207</v>
      </c>
      <c r="K1719" s="18">
        <v>0.27650000000000002</v>
      </c>
      <c r="L1719" s="26" t="b">
        <f t="shared" si="115"/>
        <v>0</v>
      </c>
      <c r="M1719" s="26" t="str">
        <f t="shared" si="112"/>
        <v>call</v>
      </c>
      <c r="N1719" s="28">
        <f t="shared" si="113"/>
        <v>46738</v>
      </c>
      <c r="O1719" s="29">
        <f t="shared" si="114"/>
        <v>803</v>
      </c>
    </row>
    <row r="1720" spans="1:15" x14ac:dyDescent="0.45">
      <c r="A1720" s="11" t="s">
        <v>2071</v>
      </c>
      <c r="B1720" s="12">
        <v>45726.581944444442</v>
      </c>
      <c r="C1720" s="13">
        <v>345</v>
      </c>
      <c r="D1720" s="14">
        <v>16.739999999999998</v>
      </c>
      <c r="E1720" s="14">
        <v>16.55</v>
      </c>
      <c r="F1720" s="14">
        <v>16.850000000000001</v>
      </c>
      <c r="G1720" s="19">
        <v>0.12</v>
      </c>
      <c r="H1720" s="20">
        <v>7.1999999999999998E-3</v>
      </c>
      <c r="I1720" s="14">
        <v>3</v>
      </c>
      <c r="J1720" s="14">
        <v>86</v>
      </c>
      <c r="K1720" s="18">
        <v>0.27489999999999998</v>
      </c>
      <c r="L1720" s="26" t="b">
        <f t="shared" si="115"/>
        <v>0</v>
      </c>
      <c r="M1720" s="26" t="str">
        <f t="shared" si="112"/>
        <v>call</v>
      </c>
      <c r="N1720" s="28">
        <f t="shared" si="113"/>
        <v>46738</v>
      </c>
      <c r="O1720" s="29">
        <f t="shared" si="114"/>
        <v>803</v>
      </c>
    </row>
    <row r="1721" spans="1:15" x14ac:dyDescent="0.45">
      <c r="A1721" s="11" t="s">
        <v>2072</v>
      </c>
      <c r="B1721" s="12">
        <v>45726.583333333336</v>
      </c>
      <c r="C1721" s="13">
        <v>350</v>
      </c>
      <c r="D1721" s="14">
        <v>15.65</v>
      </c>
      <c r="E1721" s="14">
        <v>15.5</v>
      </c>
      <c r="F1721" s="14">
        <v>15.8</v>
      </c>
      <c r="G1721" s="15">
        <v>-0.24</v>
      </c>
      <c r="H1721" s="16">
        <v>-1.5100000000000001E-2</v>
      </c>
      <c r="I1721" s="14">
        <v>15</v>
      </c>
      <c r="J1721" s="14">
        <v>757</v>
      </c>
      <c r="K1721" s="18">
        <v>0.27360000000000001</v>
      </c>
      <c r="L1721" s="26" t="b">
        <f t="shared" si="115"/>
        <v>0</v>
      </c>
      <c r="M1721" s="26" t="str">
        <f t="shared" si="112"/>
        <v>call</v>
      </c>
      <c r="N1721" s="28">
        <f t="shared" si="113"/>
        <v>46738</v>
      </c>
      <c r="O1721" s="29">
        <f t="shared" si="114"/>
        <v>803</v>
      </c>
    </row>
    <row r="1722" spans="1:15" x14ac:dyDescent="0.45">
      <c r="A1722" s="11" t="s">
        <v>2073</v>
      </c>
      <c r="B1722" s="12">
        <v>45726.476388888892</v>
      </c>
      <c r="C1722" s="13">
        <v>355</v>
      </c>
      <c r="D1722" s="14">
        <v>14.58</v>
      </c>
      <c r="E1722" s="14">
        <v>14.5</v>
      </c>
      <c r="F1722" s="14">
        <v>14.8</v>
      </c>
      <c r="G1722" s="19">
        <v>0.54</v>
      </c>
      <c r="H1722" s="20">
        <v>3.85E-2</v>
      </c>
      <c r="I1722" s="14">
        <v>11</v>
      </c>
      <c r="J1722" s="17">
        <v>1603</v>
      </c>
      <c r="K1722" s="18">
        <v>0.2722</v>
      </c>
      <c r="L1722" s="26" t="b">
        <f t="shared" si="115"/>
        <v>0</v>
      </c>
      <c r="M1722" s="26" t="str">
        <f t="shared" si="112"/>
        <v>call</v>
      </c>
      <c r="N1722" s="28">
        <f t="shared" si="113"/>
        <v>46738</v>
      </c>
      <c r="O1722" s="29">
        <f t="shared" si="114"/>
        <v>803</v>
      </c>
    </row>
    <row r="1723" spans="1:15" x14ac:dyDescent="0.45">
      <c r="A1723" s="11" t="s">
        <v>2074</v>
      </c>
      <c r="B1723" s="12">
        <v>45726.480555555558</v>
      </c>
      <c r="C1723" s="13">
        <v>360</v>
      </c>
      <c r="D1723" s="14">
        <v>13.65</v>
      </c>
      <c r="E1723" s="14">
        <v>13.6</v>
      </c>
      <c r="F1723" s="14">
        <v>13.85</v>
      </c>
      <c r="G1723" s="19">
        <v>0.21</v>
      </c>
      <c r="H1723" s="20">
        <v>1.5599999999999999E-2</v>
      </c>
      <c r="I1723" s="14">
        <v>20</v>
      </c>
      <c r="J1723" s="14">
        <v>393</v>
      </c>
      <c r="K1723" s="18">
        <v>0.27089999999999997</v>
      </c>
      <c r="L1723" s="26" t="b">
        <f t="shared" si="115"/>
        <v>0</v>
      </c>
      <c r="M1723" s="26" t="str">
        <f t="shared" si="112"/>
        <v>call</v>
      </c>
      <c r="N1723" s="28">
        <f t="shared" si="113"/>
        <v>46738</v>
      </c>
      <c r="O1723" s="29">
        <f t="shared" si="114"/>
        <v>803</v>
      </c>
    </row>
    <row r="1724" spans="1:15" x14ac:dyDescent="0.45">
      <c r="A1724" s="11" t="s">
        <v>2075</v>
      </c>
      <c r="B1724" s="14" t="s">
        <v>2076</v>
      </c>
      <c r="C1724" s="13">
        <v>365</v>
      </c>
      <c r="D1724" s="14">
        <v>12.15</v>
      </c>
      <c r="E1724" s="14">
        <v>12.7</v>
      </c>
      <c r="F1724" s="14">
        <v>13</v>
      </c>
      <c r="G1724" s="14">
        <v>0</v>
      </c>
      <c r="H1724" s="18">
        <v>0</v>
      </c>
      <c r="I1724" s="14">
        <v>1</v>
      </c>
      <c r="J1724" s="14">
        <v>103</v>
      </c>
      <c r="K1724" s="18">
        <v>0.27</v>
      </c>
      <c r="L1724" s="26" t="b">
        <f t="shared" si="115"/>
        <v>0</v>
      </c>
      <c r="M1724" s="26" t="str">
        <f t="shared" si="112"/>
        <v>call</v>
      </c>
      <c r="N1724" s="28">
        <f t="shared" si="113"/>
        <v>46738</v>
      </c>
      <c r="O1724" s="29">
        <f t="shared" si="114"/>
        <v>803</v>
      </c>
    </row>
    <row r="1725" spans="1:15" x14ac:dyDescent="0.45">
      <c r="A1725" s="11" t="s">
        <v>2077</v>
      </c>
      <c r="B1725" s="12">
        <v>45726.661111111112</v>
      </c>
      <c r="C1725" s="13">
        <v>370</v>
      </c>
      <c r="D1725" s="14">
        <v>11.97</v>
      </c>
      <c r="E1725" s="14">
        <v>11.9</v>
      </c>
      <c r="F1725" s="14">
        <v>12.15</v>
      </c>
      <c r="G1725" s="15">
        <v>-0.13</v>
      </c>
      <c r="H1725" s="16">
        <v>-1.0699999999999999E-2</v>
      </c>
      <c r="I1725" s="14">
        <v>3</v>
      </c>
      <c r="J1725" s="14">
        <v>192</v>
      </c>
      <c r="K1725" s="18">
        <v>0.26869999999999999</v>
      </c>
      <c r="L1725" s="26" t="b">
        <f t="shared" si="115"/>
        <v>0</v>
      </c>
      <c r="M1725" s="26" t="str">
        <f t="shared" ref="M1725:M1788" si="116">IF(MID(A1725,11,1)="C","call","put")</f>
        <v>call</v>
      </c>
      <c r="N1725" s="28">
        <f t="shared" ref="N1725:N1788" si="117">DATE(MID(A1725,5,2)+2000,MID(A1725,7,2),MID(A1725,9,2))</f>
        <v>46738</v>
      </c>
      <c r="O1725" s="29">
        <f t="shared" si="114"/>
        <v>803</v>
      </c>
    </row>
    <row r="1726" spans="1:15" x14ac:dyDescent="0.45">
      <c r="A1726" s="11" t="s">
        <v>2078</v>
      </c>
      <c r="B1726" s="12">
        <v>45698.570833333331</v>
      </c>
      <c r="C1726" s="13">
        <v>375</v>
      </c>
      <c r="D1726" s="14">
        <v>11.32</v>
      </c>
      <c r="E1726" s="14">
        <v>11.1</v>
      </c>
      <c r="F1726" s="14">
        <v>11.4</v>
      </c>
      <c r="G1726" s="14">
        <v>0</v>
      </c>
      <c r="H1726" s="18">
        <v>0</v>
      </c>
      <c r="I1726" s="14">
        <v>1</v>
      </c>
      <c r="J1726" s="14">
        <v>212</v>
      </c>
      <c r="K1726" s="18">
        <v>0.26790000000000003</v>
      </c>
      <c r="L1726" s="26" t="b">
        <f t="shared" si="115"/>
        <v>0</v>
      </c>
      <c r="M1726" s="26" t="str">
        <f t="shared" si="116"/>
        <v>call</v>
      </c>
      <c r="N1726" s="28">
        <f t="shared" si="117"/>
        <v>46738</v>
      </c>
      <c r="O1726" s="29">
        <f t="shared" ref="O1726:O1789" si="118">N1726-DATE(2025,10,5)</f>
        <v>803</v>
      </c>
    </row>
    <row r="1727" spans="1:15" x14ac:dyDescent="0.45">
      <c r="A1727" s="11" t="s">
        <v>2079</v>
      </c>
      <c r="B1727" s="12">
        <v>45698.53125</v>
      </c>
      <c r="C1727" s="13">
        <v>380</v>
      </c>
      <c r="D1727" s="14">
        <v>10.55</v>
      </c>
      <c r="E1727" s="14">
        <v>10.4</v>
      </c>
      <c r="F1727" s="14">
        <v>11.65</v>
      </c>
      <c r="G1727" s="14">
        <v>0</v>
      </c>
      <c r="H1727" s="18">
        <v>0</v>
      </c>
      <c r="I1727" s="14">
        <v>1</v>
      </c>
      <c r="J1727" s="14">
        <v>218</v>
      </c>
      <c r="K1727" s="18">
        <v>0.27550000000000002</v>
      </c>
      <c r="L1727" s="26" t="b">
        <f t="shared" si="115"/>
        <v>0</v>
      </c>
      <c r="M1727" s="26" t="str">
        <f t="shared" si="116"/>
        <v>call</v>
      </c>
      <c r="N1727" s="28">
        <f t="shared" si="117"/>
        <v>46738</v>
      </c>
      <c r="O1727" s="29">
        <f t="shared" si="118"/>
        <v>803</v>
      </c>
    </row>
    <row r="1728" spans="1:15" x14ac:dyDescent="0.45">
      <c r="A1728" s="11" t="s">
        <v>2080</v>
      </c>
      <c r="B1728" s="12">
        <v>45726.478472222225</v>
      </c>
      <c r="C1728" s="13">
        <v>385</v>
      </c>
      <c r="D1728" s="14">
        <v>9.83</v>
      </c>
      <c r="E1728" s="14">
        <v>9.6999999999999993</v>
      </c>
      <c r="F1728" s="14">
        <v>10</v>
      </c>
      <c r="G1728" s="19">
        <v>0.26</v>
      </c>
      <c r="H1728" s="20">
        <v>2.7199999999999998E-2</v>
      </c>
      <c r="I1728" s="14">
        <v>10</v>
      </c>
      <c r="J1728" s="14">
        <v>139</v>
      </c>
      <c r="K1728" s="18">
        <v>0.26619999999999999</v>
      </c>
      <c r="L1728" s="26" t="b">
        <f t="shared" ref="L1728:L1791" si="119">IF(M1728="call",C1728&lt;$P$1,C1728&gt;$P$1)</f>
        <v>0</v>
      </c>
      <c r="M1728" s="26" t="str">
        <f t="shared" si="116"/>
        <v>call</v>
      </c>
      <c r="N1728" s="28">
        <f t="shared" si="117"/>
        <v>46738</v>
      </c>
      <c r="O1728" s="29">
        <f t="shared" si="118"/>
        <v>803</v>
      </c>
    </row>
    <row r="1729" spans="1:15" x14ac:dyDescent="0.45">
      <c r="A1729" s="11" t="s">
        <v>2081</v>
      </c>
      <c r="B1729" s="12">
        <v>45698.611805555556</v>
      </c>
      <c r="C1729" s="13">
        <v>390</v>
      </c>
      <c r="D1729" s="14">
        <v>9.4</v>
      </c>
      <c r="E1729" s="14">
        <v>9.1</v>
      </c>
      <c r="F1729" s="14">
        <v>9.35</v>
      </c>
      <c r="G1729" s="14">
        <v>0</v>
      </c>
      <c r="H1729" s="18">
        <v>0</v>
      </c>
      <c r="I1729" s="14">
        <v>1</v>
      </c>
      <c r="J1729" s="14">
        <v>121</v>
      </c>
      <c r="K1729" s="18">
        <v>0.26519999999999999</v>
      </c>
      <c r="L1729" s="26" t="b">
        <f t="shared" si="119"/>
        <v>0</v>
      </c>
      <c r="M1729" s="26" t="str">
        <f t="shared" si="116"/>
        <v>call</v>
      </c>
      <c r="N1729" s="28">
        <f t="shared" si="117"/>
        <v>46738</v>
      </c>
      <c r="O1729" s="29">
        <f t="shared" si="118"/>
        <v>803</v>
      </c>
    </row>
    <row r="1730" spans="1:15" x14ac:dyDescent="0.45">
      <c r="A1730" s="11" t="s">
        <v>2082</v>
      </c>
      <c r="B1730" s="12">
        <v>45726.555555555555</v>
      </c>
      <c r="C1730" s="13">
        <v>395</v>
      </c>
      <c r="D1730" s="14">
        <v>8.8000000000000007</v>
      </c>
      <c r="E1730" s="14">
        <v>8.5</v>
      </c>
      <c r="F1730" s="14">
        <v>8.75</v>
      </c>
      <c r="G1730" s="19">
        <v>0.75</v>
      </c>
      <c r="H1730" s="20">
        <v>9.3200000000000005E-2</v>
      </c>
      <c r="I1730" s="14">
        <v>3</v>
      </c>
      <c r="J1730" s="14">
        <v>79</v>
      </c>
      <c r="K1730" s="18">
        <v>0.26440000000000002</v>
      </c>
      <c r="L1730" s="26" t="b">
        <f t="shared" si="119"/>
        <v>0</v>
      </c>
      <c r="M1730" s="26" t="str">
        <f t="shared" si="116"/>
        <v>call</v>
      </c>
      <c r="N1730" s="28">
        <f t="shared" si="117"/>
        <v>46738</v>
      </c>
      <c r="O1730" s="29">
        <f t="shared" si="118"/>
        <v>803</v>
      </c>
    </row>
    <row r="1731" spans="1:15" x14ac:dyDescent="0.45">
      <c r="A1731" s="11" t="s">
        <v>2083</v>
      </c>
      <c r="B1731" s="12">
        <v>45726.495138888888</v>
      </c>
      <c r="C1731" s="13">
        <v>400</v>
      </c>
      <c r="D1731" s="14">
        <v>8.25</v>
      </c>
      <c r="E1731" s="14">
        <v>7.95</v>
      </c>
      <c r="F1731" s="14">
        <v>8.1999999999999993</v>
      </c>
      <c r="G1731" s="19">
        <v>0.28999999999999998</v>
      </c>
      <c r="H1731" s="20">
        <v>3.6400000000000002E-2</v>
      </c>
      <c r="I1731" s="14">
        <v>4</v>
      </c>
      <c r="J1731" s="17">
        <v>4523</v>
      </c>
      <c r="K1731" s="18">
        <v>0.26379999999999998</v>
      </c>
      <c r="L1731" s="26" t="b">
        <f t="shared" si="119"/>
        <v>0</v>
      </c>
      <c r="M1731" s="26" t="str">
        <f t="shared" si="116"/>
        <v>call</v>
      </c>
      <c r="N1731" s="28">
        <f t="shared" si="117"/>
        <v>46738</v>
      </c>
      <c r="O1731" s="29">
        <f t="shared" si="118"/>
        <v>803</v>
      </c>
    </row>
    <row r="1732" spans="1:15" x14ac:dyDescent="0.45">
      <c r="A1732" s="11" t="s">
        <v>2084</v>
      </c>
      <c r="B1732" s="12">
        <v>45698.397222222222</v>
      </c>
      <c r="C1732" s="13">
        <v>405</v>
      </c>
      <c r="D1732" s="14">
        <v>7.5</v>
      </c>
      <c r="E1732" s="14">
        <v>7.45</v>
      </c>
      <c r="F1732" s="14">
        <v>7.7</v>
      </c>
      <c r="G1732" s="14">
        <v>0</v>
      </c>
      <c r="H1732" s="18">
        <v>0</v>
      </c>
      <c r="I1732" s="14">
        <v>1</v>
      </c>
      <c r="J1732" s="14">
        <v>132</v>
      </c>
      <c r="K1732" s="18">
        <v>0.26329999999999998</v>
      </c>
      <c r="L1732" s="26" t="b">
        <f t="shared" si="119"/>
        <v>0</v>
      </c>
      <c r="M1732" s="26" t="str">
        <f t="shared" si="116"/>
        <v>call</v>
      </c>
      <c r="N1732" s="28">
        <f t="shared" si="117"/>
        <v>46738</v>
      </c>
      <c r="O1732" s="29">
        <f t="shared" si="118"/>
        <v>803</v>
      </c>
    </row>
    <row r="1733" spans="1:15" x14ac:dyDescent="0.45">
      <c r="A1733" s="11" t="s">
        <v>2085</v>
      </c>
      <c r="B1733" s="12">
        <v>45698.420138888891</v>
      </c>
      <c r="C1733" s="13">
        <v>410</v>
      </c>
      <c r="D1733" s="14">
        <v>6.6</v>
      </c>
      <c r="E1733" s="14">
        <v>6.95</v>
      </c>
      <c r="F1733" s="14">
        <v>7.2</v>
      </c>
      <c r="G1733" s="14">
        <v>0</v>
      </c>
      <c r="H1733" s="18">
        <v>0</v>
      </c>
      <c r="I1733" s="14">
        <v>69</v>
      </c>
      <c r="J1733" s="14">
        <v>98</v>
      </c>
      <c r="K1733" s="18">
        <v>0.2626</v>
      </c>
      <c r="L1733" s="26" t="b">
        <f t="shared" si="119"/>
        <v>0</v>
      </c>
      <c r="M1733" s="26" t="str">
        <f t="shared" si="116"/>
        <v>call</v>
      </c>
      <c r="N1733" s="28">
        <f t="shared" si="117"/>
        <v>46738</v>
      </c>
      <c r="O1733" s="29">
        <f t="shared" si="118"/>
        <v>803</v>
      </c>
    </row>
    <row r="1734" spans="1:15" x14ac:dyDescent="0.45">
      <c r="A1734" s="11" t="s">
        <v>2086</v>
      </c>
      <c r="B1734" s="12">
        <v>45698.61041666667</v>
      </c>
      <c r="C1734" s="13">
        <v>415</v>
      </c>
      <c r="D1734" s="14">
        <v>6.8</v>
      </c>
      <c r="E1734" s="14">
        <v>6.5</v>
      </c>
      <c r="F1734" s="14">
        <v>6.75</v>
      </c>
      <c r="G1734" s="14">
        <v>0</v>
      </c>
      <c r="H1734" s="18">
        <v>0</v>
      </c>
      <c r="I1734" s="14">
        <v>2</v>
      </c>
      <c r="J1734" s="14">
        <v>90</v>
      </c>
      <c r="K1734" s="18">
        <v>0.2621</v>
      </c>
      <c r="L1734" s="26" t="b">
        <f t="shared" si="119"/>
        <v>0</v>
      </c>
      <c r="M1734" s="26" t="str">
        <f t="shared" si="116"/>
        <v>call</v>
      </c>
      <c r="N1734" s="28">
        <f t="shared" si="117"/>
        <v>46738</v>
      </c>
      <c r="O1734" s="29">
        <f t="shared" si="118"/>
        <v>803</v>
      </c>
    </row>
    <row r="1735" spans="1:15" x14ac:dyDescent="0.45">
      <c r="A1735" s="11" t="s">
        <v>2087</v>
      </c>
      <c r="B1735" s="12">
        <v>45698.48333333333</v>
      </c>
      <c r="C1735" s="13">
        <v>420</v>
      </c>
      <c r="D1735" s="14">
        <v>6.25</v>
      </c>
      <c r="E1735" s="14">
        <v>6.1</v>
      </c>
      <c r="F1735" s="14">
        <v>7.3</v>
      </c>
      <c r="G1735" s="14">
        <v>0</v>
      </c>
      <c r="H1735" s="18">
        <v>0</v>
      </c>
      <c r="I1735" s="14">
        <v>1</v>
      </c>
      <c r="J1735" s="14">
        <v>269</v>
      </c>
      <c r="K1735" s="18">
        <v>0.27250000000000002</v>
      </c>
      <c r="L1735" s="26" t="b">
        <f t="shared" si="119"/>
        <v>0</v>
      </c>
      <c r="M1735" s="26" t="str">
        <f t="shared" si="116"/>
        <v>call</v>
      </c>
      <c r="N1735" s="28">
        <f t="shared" si="117"/>
        <v>46738</v>
      </c>
      <c r="O1735" s="29">
        <f t="shared" si="118"/>
        <v>803</v>
      </c>
    </row>
    <row r="1736" spans="1:15" x14ac:dyDescent="0.45">
      <c r="A1736" s="11" t="s">
        <v>2088</v>
      </c>
      <c r="B1736" s="12">
        <v>45698.420138888891</v>
      </c>
      <c r="C1736" s="13">
        <v>425</v>
      </c>
      <c r="D1736" s="14">
        <v>5.4</v>
      </c>
      <c r="E1736" s="14">
        <v>4.7</v>
      </c>
      <c r="F1736" s="14">
        <v>6.1</v>
      </c>
      <c r="G1736" s="14">
        <v>0</v>
      </c>
      <c r="H1736" s="18">
        <v>0</v>
      </c>
      <c r="I1736" s="14">
        <v>2</v>
      </c>
      <c r="J1736" s="14">
        <v>105</v>
      </c>
      <c r="K1736" s="18">
        <v>0.26319999999999999</v>
      </c>
      <c r="L1736" s="26" t="b">
        <f t="shared" si="119"/>
        <v>0</v>
      </c>
      <c r="M1736" s="26" t="str">
        <f t="shared" si="116"/>
        <v>call</v>
      </c>
      <c r="N1736" s="28">
        <f t="shared" si="117"/>
        <v>46738</v>
      </c>
      <c r="O1736" s="29">
        <f t="shared" si="118"/>
        <v>803</v>
      </c>
    </row>
    <row r="1737" spans="1:15" x14ac:dyDescent="0.45">
      <c r="A1737" s="11" t="s">
        <v>2089</v>
      </c>
      <c r="B1737" s="12">
        <v>45698.420138888891</v>
      </c>
      <c r="C1737" s="13">
        <v>430</v>
      </c>
      <c r="D1737" s="14">
        <v>5.49</v>
      </c>
      <c r="E1737" s="14">
        <v>3.35</v>
      </c>
      <c r="F1737" s="14">
        <v>5.55</v>
      </c>
      <c r="G1737" s="19">
        <v>0.44</v>
      </c>
      <c r="H1737" s="20">
        <v>8.7099999999999997E-2</v>
      </c>
      <c r="I1737" s="14">
        <v>1</v>
      </c>
      <c r="J1737" s="14">
        <v>335</v>
      </c>
      <c r="K1737" s="18">
        <v>0.2606</v>
      </c>
      <c r="L1737" s="26" t="b">
        <f t="shared" si="119"/>
        <v>0</v>
      </c>
      <c r="M1737" s="26" t="str">
        <f t="shared" si="116"/>
        <v>call</v>
      </c>
      <c r="N1737" s="28">
        <f t="shared" si="117"/>
        <v>46738</v>
      </c>
      <c r="O1737" s="29">
        <f t="shared" si="118"/>
        <v>803</v>
      </c>
    </row>
    <row r="1738" spans="1:15" x14ac:dyDescent="0.45">
      <c r="A1738" s="11" t="s">
        <v>2090</v>
      </c>
      <c r="B1738" s="12">
        <v>45726.554166666669</v>
      </c>
      <c r="C1738" s="13">
        <v>435</v>
      </c>
      <c r="D1738" s="14">
        <v>5.2</v>
      </c>
      <c r="E1738" s="14">
        <v>5</v>
      </c>
      <c r="F1738" s="14">
        <v>5.2</v>
      </c>
      <c r="G1738" s="19">
        <v>0.15</v>
      </c>
      <c r="H1738" s="20">
        <v>2.9700000000000001E-2</v>
      </c>
      <c r="I1738" s="14">
        <v>2</v>
      </c>
      <c r="J1738" s="14">
        <v>217</v>
      </c>
      <c r="K1738" s="18">
        <v>0.26019999999999999</v>
      </c>
      <c r="L1738" s="26" t="b">
        <f t="shared" si="119"/>
        <v>0</v>
      </c>
      <c r="M1738" s="26" t="str">
        <f t="shared" si="116"/>
        <v>call</v>
      </c>
      <c r="N1738" s="28">
        <f t="shared" si="117"/>
        <v>46738</v>
      </c>
      <c r="O1738" s="29">
        <f t="shared" si="118"/>
        <v>803</v>
      </c>
    </row>
    <row r="1739" spans="1:15" x14ac:dyDescent="0.45">
      <c r="A1739" s="11" t="s">
        <v>2091</v>
      </c>
      <c r="B1739" s="12">
        <v>45726.620833333334</v>
      </c>
      <c r="C1739" s="13">
        <v>440</v>
      </c>
      <c r="D1739" s="14">
        <v>4.8499999999999996</v>
      </c>
      <c r="E1739" s="14">
        <v>4.6500000000000004</v>
      </c>
      <c r="F1739" s="14">
        <v>4.9000000000000004</v>
      </c>
      <c r="G1739" s="19">
        <v>0.05</v>
      </c>
      <c r="H1739" s="20">
        <v>1.04E-2</v>
      </c>
      <c r="I1739" s="14">
        <v>100</v>
      </c>
      <c r="J1739" s="17">
        <v>9742</v>
      </c>
      <c r="K1739" s="18">
        <v>0.26019999999999999</v>
      </c>
      <c r="L1739" s="26" t="b">
        <f t="shared" si="119"/>
        <v>0</v>
      </c>
      <c r="M1739" s="26" t="str">
        <f t="shared" si="116"/>
        <v>call</v>
      </c>
      <c r="N1739" s="28">
        <f t="shared" si="117"/>
        <v>46738</v>
      </c>
      <c r="O1739" s="29">
        <f t="shared" si="118"/>
        <v>803</v>
      </c>
    </row>
    <row r="1740" spans="1:15" x14ac:dyDescent="0.45">
      <c r="A1740" s="11" t="s">
        <v>2092</v>
      </c>
      <c r="B1740" s="12">
        <v>45698.611111111109</v>
      </c>
      <c r="C1740" s="13">
        <v>50</v>
      </c>
      <c r="D1740" s="14">
        <v>0.27</v>
      </c>
      <c r="E1740" s="14">
        <v>0.23</v>
      </c>
      <c r="F1740" s="14">
        <v>0.33</v>
      </c>
      <c r="G1740" s="14">
        <v>0</v>
      </c>
      <c r="H1740" s="18">
        <v>0</v>
      </c>
      <c r="I1740" s="14">
        <v>42</v>
      </c>
      <c r="J1740" s="14">
        <v>486</v>
      </c>
      <c r="K1740" s="18">
        <v>0.49099999999999999</v>
      </c>
      <c r="L1740" s="26" t="b">
        <f t="shared" si="119"/>
        <v>0</v>
      </c>
      <c r="M1740" s="26" t="str">
        <f t="shared" si="116"/>
        <v>put</v>
      </c>
      <c r="N1740" s="28">
        <f t="shared" si="117"/>
        <v>46738</v>
      </c>
      <c r="O1740" s="29">
        <f t="shared" si="118"/>
        <v>803</v>
      </c>
    </row>
    <row r="1741" spans="1:15" x14ac:dyDescent="0.45">
      <c r="A1741" s="11" t="s">
        <v>2093</v>
      </c>
      <c r="B1741" s="12">
        <v>45725.625694444447</v>
      </c>
      <c r="C1741" s="13">
        <v>55</v>
      </c>
      <c r="D1741" s="14">
        <v>0.39</v>
      </c>
      <c r="E1741" s="14">
        <v>0.28999999999999998</v>
      </c>
      <c r="F1741" s="14">
        <v>0.39</v>
      </c>
      <c r="G1741" s="14">
        <v>0</v>
      </c>
      <c r="H1741" s="18">
        <v>0</v>
      </c>
      <c r="I1741" s="14">
        <v>5</v>
      </c>
      <c r="J1741" s="14">
        <v>31</v>
      </c>
      <c r="K1741" s="18">
        <v>0.47360000000000002</v>
      </c>
      <c r="L1741" s="26" t="b">
        <f t="shared" si="119"/>
        <v>0</v>
      </c>
      <c r="M1741" s="26" t="str">
        <f t="shared" si="116"/>
        <v>put</v>
      </c>
      <c r="N1741" s="28">
        <f t="shared" si="117"/>
        <v>46738</v>
      </c>
      <c r="O1741" s="29">
        <f t="shared" si="118"/>
        <v>803</v>
      </c>
    </row>
    <row r="1742" spans="1:15" x14ac:dyDescent="0.45">
      <c r="A1742" s="11" t="s">
        <v>2094</v>
      </c>
      <c r="B1742" s="14" t="s">
        <v>2095</v>
      </c>
      <c r="C1742" s="13">
        <v>60</v>
      </c>
      <c r="D1742" s="14">
        <v>0.44</v>
      </c>
      <c r="E1742" s="14">
        <v>0.36</v>
      </c>
      <c r="F1742" s="14">
        <v>0.46</v>
      </c>
      <c r="G1742" s="14">
        <v>0</v>
      </c>
      <c r="H1742" s="18">
        <v>0</v>
      </c>
      <c r="I1742" s="14">
        <v>1</v>
      </c>
      <c r="J1742" s="14">
        <v>104</v>
      </c>
      <c r="K1742" s="18">
        <v>0.45800000000000002</v>
      </c>
      <c r="L1742" s="26" t="b">
        <f t="shared" si="119"/>
        <v>0</v>
      </c>
      <c r="M1742" s="26" t="str">
        <f t="shared" si="116"/>
        <v>put</v>
      </c>
      <c r="N1742" s="28">
        <f t="shared" si="117"/>
        <v>46738</v>
      </c>
      <c r="O1742" s="29">
        <f t="shared" si="118"/>
        <v>803</v>
      </c>
    </row>
    <row r="1743" spans="1:15" x14ac:dyDescent="0.45">
      <c r="A1743" s="11" t="s">
        <v>2096</v>
      </c>
      <c r="B1743" s="14" t="s">
        <v>2097</v>
      </c>
      <c r="C1743" s="13">
        <v>65</v>
      </c>
      <c r="D1743" s="14">
        <v>0.5</v>
      </c>
      <c r="E1743" s="14">
        <v>0.43</v>
      </c>
      <c r="F1743" s="14">
        <v>0.54</v>
      </c>
      <c r="G1743" s="14">
        <v>0.01</v>
      </c>
      <c r="H1743" s="18">
        <v>2.0400000000000001E-2</v>
      </c>
      <c r="I1743" s="14">
        <v>4</v>
      </c>
      <c r="J1743" s="14">
        <v>381</v>
      </c>
      <c r="K1743" s="18">
        <v>0.44409999999999999</v>
      </c>
      <c r="L1743" s="26" t="b">
        <f t="shared" si="119"/>
        <v>0</v>
      </c>
      <c r="M1743" s="26" t="str">
        <f t="shared" si="116"/>
        <v>put</v>
      </c>
      <c r="N1743" s="28">
        <f t="shared" si="117"/>
        <v>46738</v>
      </c>
      <c r="O1743" s="29">
        <f t="shared" si="118"/>
        <v>803</v>
      </c>
    </row>
    <row r="1744" spans="1:15" x14ac:dyDescent="0.45">
      <c r="A1744" s="11" t="s">
        <v>2098</v>
      </c>
      <c r="B1744" s="14" t="s">
        <v>2099</v>
      </c>
      <c r="C1744" s="13">
        <v>70</v>
      </c>
      <c r="D1744" s="14">
        <v>0.56000000000000005</v>
      </c>
      <c r="E1744" s="14">
        <v>0.2</v>
      </c>
      <c r="F1744" s="14">
        <v>0.63</v>
      </c>
      <c r="G1744" s="14">
        <v>0</v>
      </c>
      <c r="H1744" s="18">
        <v>0</v>
      </c>
      <c r="I1744" s="14">
        <v>10</v>
      </c>
      <c r="J1744" s="14">
        <v>196</v>
      </c>
      <c r="K1744" s="18">
        <v>0.43099999999999999</v>
      </c>
      <c r="L1744" s="26" t="b">
        <f t="shared" si="119"/>
        <v>0</v>
      </c>
      <c r="M1744" s="26" t="str">
        <f t="shared" si="116"/>
        <v>put</v>
      </c>
      <c r="N1744" s="28">
        <f t="shared" si="117"/>
        <v>46738</v>
      </c>
      <c r="O1744" s="29">
        <f t="shared" si="118"/>
        <v>803</v>
      </c>
    </row>
    <row r="1745" spans="1:15" x14ac:dyDescent="0.45">
      <c r="A1745" s="11" t="s">
        <v>2100</v>
      </c>
      <c r="B1745" s="14" t="s">
        <v>2101</v>
      </c>
      <c r="C1745" s="13">
        <v>75</v>
      </c>
      <c r="D1745" s="14">
        <v>0.67</v>
      </c>
      <c r="E1745" s="14">
        <v>0.65</v>
      </c>
      <c r="F1745" s="14">
        <v>0.72</v>
      </c>
      <c r="G1745" s="15">
        <v>0</v>
      </c>
      <c r="H1745" s="16">
        <v>0</v>
      </c>
      <c r="I1745" s="14">
        <v>2</v>
      </c>
      <c r="J1745" s="14">
        <v>88</v>
      </c>
      <c r="K1745" s="18">
        <v>0.41799999999999998</v>
      </c>
      <c r="L1745" s="26" t="b">
        <f t="shared" si="119"/>
        <v>0</v>
      </c>
      <c r="M1745" s="26" t="str">
        <f t="shared" si="116"/>
        <v>put</v>
      </c>
      <c r="N1745" s="28">
        <f t="shared" si="117"/>
        <v>46738</v>
      </c>
      <c r="O1745" s="29">
        <f t="shared" si="118"/>
        <v>803</v>
      </c>
    </row>
    <row r="1746" spans="1:15" x14ac:dyDescent="0.45">
      <c r="A1746" s="11" t="s">
        <v>2102</v>
      </c>
      <c r="B1746" s="14" t="s">
        <v>2103</v>
      </c>
      <c r="C1746" s="13">
        <v>80</v>
      </c>
      <c r="D1746" s="14">
        <v>0.81</v>
      </c>
      <c r="E1746" s="14">
        <v>0.53</v>
      </c>
      <c r="F1746" s="14">
        <v>0.84</v>
      </c>
      <c r="G1746" s="14">
        <v>0.01</v>
      </c>
      <c r="H1746" s="18">
        <v>1.2500000000000001E-2</v>
      </c>
      <c r="I1746" s="14">
        <v>1</v>
      </c>
      <c r="J1746" s="14">
        <v>276</v>
      </c>
      <c r="K1746" s="18">
        <v>0.40720000000000001</v>
      </c>
      <c r="L1746" s="26" t="b">
        <f t="shared" si="119"/>
        <v>0</v>
      </c>
      <c r="M1746" s="26" t="str">
        <f t="shared" si="116"/>
        <v>put</v>
      </c>
      <c r="N1746" s="28">
        <f t="shared" si="117"/>
        <v>46738</v>
      </c>
      <c r="O1746" s="29">
        <f t="shared" si="118"/>
        <v>803</v>
      </c>
    </row>
    <row r="1747" spans="1:15" x14ac:dyDescent="0.45">
      <c r="A1747" s="11" t="s">
        <v>2104</v>
      </c>
      <c r="B1747" s="12">
        <v>45698.433333333334</v>
      </c>
      <c r="C1747" s="13">
        <v>85</v>
      </c>
      <c r="D1747" s="14">
        <v>0.94</v>
      </c>
      <c r="E1747" s="14">
        <v>0.85</v>
      </c>
      <c r="F1747" s="14">
        <v>0.96</v>
      </c>
      <c r="G1747" s="14">
        <v>0</v>
      </c>
      <c r="H1747" s="18">
        <v>0</v>
      </c>
      <c r="I1747" s="14">
        <v>3</v>
      </c>
      <c r="J1747" s="14">
        <v>78</v>
      </c>
      <c r="K1747" s="18">
        <v>0.3962</v>
      </c>
      <c r="L1747" s="26" t="b">
        <f t="shared" si="119"/>
        <v>0</v>
      </c>
      <c r="M1747" s="26" t="str">
        <f t="shared" si="116"/>
        <v>put</v>
      </c>
      <c r="N1747" s="28">
        <f t="shared" si="117"/>
        <v>46738</v>
      </c>
      <c r="O1747" s="29">
        <f t="shared" si="118"/>
        <v>803</v>
      </c>
    </row>
    <row r="1748" spans="1:15" x14ac:dyDescent="0.45">
      <c r="A1748" s="11" t="s">
        <v>2105</v>
      </c>
      <c r="B1748" s="14" t="s">
        <v>2106</v>
      </c>
      <c r="C1748" s="13">
        <v>90</v>
      </c>
      <c r="D1748" s="14">
        <v>1.0900000000000001</v>
      </c>
      <c r="E1748" s="14">
        <v>1</v>
      </c>
      <c r="F1748" s="14">
        <v>1.1000000000000001</v>
      </c>
      <c r="G1748" s="14">
        <v>0</v>
      </c>
      <c r="H1748" s="18">
        <v>0</v>
      </c>
      <c r="I1748" s="14">
        <v>7</v>
      </c>
      <c r="J1748" s="14">
        <v>75</v>
      </c>
      <c r="K1748" s="18">
        <v>0.38640000000000002</v>
      </c>
      <c r="L1748" s="26" t="b">
        <f t="shared" si="119"/>
        <v>0</v>
      </c>
      <c r="M1748" s="26" t="str">
        <f t="shared" si="116"/>
        <v>put</v>
      </c>
      <c r="N1748" s="28">
        <f t="shared" si="117"/>
        <v>46738</v>
      </c>
      <c r="O1748" s="29">
        <f t="shared" si="118"/>
        <v>803</v>
      </c>
    </row>
    <row r="1749" spans="1:15" x14ac:dyDescent="0.45">
      <c r="A1749" s="11" t="s">
        <v>2107</v>
      </c>
      <c r="B1749" s="14" t="s">
        <v>2108</v>
      </c>
      <c r="C1749" s="13">
        <v>95</v>
      </c>
      <c r="D1749" s="14">
        <v>1.37</v>
      </c>
      <c r="E1749" s="14">
        <v>1.1499999999999999</v>
      </c>
      <c r="F1749" s="14">
        <v>1.26</v>
      </c>
      <c r="G1749" s="19">
        <v>0</v>
      </c>
      <c r="H1749" s="20">
        <v>0</v>
      </c>
      <c r="I1749" s="14">
        <v>1</v>
      </c>
      <c r="J1749" s="14">
        <v>33</v>
      </c>
      <c r="K1749" s="18">
        <v>0.37719999999999998</v>
      </c>
      <c r="L1749" s="26" t="b">
        <f t="shared" si="119"/>
        <v>0</v>
      </c>
      <c r="M1749" s="26" t="str">
        <f t="shared" si="116"/>
        <v>put</v>
      </c>
      <c r="N1749" s="28">
        <f t="shared" si="117"/>
        <v>46738</v>
      </c>
      <c r="O1749" s="29">
        <f t="shared" si="118"/>
        <v>803</v>
      </c>
    </row>
    <row r="1750" spans="1:15" x14ac:dyDescent="0.45">
      <c r="A1750" s="11" t="s">
        <v>2109</v>
      </c>
      <c r="B1750" s="12">
        <v>45726.415972222225</v>
      </c>
      <c r="C1750" s="13">
        <v>100</v>
      </c>
      <c r="D1750" s="14">
        <v>1.4</v>
      </c>
      <c r="E1750" s="14">
        <v>1.33</v>
      </c>
      <c r="F1750" s="14">
        <v>1.81</v>
      </c>
      <c r="G1750" s="19">
        <v>0.01</v>
      </c>
      <c r="H1750" s="20">
        <v>7.1999999999999998E-3</v>
      </c>
      <c r="I1750" s="14">
        <v>12</v>
      </c>
      <c r="J1750" s="14">
        <v>772</v>
      </c>
      <c r="K1750" s="18">
        <v>0.3856</v>
      </c>
      <c r="L1750" s="26" t="b">
        <f t="shared" si="119"/>
        <v>0</v>
      </c>
      <c r="M1750" s="26" t="str">
        <f t="shared" si="116"/>
        <v>put</v>
      </c>
      <c r="N1750" s="28">
        <f t="shared" si="117"/>
        <v>46738</v>
      </c>
      <c r="O1750" s="29">
        <f t="shared" si="118"/>
        <v>803</v>
      </c>
    </row>
    <row r="1751" spans="1:15" x14ac:dyDescent="0.45">
      <c r="A1751" s="11" t="s">
        <v>2110</v>
      </c>
      <c r="B1751" s="14" t="s">
        <v>2111</v>
      </c>
      <c r="C1751" s="13">
        <v>105</v>
      </c>
      <c r="D1751" s="14">
        <v>1.67</v>
      </c>
      <c r="E1751" s="14">
        <v>1.53</v>
      </c>
      <c r="F1751" s="14">
        <v>1.85</v>
      </c>
      <c r="G1751" s="14">
        <v>0</v>
      </c>
      <c r="H1751" s="18">
        <v>0</v>
      </c>
      <c r="I1751" s="14">
        <v>4</v>
      </c>
      <c r="J1751" s="14">
        <v>113</v>
      </c>
      <c r="K1751" s="18">
        <v>0.36930000000000002</v>
      </c>
      <c r="L1751" s="26" t="b">
        <f t="shared" si="119"/>
        <v>0</v>
      </c>
      <c r="M1751" s="26" t="str">
        <f t="shared" si="116"/>
        <v>put</v>
      </c>
      <c r="N1751" s="28">
        <f t="shared" si="117"/>
        <v>46738</v>
      </c>
      <c r="O1751" s="29">
        <f t="shared" si="118"/>
        <v>803</v>
      </c>
    </row>
    <row r="1752" spans="1:15" x14ac:dyDescent="0.45">
      <c r="A1752" s="11" t="s">
        <v>2112</v>
      </c>
      <c r="B1752" s="12">
        <v>45698.543749999997</v>
      </c>
      <c r="C1752" s="13">
        <v>110</v>
      </c>
      <c r="D1752" s="14">
        <v>1.8</v>
      </c>
      <c r="E1752" s="14">
        <v>1.76</v>
      </c>
      <c r="F1752" s="14">
        <v>2.0699999999999998</v>
      </c>
      <c r="G1752" s="15">
        <v>0</v>
      </c>
      <c r="H1752" s="16">
        <v>0</v>
      </c>
      <c r="I1752" s="14">
        <v>1</v>
      </c>
      <c r="J1752" s="14">
        <v>984</v>
      </c>
      <c r="K1752" s="18">
        <v>0.36049999999999999</v>
      </c>
      <c r="L1752" s="26" t="b">
        <f t="shared" si="119"/>
        <v>0</v>
      </c>
      <c r="M1752" s="26" t="str">
        <f t="shared" si="116"/>
        <v>put</v>
      </c>
      <c r="N1752" s="28">
        <f t="shared" si="117"/>
        <v>46738</v>
      </c>
      <c r="O1752" s="29">
        <f t="shared" si="118"/>
        <v>803</v>
      </c>
    </row>
    <row r="1753" spans="1:15" x14ac:dyDescent="0.45">
      <c r="A1753" s="11" t="s">
        <v>2113</v>
      </c>
      <c r="B1753" s="14" t="s">
        <v>272</v>
      </c>
      <c r="C1753" s="13">
        <v>115</v>
      </c>
      <c r="D1753" s="14">
        <v>2.0699999999999998</v>
      </c>
      <c r="E1753" s="14">
        <v>2.0099999999999998</v>
      </c>
      <c r="F1753" s="14">
        <v>2.13</v>
      </c>
      <c r="G1753" s="15">
        <v>0</v>
      </c>
      <c r="H1753" s="16">
        <v>0</v>
      </c>
      <c r="I1753" s="14">
        <v>1</v>
      </c>
      <c r="J1753" s="14">
        <v>880</v>
      </c>
      <c r="K1753" s="18">
        <v>0.34589999999999999</v>
      </c>
      <c r="L1753" s="26" t="b">
        <f t="shared" si="119"/>
        <v>0</v>
      </c>
      <c r="M1753" s="26" t="str">
        <f t="shared" si="116"/>
        <v>put</v>
      </c>
      <c r="N1753" s="28">
        <f t="shared" si="117"/>
        <v>46738</v>
      </c>
      <c r="O1753" s="29">
        <f t="shared" si="118"/>
        <v>803</v>
      </c>
    </row>
    <row r="1754" spans="1:15" x14ac:dyDescent="0.45">
      <c r="A1754" s="11" t="s">
        <v>2114</v>
      </c>
      <c r="B1754" s="12">
        <v>45726.427083333336</v>
      </c>
      <c r="C1754" s="13">
        <v>120</v>
      </c>
      <c r="D1754" s="14">
        <v>2.31</v>
      </c>
      <c r="E1754" s="14">
        <v>2.08</v>
      </c>
      <c r="F1754" s="14">
        <v>2.61</v>
      </c>
      <c r="G1754" s="15">
        <v>-0.02</v>
      </c>
      <c r="H1754" s="16">
        <v>-8.6E-3</v>
      </c>
      <c r="I1754" s="14">
        <v>1</v>
      </c>
      <c r="J1754" s="14">
        <v>555</v>
      </c>
      <c r="K1754" s="18">
        <v>0.34520000000000001</v>
      </c>
      <c r="L1754" s="26" t="b">
        <f t="shared" si="119"/>
        <v>0</v>
      </c>
      <c r="M1754" s="26" t="str">
        <f t="shared" si="116"/>
        <v>put</v>
      </c>
      <c r="N1754" s="28">
        <f t="shared" si="117"/>
        <v>46738</v>
      </c>
      <c r="O1754" s="29">
        <f t="shared" si="118"/>
        <v>803</v>
      </c>
    </row>
    <row r="1755" spans="1:15" x14ac:dyDescent="0.45">
      <c r="A1755" s="11" t="s">
        <v>2115</v>
      </c>
      <c r="B1755" s="12">
        <v>45726.571527777778</v>
      </c>
      <c r="C1755" s="13">
        <v>125</v>
      </c>
      <c r="D1755" s="14">
        <v>2.67</v>
      </c>
      <c r="E1755" s="14">
        <v>2.59</v>
      </c>
      <c r="F1755" s="14">
        <v>2.72</v>
      </c>
      <c r="G1755" s="14">
        <v>0.03</v>
      </c>
      <c r="H1755" s="18">
        <v>1.14E-2</v>
      </c>
      <c r="I1755" s="14">
        <v>1</v>
      </c>
      <c r="J1755" s="14">
        <v>634</v>
      </c>
      <c r="K1755" s="18">
        <v>0.33229999999999998</v>
      </c>
      <c r="L1755" s="26" t="b">
        <f t="shared" si="119"/>
        <v>0</v>
      </c>
      <c r="M1755" s="26" t="str">
        <f t="shared" si="116"/>
        <v>put</v>
      </c>
      <c r="N1755" s="28">
        <f t="shared" si="117"/>
        <v>46738</v>
      </c>
      <c r="O1755" s="29">
        <f t="shared" si="118"/>
        <v>803</v>
      </c>
    </row>
    <row r="1756" spans="1:15" x14ac:dyDescent="0.45">
      <c r="A1756" s="11" t="s">
        <v>2116</v>
      </c>
      <c r="B1756" s="12">
        <v>45667.427777777775</v>
      </c>
      <c r="C1756" s="13">
        <v>130</v>
      </c>
      <c r="D1756" s="14">
        <v>3.01</v>
      </c>
      <c r="E1756" s="14">
        <v>2.93</v>
      </c>
      <c r="F1756" s="14">
        <v>3.1</v>
      </c>
      <c r="G1756" s="15">
        <v>0</v>
      </c>
      <c r="H1756" s="16">
        <v>0</v>
      </c>
      <c r="I1756" s="14">
        <v>1</v>
      </c>
      <c r="J1756" s="14">
        <v>245</v>
      </c>
      <c r="K1756" s="18">
        <v>0.32700000000000001</v>
      </c>
      <c r="L1756" s="26" t="b">
        <f t="shared" si="119"/>
        <v>0</v>
      </c>
      <c r="M1756" s="26" t="str">
        <f t="shared" si="116"/>
        <v>put</v>
      </c>
      <c r="N1756" s="28">
        <f t="shared" si="117"/>
        <v>46738</v>
      </c>
      <c r="O1756" s="29">
        <f t="shared" si="118"/>
        <v>803</v>
      </c>
    </row>
    <row r="1757" spans="1:15" x14ac:dyDescent="0.45">
      <c r="A1757" s="11" t="s">
        <v>2117</v>
      </c>
      <c r="B1757" s="12">
        <v>45698.545138888891</v>
      </c>
      <c r="C1757" s="13">
        <v>135</v>
      </c>
      <c r="D1757" s="14">
        <v>3.38</v>
      </c>
      <c r="E1757" s="14">
        <v>3.3</v>
      </c>
      <c r="F1757" s="14">
        <v>3.45</v>
      </c>
      <c r="G1757" s="19">
        <v>0.06</v>
      </c>
      <c r="H1757" s="20">
        <v>1.8100000000000002E-2</v>
      </c>
      <c r="I1757" s="14">
        <v>20</v>
      </c>
      <c r="J1757" s="14">
        <v>242</v>
      </c>
      <c r="K1757" s="18">
        <v>0.3201</v>
      </c>
      <c r="L1757" s="26" t="b">
        <f t="shared" si="119"/>
        <v>0</v>
      </c>
      <c r="M1757" s="26" t="str">
        <f t="shared" si="116"/>
        <v>put</v>
      </c>
      <c r="N1757" s="28">
        <f t="shared" si="117"/>
        <v>46738</v>
      </c>
      <c r="O1757" s="29">
        <f t="shared" si="118"/>
        <v>803</v>
      </c>
    </row>
    <row r="1758" spans="1:15" x14ac:dyDescent="0.45">
      <c r="A1758" s="11" t="s">
        <v>2118</v>
      </c>
      <c r="B1758" s="12">
        <v>45726.665277777778</v>
      </c>
      <c r="C1758" s="13">
        <v>140</v>
      </c>
      <c r="D1758" s="14">
        <v>3.8</v>
      </c>
      <c r="E1758" s="14">
        <v>3.7</v>
      </c>
      <c r="F1758" s="14">
        <v>3.85</v>
      </c>
      <c r="G1758" s="15">
        <v>-0.01</v>
      </c>
      <c r="H1758" s="16">
        <v>-2.5999999999999999E-3</v>
      </c>
      <c r="I1758" s="14">
        <v>1</v>
      </c>
      <c r="J1758" s="17">
        <v>2470</v>
      </c>
      <c r="K1758" s="18">
        <v>0.31390000000000001</v>
      </c>
      <c r="L1758" s="26" t="b">
        <f t="shared" si="119"/>
        <v>0</v>
      </c>
      <c r="M1758" s="26" t="str">
        <f t="shared" si="116"/>
        <v>put</v>
      </c>
      <c r="N1758" s="28">
        <f t="shared" si="117"/>
        <v>46738</v>
      </c>
      <c r="O1758" s="29">
        <f t="shared" si="118"/>
        <v>803</v>
      </c>
    </row>
    <row r="1759" spans="1:15" x14ac:dyDescent="0.45">
      <c r="A1759" s="11" t="s">
        <v>2119</v>
      </c>
      <c r="B1759" s="12">
        <v>45667.545138888891</v>
      </c>
      <c r="C1759" s="13">
        <v>145</v>
      </c>
      <c r="D1759" s="14">
        <v>4.22</v>
      </c>
      <c r="E1759" s="14">
        <v>4.1500000000000004</v>
      </c>
      <c r="F1759" s="14">
        <v>4.3</v>
      </c>
      <c r="G1759" s="15">
        <v>0</v>
      </c>
      <c r="H1759" s="16">
        <v>0</v>
      </c>
      <c r="I1759" s="14">
        <v>5</v>
      </c>
      <c r="J1759" s="14">
        <v>231</v>
      </c>
      <c r="K1759" s="18">
        <v>0.30819999999999997</v>
      </c>
      <c r="L1759" s="26" t="b">
        <f t="shared" si="119"/>
        <v>0</v>
      </c>
      <c r="M1759" s="26" t="str">
        <f t="shared" si="116"/>
        <v>put</v>
      </c>
      <c r="N1759" s="28">
        <f t="shared" si="117"/>
        <v>46738</v>
      </c>
      <c r="O1759" s="29">
        <f t="shared" si="118"/>
        <v>803</v>
      </c>
    </row>
    <row r="1760" spans="1:15" x14ac:dyDescent="0.45">
      <c r="A1760" s="11" t="s">
        <v>2120</v>
      </c>
      <c r="B1760" s="12">
        <v>45726.457638888889</v>
      </c>
      <c r="C1760" s="13">
        <v>150</v>
      </c>
      <c r="D1760" s="14">
        <v>4.7</v>
      </c>
      <c r="E1760" s="14">
        <v>4.5999999999999996</v>
      </c>
      <c r="F1760" s="14">
        <v>4.8</v>
      </c>
      <c r="G1760" s="15">
        <v>-0.02</v>
      </c>
      <c r="H1760" s="16">
        <v>-4.1999999999999997E-3</v>
      </c>
      <c r="I1760" s="14">
        <v>11</v>
      </c>
      <c r="J1760" s="17">
        <v>1101</v>
      </c>
      <c r="K1760" s="18">
        <v>0.30280000000000001</v>
      </c>
      <c r="L1760" s="26" t="b">
        <f t="shared" si="119"/>
        <v>0</v>
      </c>
      <c r="M1760" s="26" t="str">
        <f t="shared" si="116"/>
        <v>put</v>
      </c>
      <c r="N1760" s="28">
        <f t="shared" si="117"/>
        <v>46738</v>
      </c>
      <c r="O1760" s="29">
        <f t="shared" si="118"/>
        <v>803</v>
      </c>
    </row>
    <row r="1761" spans="1:15" x14ac:dyDescent="0.45">
      <c r="A1761" s="11" t="s">
        <v>2121</v>
      </c>
      <c r="B1761" s="14" t="s">
        <v>2122</v>
      </c>
      <c r="C1761" s="13">
        <v>155</v>
      </c>
      <c r="D1761" s="14">
        <v>5.22</v>
      </c>
      <c r="E1761" s="14">
        <v>5.15</v>
      </c>
      <c r="F1761" s="14">
        <v>5.35</v>
      </c>
      <c r="G1761" s="15">
        <v>0.02</v>
      </c>
      <c r="H1761" s="16">
        <v>3.8E-3</v>
      </c>
      <c r="I1761" s="14">
        <v>4</v>
      </c>
      <c r="J1761" s="14">
        <v>312</v>
      </c>
      <c r="K1761" s="18">
        <v>0.29759999999999998</v>
      </c>
      <c r="L1761" s="26" t="b">
        <f t="shared" si="119"/>
        <v>0</v>
      </c>
      <c r="M1761" s="26" t="str">
        <f t="shared" si="116"/>
        <v>put</v>
      </c>
      <c r="N1761" s="28">
        <f t="shared" si="117"/>
        <v>46738</v>
      </c>
      <c r="O1761" s="29">
        <f t="shared" si="118"/>
        <v>803</v>
      </c>
    </row>
    <row r="1762" spans="1:15" x14ac:dyDescent="0.45">
      <c r="A1762" s="11" t="s">
        <v>2123</v>
      </c>
      <c r="B1762" s="12">
        <v>45698.482638888891</v>
      </c>
      <c r="C1762" s="13">
        <v>160</v>
      </c>
      <c r="D1762" s="14">
        <v>5.8</v>
      </c>
      <c r="E1762" s="14">
        <v>5.7</v>
      </c>
      <c r="F1762" s="14">
        <v>5.95</v>
      </c>
      <c r="G1762" s="15">
        <v>0</v>
      </c>
      <c r="H1762" s="16">
        <v>0</v>
      </c>
      <c r="I1762" s="14">
        <v>2</v>
      </c>
      <c r="J1762" s="17">
        <v>1153</v>
      </c>
      <c r="K1762" s="18">
        <v>0.29260000000000003</v>
      </c>
      <c r="L1762" s="26" t="b">
        <f t="shared" si="119"/>
        <v>0</v>
      </c>
      <c r="M1762" s="26" t="str">
        <f t="shared" si="116"/>
        <v>put</v>
      </c>
      <c r="N1762" s="28">
        <f t="shared" si="117"/>
        <v>46738</v>
      </c>
      <c r="O1762" s="29">
        <f t="shared" si="118"/>
        <v>803</v>
      </c>
    </row>
    <row r="1763" spans="1:15" x14ac:dyDescent="0.45">
      <c r="A1763" s="11" t="s">
        <v>2124</v>
      </c>
      <c r="B1763" s="12">
        <v>45698.489583333336</v>
      </c>
      <c r="C1763" s="13">
        <v>165</v>
      </c>
      <c r="D1763" s="14">
        <v>6.43</v>
      </c>
      <c r="E1763" s="14">
        <v>6.35</v>
      </c>
      <c r="F1763" s="14">
        <v>6.55</v>
      </c>
      <c r="G1763" s="15">
        <v>0</v>
      </c>
      <c r="H1763" s="16">
        <v>0</v>
      </c>
      <c r="I1763" s="14">
        <v>6</v>
      </c>
      <c r="J1763" s="17">
        <v>1062</v>
      </c>
      <c r="K1763" s="18">
        <v>0.28699999999999998</v>
      </c>
      <c r="L1763" s="26" t="b">
        <f t="shared" si="119"/>
        <v>0</v>
      </c>
      <c r="M1763" s="26" t="str">
        <f t="shared" si="116"/>
        <v>put</v>
      </c>
      <c r="N1763" s="28">
        <f t="shared" si="117"/>
        <v>46738</v>
      </c>
      <c r="O1763" s="29">
        <f t="shared" si="118"/>
        <v>803</v>
      </c>
    </row>
    <row r="1764" spans="1:15" x14ac:dyDescent="0.45">
      <c r="A1764" s="11" t="s">
        <v>2125</v>
      </c>
      <c r="B1764" s="12">
        <v>45698.428472222222</v>
      </c>
      <c r="C1764" s="13">
        <v>170</v>
      </c>
      <c r="D1764" s="14">
        <v>7.15</v>
      </c>
      <c r="E1764" s="14">
        <v>7</v>
      </c>
      <c r="F1764" s="14">
        <v>7.25</v>
      </c>
      <c r="G1764" s="15">
        <v>0</v>
      </c>
      <c r="H1764" s="16">
        <v>0</v>
      </c>
      <c r="I1764" s="14">
        <v>11</v>
      </c>
      <c r="J1764" s="14">
        <v>953</v>
      </c>
      <c r="K1764" s="18">
        <v>0.28220000000000001</v>
      </c>
      <c r="L1764" s="26" t="b">
        <f t="shared" si="119"/>
        <v>0</v>
      </c>
      <c r="M1764" s="26" t="str">
        <f t="shared" si="116"/>
        <v>put</v>
      </c>
      <c r="N1764" s="28">
        <f t="shared" si="117"/>
        <v>46738</v>
      </c>
      <c r="O1764" s="29">
        <f t="shared" si="118"/>
        <v>803</v>
      </c>
    </row>
    <row r="1765" spans="1:15" x14ac:dyDescent="0.45">
      <c r="A1765" s="11" t="s">
        <v>2126</v>
      </c>
      <c r="B1765" s="12">
        <v>45726.662499999999</v>
      </c>
      <c r="C1765" s="13">
        <v>175</v>
      </c>
      <c r="D1765" s="14">
        <v>7.95</v>
      </c>
      <c r="E1765" s="14">
        <v>7.75</v>
      </c>
      <c r="F1765" s="14">
        <v>8</v>
      </c>
      <c r="G1765" s="15">
        <v>0.1</v>
      </c>
      <c r="H1765" s="16">
        <v>1.2699999999999999E-2</v>
      </c>
      <c r="I1765" s="14">
        <v>5</v>
      </c>
      <c r="J1765" s="14">
        <v>974</v>
      </c>
      <c r="K1765" s="18">
        <v>0.27739999999999998</v>
      </c>
      <c r="L1765" s="26" t="b">
        <f t="shared" si="119"/>
        <v>0</v>
      </c>
      <c r="M1765" s="26" t="str">
        <f t="shared" si="116"/>
        <v>put</v>
      </c>
      <c r="N1765" s="28">
        <f t="shared" si="117"/>
        <v>46738</v>
      </c>
      <c r="O1765" s="29">
        <f t="shared" si="118"/>
        <v>803</v>
      </c>
    </row>
    <row r="1766" spans="1:15" x14ac:dyDescent="0.45">
      <c r="A1766" s="11" t="s">
        <v>2127</v>
      </c>
      <c r="B1766" s="12">
        <v>45726.615277777775</v>
      </c>
      <c r="C1766" s="13">
        <v>180</v>
      </c>
      <c r="D1766" s="14">
        <v>8.64</v>
      </c>
      <c r="E1766" s="14">
        <v>8.5500000000000007</v>
      </c>
      <c r="F1766" s="14">
        <v>8.8000000000000007</v>
      </c>
      <c r="G1766" s="15">
        <v>-0.01</v>
      </c>
      <c r="H1766" s="16">
        <v>-1.1999999999999999E-3</v>
      </c>
      <c r="I1766" s="14">
        <v>6</v>
      </c>
      <c r="J1766" s="17">
        <v>2925</v>
      </c>
      <c r="K1766" s="18">
        <v>0.27260000000000001</v>
      </c>
      <c r="L1766" s="26" t="b">
        <f t="shared" si="119"/>
        <v>0</v>
      </c>
      <c r="M1766" s="26" t="str">
        <f t="shared" si="116"/>
        <v>put</v>
      </c>
      <c r="N1766" s="28">
        <f t="shared" si="117"/>
        <v>46738</v>
      </c>
      <c r="O1766" s="29">
        <f t="shared" si="118"/>
        <v>803</v>
      </c>
    </row>
    <row r="1767" spans="1:15" x14ac:dyDescent="0.45">
      <c r="A1767" s="11" t="s">
        <v>2128</v>
      </c>
      <c r="B1767" s="12">
        <v>45698.425000000003</v>
      </c>
      <c r="C1767" s="13">
        <v>185</v>
      </c>
      <c r="D1767" s="14">
        <v>9.5399999999999991</v>
      </c>
      <c r="E1767" s="14">
        <v>9.4</v>
      </c>
      <c r="F1767" s="14">
        <v>9.65</v>
      </c>
      <c r="G1767" s="15">
        <v>0.04</v>
      </c>
      <c r="H1767" s="16">
        <v>4.1999999999999997E-3</v>
      </c>
      <c r="I1767" s="14">
        <v>2</v>
      </c>
      <c r="J1767" s="14">
        <v>710</v>
      </c>
      <c r="K1767" s="18">
        <v>0.26779999999999998</v>
      </c>
      <c r="L1767" s="26" t="b">
        <f t="shared" si="119"/>
        <v>0</v>
      </c>
      <c r="M1767" s="26" t="str">
        <f t="shared" si="116"/>
        <v>put</v>
      </c>
      <c r="N1767" s="28">
        <f t="shared" si="117"/>
        <v>46738</v>
      </c>
      <c r="O1767" s="29">
        <f t="shared" si="118"/>
        <v>803</v>
      </c>
    </row>
    <row r="1768" spans="1:15" x14ac:dyDescent="0.45">
      <c r="A1768" s="11" t="s">
        <v>2129</v>
      </c>
      <c r="B1768" s="12">
        <v>45726.556250000001</v>
      </c>
      <c r="C1768" s="13">
        <v>190</v>
      </c>
      <c r="D1768" s="14">
        <v>10.47</v>
      </c>
      <c r="E1768" s="14">
        <v>10.3</v>
      </c>
      <c r="F1768" s="14">
        <v>11.2</v>
      </c>
      <c r="G1768" s="15">
        <v>-0.23</v>
      </c>
      <c r="H1768" s="16">
        <v>-2.1499999999999998E-2</v>
      </c>
      <c r="I1768" s="14">
        <v>2</v>
      </c>
      <c r="J1768" s="17">
        <v>1238</v>
      </c>
      <c r="K1768" s="18">
        <v>0.26979999999999998</v>
      </c>
      <c r="L1768" s="26" t="b">
        <f t="shared" si="119"/>
        <v>0</v>
      </c>
      <c r="M1768" s="26" t="str">
        <f t="shared" si="116"/>
        <v>put</v>
      </c>
      <c r="N1768" s="28">
        <f t="shared" si="117"/>
        <v>46738</v>
      </c>
      <c r="O1768" s="29">
        <f t="shared" si="118"/>
        <v>803</v>
      </c>
    </row>
    <row r="1769" spans="1:15" x14ac:dyDescent="0.45">
      <c r="A1769" s="11" t="s">
        <v>2130</v>
      </c>
      <c r="B1769" s="12">
        <v>45726.645833333336</v>
      </c>
      <c r="C1769" s="13">
        <v>195</v>
      </c>
      <c r="D1769" s="14">
        <v>11.55</v>
      </c>
      <c r="E1769" s="14">
        <v>11.3</v>
      </c>
      <c r="F1769" s="14">
        <v>12.55</v>
      </c>
      <c r="G1769" s="15">
        <v>-0.37</v>
      </c>
      <c r="H1769" s="16">
        <v>-3.1E-2</v>
      </c>
      <c r="I1769" s="14">
        <v>6</v>
      </c>
      <c r="J1769" s="17">
        <v>1612</v>
      </c>
      <c r="K1769" s="18">
        <v>0.26840000000000003</v>
      </c>
      <c r="L1769" s="26" t="b">
        <f t="shared" si="119"/>
        <v>0</v>
      </c>
      <c r="M1769" s="26" t="str">
        <f t="shared" si="116"/>
        <v>put</v>
      </c>
      <c r="N1769" s="28">
        <f t="shared" si="117"/>
        <v>46738</v>
      </c>
      <c r="O1769" s="29">
        <f t="shared" si="118"/>
        <v>803</v>
      </c>
    </row>
    <row r="1770" spans="1:15" x14ac:dyDescent="0.45">
      <c r="A1770" s="11" t="s">
        <v>2131</v>
      </c>
      <c r="B1770" s="12">
        <v>45726.504166666666</v>
      </c>
      <c r="C1770" s="13">
        <v>200</v>
      </c>
      <c r="D1770" s="14">
        <v>12.5</v>
      </c>
      <c r="E1770" s="14">
        <v>12.35</v>
      </c>
      <c r="F1770" s="14">
        <v>12.65</v>
      </c>
      <c r="G1770" s="15">
        <v>0</v>
      </c>
      <c r="H1770" s="16">
        <v>0</v>
      </c>
      <c r="I1770" s="14">
        <v>3</v>
      </c>
      <c r="J1770" s="17">
        <v>5663</v>
      </c>
      <c r="K1770" s="18">
        <v>0.25440000000000002</v>
      </c>
      <c r="L1770" s="26" t="b">
        <f t="shared" si="119"/>
        <v>0</v>
      </c>
      <c r="M1770" s="26" t="str">
        <f t="shared" si="116"/>
        <v>put</v>
      </c>
      <c r="N1770" s="28">
        <f t="shared" si="117"/>
        <v>46738</v>
      </c>
      <c r="O1770" s="29">
        <f t="shared" si="118"/>
        <v>803</v>
      </c>
    </row>
    <row r="1771" spans="1:15" x14ac:dyDescent="0.45">
      <c r="A1771" s="11" t="s">
        <v>2132</v>
      </c>
      <c r="B1771" s="12">
        <v>45726.554861111108</v>
      </c>
      <c r="C1771" s="13">
        <v>205</v>
      </c>
      <c r="D1771" s="14">
        <v>13.67</v>
      </c>
      <c r="E1771" s="14">
        <v>13.5</v>
      </c>
      <c r="F1771" s="14">
        <v>13.8</v>
      </c>
      <c r="G1771" s="15">
        <v>-0.54</v>
      </c>
      <c r="H1771" s="16">
        <v>-3.7999999999999999E-2</v>
      </c>
      <c r="I1771" s="14">
        <v>5</v>
      </c>
      <c r="J1771" s="14">
        <v>401</v>
      </c>
      <c r="K1771" s="18">
        <v>0.25009999999999999</v>
      </c>
      <c r="L1771" s="26" t="b">
        <f t="shared" si="119"/>
        <v>0</v>
      </c>
      <c r="M1771" s="26" t="str">
        <f t="shared" si="116"/>
        <v>put</v>
      </c>
      <c r="N1771" s="28">
        <f t="shared" si="117"/>
        <v>46738</v>
      </c>
      <c r="O1771" s="29">
        <f t="shared" si="118"/>
        <v>803</v>
      </c>
    </row>
    <row r="1772" spans="1:15" x14ac:dyDescent="0.45">
      <c r="A1772" s="11" t="s">
        <v>2133</v>
      </c>
      <c r="B1772" s="12">
        <v>45726.554861111108</v>
      </c>
      <c r="C1772" s="13">
        <v>210</v>
      </c>
      <c r="D1772" s="14">
        <v>14.9</v>
      </c>
      <c r="E1772" s="14">
        <v>14.7</v>
      </c>
      <c r="F1772" s="14">
        <v>15.7</v>
      </c>
      <c r="G1772" s="15">
        <v>-0.11</v>
      </c>
      <c r="H1772" s="16">
        <v>-7.3000000000000001E-3</v>
      </c>
      <c r="I1772" s="14">
        <v>4</v>
      </c>
      <c r="J1772" s="17">
        <v>1599</v>
      </c>
      <c r="K1772" s="18">
        <v>0.25169999999999998</v>
      </c>
      <c r="L1772" s="26" t="b">
        <f t="shared" si="119"/>
        <v>0</v>
      </c>
      <c r="M1772" s="26" t="str">
        <f t="shared" si="116"/>
        <v>put</v>
      </c>
      <c r="N1772" s="28">
        <f t="shared" si="117"/>
        <v>46738</v>
      </c>
      <c r="O1772" s="29">
        <f t="shared" si="118"/>
        <v>803</v>
      </c>
    </row>
    <row r="1773" spans="1:15" x14ac:dyDescent="0.45">
      <c r="A1773" s="11" t="s">
        <v>2134</v>
      </c>
      <c r="B1773" s="12">
        <v>45726.554861111108</v>
      </c>
      <c r="C1773" s="13">
        <v>215</v>
      </c>
      <c r="D1773" s="14">
        <v>16.16</v>
      </c>
      <c r="E1773" s="14">
        <v>16</v>
      </c>
      <c r="F1773" s="14">
        <v>16.350000000000001</v>
      </c>
      <c r="G1773" s="15">
        <v>-0.14000000000000001</v>
      </c>
      <c r="H1773" s="16">
        <v>-8.6E-3</v>
      </c>
      <c r="I1773" s="14">
        <v>4</v>
      </c>
      <c r="J1773" s="14">
        <v>467</v>
      </c>
      <c r="K1773" s="18">
        <v>0.24179999999999999</v>
      </c>
      <c r="L1773" s="26" t="b">
        <f t="shared" si="119"/>
        <v>0</v>
      </c>
      <c r="M1773" s="26" t="str">
        <f t="shared" si="116"/>
        <v>put</v>
      </c>
      <c r="N1773" s="28">
        <f t="shared" si="117"/>
        <v>46738</v>
      </c>
      <c r="O1773" s="29">
        <f t="shared" si="118"/>
        <v>803</v>
      </c>
    </row>
    <row r="1774" spans="1:15" x14ac:dyDescent="0.45">
      <c r="A1774" s="11" t="s">
        <v>2135</v>
      </c>
      <c r="B1774" s="12">
        <v>45726.658333333333</v>
      </c>
      <c r="C1774" s="13">
        <v>220</v>
      </c>
      <c r="D1774" s="14">
        <v>17.62</v>
      </c>
      <c r="E1774" s="14">
        <v>17.399999999999999</v>
      </c>
      <c r="F1774" s="14">
        <v>17.75</v>
      </c>
      <c r="G1774" s="15">
        <v>-0.08</v>
      </c>
      <c r="H1774" s="16">
        <v>-4.4999999999999997E-3</v>
      </c>
      <c r="I1774" s="14">
        <v>3</v>
      </c>
      <c r="J1774" s="14">
        <v>662</v>
      </c>
      <c r="K1774" s="18">
        <v>0.23769999999999999</v>
      </c>
      <c r="L1774" s="26" t="b">
        <f t="shared" si="119"/>
        <v>0</v>
      </c>
      <c r="M1774" s="26" t="str">
        <f t="shared" si="116"/>
        <v>put</v>
      </c>
      <c r="N1774" s="28">
        <f t="shared" si="117"/>
        <v>46738</v>
      </c>
      <c r="O1774" s="29">
        <f t="shared" si="118"/>
        <v>803</v>
      </c>
    </row>
    <row r="1775" spans="1:15" x14ac:dyDescent="0.45">
      <c r="A1775" s="11" t="s">
        <v>2136</v>
      </c>
      <c r="B1775" s="12">
        <v>45726.554861111108</v>
      </c>
      <c r="C1775" s="13">
        <v>225</v>
      </c>
      <c r="D1775" s="14">
        <v>19.149999999999999</v>
      </c>
      <c r="E1775" s="14">
        <v>18.899999999999999</v>
      </c>
      <c r="F1775" s="14">
        <v>19.25</v>
      </c>
      <c r="G1775" s="19">
        <v>-0.22</v>
      </c>
      <c r="H1775" s="20">
        <v>-1.14E-2</v>
      </c>
      <c r="I1775" s="14">
        <v>5</v>
      </c>
      <c r="J1775" s="14">
        <v>300</v>
      </c>
      <c r="K1775" s="18">
        <v>0.23369999999999999</v>
      </c>
      <c r="L1775" s="26" t="b">
        <f t="shared" si="119"/>
        <v>0</v>
      </c>
      <c r="M1775" s="26" t="str">
        <f t="shared" si="116"/>
        <v>put</v>
      </c>
      <c r="N1775" s="28">
        <f t="shared" si="117"/>
        <v>46738</v>
      </c>
      <c r="O1775" s="29">
        <f t="shared" si="118"/>
        <v>803</v>
      </c>
    </row>
    <row r="1776" spans="1:15" x14ac:dyDescent="0.45">
      <c r="A1776" s="11" t="s">
        <v>2137</v>
      </c>
      <c r="B1776" s="12">
        <v>45726.55</v>
      </c>
      <c r="C1776" s="13">
        <v>230</v>
      </c>
      <c r="D1776" s="14">
        <v>20.58</v>
      </c>
      <c r="E1776" s="14">
        <v>20.45</v>
      </c>
      <c r="F1776" s="14">
        <v>20.8</v>
      </c>
      <c r="G1776" s="19">
        <v>-0.15</v>
      </c>
      <c r="H1776" s="20">
        <v>-7.1999999999999998E-3</v>
      </c>
      <c r="I1776" s="14">
        <v>2</v>
      </c>
      <c r="J1776" s="17">
        <v>1489</v>
      </c>
      <c r="K1776" s="18">
        <v>0.22939999999999999</v>
      </c>
      <c r="L1776" s="26" t="b">
        <f t="shared" si="119"/>
        <v>0</v>
      </c>
      <c r="M1776" s="26" t="str">
        <f t="shared" si="116"/>
        <v>put</v>
      </c>
      <c r="N1776" s="28">
        <f t="shared" si="117"/>
        <v>46738</v>
      </c>
      <c r="O1776" s="29">
        <f t="shared" si="118"/>
        <v>803</v>
      </c>
    </row>
    <row r="1777" spans="1:15" x14ac:dyDescent="0.45">
      <c r="A1777" s="11" t="s">
        <v>2138</v>
      </c>
      <c r="B1777" s="12">
        <v>45726.556944444441</v>
      </c>
      <c r="C1777" s="13">
        <v>235</v>
      </c>
      <c r="D1777" s="14">
        <v>22.3</v>
      </c>
      <c r="E1777" s="14">
        <v>22.15</v>
      </c>
      <c r="F1777" s="14">
        <v>22.5</v>
      </c>
      <c r="G1777" s="15">
        <v>-0.2</v>
      </c>
      <c r="H1777" s="16">
        <v>-8.8999999999999999E-3</v>
      </c>
      <c r="I1777" s="14">
        <v>4</v>
      </c>
      <c r="J1777" s="14">
        <v>117</v>
      </c>
      <c r="K1777" s="18">
        <v>0.22559999999999999</v>
      </c>
      <c r="L1777" s="26" t="b">
        <f t="shared" si="119"/>
        <v>0</v>
      </c>
      <c r="M1777" s="26" t="str">
        <f t="shared" si="116"/>
        <v>put</v>
      </c>
      <c r="N1777" s="28">
        <f t="shared" si="117"/>
        <v>46738</v>
      </c>
      <c r="O1777" s="29">
        <f t="shared" si="118"/>
        <v>803</v>
      </c>
    </row>
    <row r="1778" spans="1:15" x14ac:dyDescent="0.45">
      <c r="A1778" s="11" t="s">
        <v>2139</v>
      </c>
      <c r="B1778" s="12">
        <v>45726.556250000001</v>
      </c>
      <c r="C1778" s="13">
        <v>240</v>
      </c>
      <c r="D1778" s="14">
        <v>24.1</v>
      </c>
      <c r="E1778" s="14">
        <v>23.9</v>
      </c>
      <c r="F1778" s="14">
        <v>24.3</v>
      </c>
      <c r="G1778" s="15">
        <v>-0.22</v>
      </c>
      <c r="H1778" s="16">
        <v>-8.9999999999999993E-3</v>
      </c>
      <c r="I1778" s="14">
        <v>4</v>
      </c>
      <c r="J1778" s="14">
        <v>330</v>
      </c>
      <c r="K1778" s="18">
        <v>0.2218</v>
      </c>
      <c r="L1778" s="26" t="b">
        <f t="shared" si="119"/>
        <v>0</v>
      </c>
      <c r="M1778" s="26" t="str">
        <f t="shared" si="116"/>
        <v>put</v>
      </c>
      <c r="N1778" s="28">
        <f t="shared" si="117"/>
        <v>46738</v>
      </c>
      <c r="O1778" s="29">
        <f t="shared" si="118"/>
        <v>803</v>
      </c>
    </row>
    <row r="1779" spans="1:15" x14ac:dyDescent="0.45">
      <c r="A1779" s="11" t="s">
        <v>2140</v>
      </c>
      <c r="B1779" s="12">
        <v>45698.484027777777</v>
      </c>
      <c r="C1779" s="13">
        <v>245</v>
      </c>
      <c r="D1779" s="14">
        <v>26.06</v>
      </c>
      <c r="E1779" s="14">
        <v>25.75</v>
      </c>
      <c r="F1779" s="14">
        <v>27.15</v>
      </c>
      <c r="G1779" s="15">
        <v>-0.17</v>
      </c>
      <c r="H1779" s="16">
        <v>-6.4999999999999997E-3</v>
      </c>
      <c r="I1779" s="14">
        <v>4</v>
      </c>
      <c r="J1779" s="14">
        <v>237</v>
      </c>
      <c r="K1779" s="18">
        <v>0.22459999999999999</v>
      </c>
      <c r="L1779" s="26" t="b">
        <f t="shared" si="119"/>
        <v>0</v>
      </c>
      <c r="M1779" s="26" t="str">
        <f t="shared" si="116"/>
        <v>put</v>
      </c>
      <c r="N1779" s="28">
        <f t="shared" si="117"/>
        <v>46738</v>
      </c>
      <c r="O1779" s="29">
        <f t="shared" si="118"/>
        <v>803</v>
      </c>
    </row>
    <row r="1780" spans="1:15" x14ac:dyDescent="0.45">
      <c r="A1780" s="11" t="s">
        <v>2141</v>
      </c>
      <c r="B1780" s="12">
        <v>45726.522222222222</v>
      </c>
      <c r="C1780" s="13">
        <v>250</v>
      </c>
      <c r="D1780" s="14">
        <v>27.82</v>
      </c>
      <c r="E1780" s="14">
        <v>27.75</v>
      </c>
      <c r="F1780" s="14">
        <v>28.15</v>
      </c>
      <c r="G1780" s="15">
        <v>-0.48</v>
      </c>
      <c r="H1780" s="16">
        <v>-1.7000000000000001E-2</v>
      </c>
      <c r="I1780" s="14">
        <v>4</v>
      </c>
      <c r="J1780" s="14">
        <v>613</v>
      </c>
      <c r="K1780" s="18">
        <v>0.21390000000000001</v>
      </c>
      <c r="L1780" s="26" t="b">
        <f t="shared" si="119"/>
        <v>0</v>
      </c>
      <c r="M1780" s="26" t="str">
        <f t="shared" si="116"/>
        <v>put</v>
      </c>
      <c r="N1780" s="28">
        <f t="shared" si="117"/>
        <v>46738</v>
      </c>
      <c r="O1780" s="29">
        <f t="shared" si="118"/>
        <v>803</v>
      </c>
    </row>
    <row r="1781" spans="1:15" x14ac:dyDescent="0.45">
      <c r="A1781" s="11" t="s">
        <v>2142</v>
      </c>
      <c r="B1781" s="12">
        <v>45726.624305555553</v>
      </c>
      <c r="C1781" s="13">
        <v>255</v>
      </c>
      <c r="D1781" s="14">
        <v>30.03</v>
      </c>
      <c r="E1781" s="14">
        <v>29.8</v>
      </c>
      <c r="F1781" s="14">
        <v>31.2</v>
      </c>
      <c r="G1781" s="15">
        <v>-0.32</v>
      </c>
      <c r="H1781" s="16">
        <v>-1.0500000000000001E-2</v>
      </c>
      <c r="I1781" s="14">
        <v>24</v>
      </c>
      <c r="J1781" s="14">
        <v>323</v>
      </c>
      <c r="K1781" s="18">
        <v>0.21640000000000001</v>
      </c>
      <c r="L1781" s="26" t="b">
        <f t="shared" si="119"/>
        <v>0</v>
      </c>
      <c r="M1781" s="26" t="str">
        <f t="shared" si="116"/>
        <v>put</v>
      </c>
      <c r="N1781" s="28">
        <f t="shared" si="117"/>
        <v>46738</v>
      </c>
      <c r="O1781" s="29">
        <f t="shared" si="118"/>
        <v>803</v>
      </c>
    </row>
    <row r="1782" spans="1:15" x14ac:dyDescent="0.45">
      <c r="A1782" s="1" t="s">
        <v>2143</v>
      </c>
      <c r="B1782" s="2">
        <v>45726.660416666666</v>
      </c>
      <c r="C1782" s="3">
        <v>260</v>
      </c>
      <c r="D1782" s="4">
        <v>32.4</v>
      </c>
      <c r="E1782" s="4">
        <v>32</v>
      </c>
      <c r="F1782" s="4">
        <v>32.5</v>
      </c>
      <c r="G1782" s="6">
        <v>-0.26</v>
      </c>
      <c r="H1782" s="7">
        <v>-8.0000000000000002E-3</v>
      </c>
      <c r="I1782" s="4">
        <v>49</v>
      </c>
      <c r="J1782" s="4">
        <v>678</v>
      </c>
      <c r="K1782" s="5">
        <v>0.2064</v>
      </c>
      <c r="L1782" s="26" t="b">
        <f t="shared" si="119"/>
        <v>1</v>
      </c>
      <c r="M1782" s="26" t="str">
        <f t="shared" si="116"/>
        <v>put</v>
      </c>
      <c r="N1782" s="28">
        <f t="shared" si="117"/>
        <v>46738</v>
      </c>
      <c r="O1782" s="29">
        <f t="shared" si="118"/>
        <v>803</v>
      </c>
    </row>
    <row r="1783" spans="1:15" x14ac:dyDescent="0.45">
      <c r="A1783" s="1" t="s">
        <v>2144</v>
      </c>
      <c r="B1783" s="2">
        <v>45726.553472222222</v>
      </c>
      <c r="C1783" s="3">
        <v>265</v>
      </c>
      <c r="D1783" s="4">
        <v>34.46</v>
      </c>
      <c r="E1783" s="4">
        <v>34.35</v>
      </c>
      <c r="F1783" s="4">
        <v>34.799999999999997</v>
      </c>
      <c r="G1783" s="8">
        <v>-0.69</v>
      </c>
      <c r="H1783" s="9">
        <v>-1.9599999999999999E-2</v>
      </c>
      <c r="I1783" s="4">
        <v>8</v>
      </c>
      <c r="J1783" s="4">
        <v>277</v>
      </c>
      <c r="K1783" s="5">
        <v>0.2024</v>
      </c>
      <c r="L1783" s="26" t="b">
        <f t="shared" si="119"/>
        <v>1</v>
      </c>
      <c r="M1783" s="26" t="str">
        <f t="shared" si="116"/>
        <v>put</v>
      </c>
      <c r="N1783" s="28">
        <f t="shared" si="117"/>
        <v>46738</v>
      </c>
      <c r="O1783" s="29">
        <f t="shared" si="118"/>
        <v>803</v>
      </c>
    </row>
    <row r="1784" spans="1:15" x14ac:dyDescent="0.45">
      <c r="A1784" s="1" t="s">
        <v>2145</v>
      </c>
      <c r="B1784" s="2">
        <v>45726.552083333336</v>
      </c>
      <c r="C1784" s="3">
        <v>270</v>
      </c>
      <c r="D1784" s="4">
        <v>36.869999999999997</v>
      </c>
      <c r="E1784" s="4">
        <v>36.75</v>
      </c>
      <c r="F1784" s="4">
        <v>37.25</v>
      </c>
      <c r="G1784" s="8">
        <v>-0.61</v>
      </c>
      <c r="H1784" s="9">
        <v>-1.6299999999999999E-2</v>
      </c>
      <c r="I1784" s="4">
        <v>7</v>
      </c>
      <c r="J1784" s="4">
        <v>377</v>
      </c>
      <c r="K1784" s="5">
        <v>0.1986</v>
      </c>
      <c r="L1784" s="26" t="b">
        <f t="shared" si="119"/>
        <v>1</v>
      </c>
      <c r="M1784" s="26" t="str">
        <f t="shared" si="116"/>
        <v>put</v>
      </c>
      <c r="N1784" s="28">
        <f t="shared" si="117"/>
        <v>46738</v>
      </c>
      <c r="O1784" s="29">
        <f t="shared" si="118"/>
        <v>803</v>
      </c>
    </row>
    <row r="1785" spans="1:15" x14ac:dyDescent="0.45">
      <c r="A1785" s="1" t="s">
        <v>2146</v>
      </c>
      <c r="B1785" s="2">
        <v>45726.538888888892</v>
      </c>
      <c r="C1785" s="3">
        <v>275</v>
      </c>
      <c r="D1785" s="4">
        <v>39.29</v>
      </c>
      <c r="E1785" s="4">
        <v>39.299999999999997</v>
      </c>
      <c r="F1785" s="4">
        <v>39.85</v>
      </c>
      <c r="G1785" s="8">
        <v>-0.41</v>
      </c>
      <c r="H1785" s="9">
        <v>-1.03E-2</v>
      </c>
      <c r="I1785" s="4">
        <v>6</v>
      </c>
      <c r="J1785" s="4">
        <v>331</v>
      </c>
      <c r="K1785" s="5">
        <v>0.19500000000000001</v>
      </c>
      <c r="L1785" s="26" t="b">
        <f t="shared" si="119"/>
        <v>1</v>
      </c>
      <c r="M1785" s="26" t="str">
        <f t="shared" si="116"/>
        <v>put</v>
      </c>
      <c r="N1785" s="28">
        <f t="shared" si="117"/>
        <v>46738</v>
      </c>
      <c r="O1785" s="29">
        <f t="shared" si="118"/>
        <v>803</v>
      </c>
    </row>
    <row r="1786" spans="1:15" x14ac:dyDescent="0.45">
      <c r="A1786" s="1" t="s">
        <v>2147</v>
      </c>
      <c r="B1786" s="2">
        <v>45726.539583333331</v>
      </c>
      <c r="C1786" s="3">
        <v>280</v>
      </c>
      <c r="D1786" s="4">
        <v>42.05</v>
      </c>
      <c r="E1786" s="4">
        <v>42</v>
      </c>
      <c r="F1786" s="4">
        <v>42.5</v>
      </c>
      <c r="G1786" s="8">
        <v>-0.76</v>
      </c>
      <c r="H1786" s="9">
        <v>-1.78E-2</v>
      </c>
      <c r="I1786" s="4">
        <v>7</v>
      </c>
      <c r="J1786" s="4">
        <v>988</v>
      </c>
      <c r="K1786" s="5">
        <v>0.19089999999999999</v>
      </c>
      <c r="L1786" s="26" t="b">
        <f t="shared" si="119"/>
        <v>1</v>
      </c>
      <c r="M1786" s="26" t="str">
        <f t="shared" si="116"/>
        <v>put</v>
      </c>
      <c r="N1786" s="28">
        <f t="shared" si="117"/>
        <v>46738</v>
      </c>
      <c r="O1786" s="29">
        <f t="shared" si="118"/>
        <v>803</v>
      </c>
    </row>
    <row r="1787" spans="1:15" x14ac:dyDescent="0.45">
      <c r="A1787" s="1" t="s">
        <v>2148</v>
      </c>
      <c r="B1787" s="2">
        <v>45726.535416666666</v>
      </c>
      <c r="C1787" s="3">
        <v>285</v>
      </c>
      <c r="D1787" s="4">
        <v>44.67</v>
      </c>
      <c r="E1787" s="4">
        <v>43</v>
      </c>
      <c r="F1787" s="4">
        <v>45.35</v>
      </c>
      <c r="G1787" s="8">
        <v>-0.83</v>
      </c>
      <c r="H1787" s="9">
        <v>-1.8200000000000001E-2</v>
      </c>
      <c r="I1787" s="4">
        <v>24</v>
      </c>
      <c r="J1787" s="4">
        <v>274</v>
      </c>
      <c r="K1787" s="5">
        <v>0.18729999999999999</v>
      </c>
      <c r="L1787" s="26" t="b">
        <f t="shared" si="119"/>
        <v>1</v>
      </c>
      <c r="M1787" s="26" t="str">
        <f t="shared" si="116"/>
        <v>put</v>
      </c>
      <c r="N1787" s="28">
        <f t="shared" si="117"/>
        <v>46738</v>
      </c>
      <c r="O1787" s="29">
        <f t="shared" si="118"/>
        <v>803</v>
      </c>
    </row>
    <row r="1788" spans="1:15" x14ac:dyDescent="0.45">
      <c r="A1788" s="1" t="s">
        <v>2149</v>
      </c>
      <c r="B1788" s="2">
        <v>45726.553472222222</v>
      </c>
      <c r="C1788" s="3">
        <v>290</v>
      </c>
      <c r="D1788" s="4">
        <v>47.74</v>
      </c>
      <c r="E1788" s="4">
        <v>45.5</v>
      </c>
      <c r="F1788" s="4">
        <v>48.2</v>
      </c>
      <c r="G1788" s="8">
        <v>-0.53</v>
      </c>
      <c r="H1788" s="9">
        <v>-1.0999999999999999E-2</v>
      </c>
      <c r="I1788" s="4">
        <v>2</v>
      </c>
      <c r="J1788" s="4">
        <v>620</v>
      </c>
      <c r="K1788" s="5">
        <v>0.18290000000000001</v>
      </c>
      <c r="L1788" s="26" t="b">
        <f t="shared" si="119"/>
        <v>1</v>
      </c>
      <c r="M1788" s="26" t="str">
        <f t="shared" si="116"/>
        <v>put</v>
      </c>
      <c r="N1788" s="28">
        <f t="shared" si="117"/>
        <v>46738</v>
      </c>
      <c r="O1788" s="29">
        <f t="shared" si="118"/>
        <v>803</v>
      </c>
    </row>
    <row r="1789" spans="1:15" x14ac:dyDescent="0.45">
      <c r="A1789" s="1" t="s">
        <v>2150</v>
      </c>
      <c r="B1789" s="2">
        <v>45726.532638888886</v>
      </c>
      <c r="C1789" s="3">
        <v>295</v>
      </c>
      <c r="D1789" s="4">
        <v>50.76</v>
      </c>
      <c r="E1789" s="4">
        <v>50.75</v>
      </c>
      <c r="F1789" s="4">
        <v>51.3</v>
      </c>
      <c r="G1789" s="8">
        <v>-0.87</v>
      </c>
      <c r="H1789" s="9">
        <v>-1.6899999999999998E-2</v>
      </c>
      <c r="I1789" s="4">
        <v>2</v>
      </c>
      <c r="J1789" s="4">
        <v>276</v>
      </c>
      <c r="K1789" s="5">
        <v>0.1792</v>
      </c>
      <c r="L1789" s="26" t="b">
        <f t="shared" si="119"/>
        <v>1</v>
      </c>
      <c r="M1789" s="26" t="str">
        <f t="shared" ref="M1789:M1852" si="120">IF(MID(A1789,11,1)="C","call","put")</f>
        <v>put</v>
      </c>
      <c r="N1789" s="28">
        <f t="shared" ref="N1789:N1852" si="121">DATE(MID(A1789,5,2)+2000,MID(A1789,7,2),MID(A1789,9,2))</f>
        <v>46738</v>
      </c>
      <c r="O1789" s="29">
        <f t="shared" si="118"/>
        <v>803</v>
      </c>
    </row>
    <row r="1790" spans="1:15" x14ac:dyDescent="0.45">
      <c r="A1790" s="1" t="s">
        <v>2151</v>
      </c>
      <c r="B1790" s="2">
        <v>45698.536805555559</v>
      </c>
      <c r="C1790" s="3">
        <v>300</v>
      </c>
      <c r="D1790" s="4">
        <v>53.9</v>
      </c>
      <c r="E1790" s="4">
        <v>53.9</v>
      </c>
      <c r="F1790" s="4">
        <v>54.5</v>
      </c>
      <c r="G1790" s="8">
        <v>-0.73</v>
      </c>
      <c r="H1790" s="9">
        <v>-1.34E-2</v>
      </c>
      <c r="I1790" s="4">
        <v>1</v>
      </c>
      <c r="J1790" s="4">
        <v>263</v>
      </c>
      <c r="K1790" s="5">
        <v>0.17530000000000001</v>
      </c>
      <c r="L1790" s="26" t="b">
        <f t="shared" si="119"/>
        <v>1</v>
      </c>
      <c r="M1790" s="26" t="str">
        <f t="shared" si="120"/>
        <v>put</v>
      </c>
      <c r="N1790" s="28">
        <f t="shared" si="121"/>
        <v>46738</v>
      </c>
      <c r="O1790" s="29">
        <f t="shared" ref="O1790:O1853" si="122">N1790-DATE(2025,10,5)</f>
        <v>803</v>
      </c>
    </row>
    <row r="1791" spans="1:15" x14ac:dyDescent="0.45">
      <c r="A1791" s="1" t="s">
        <v>2152</v>
      </c>
      <c r="B1791" s="4" t="s">
        <v>2153</v>
      </c>
      <c r="C1791" s="3">
        <v>305</v>
      </c>
      <c r="D1791" s="4">
        <v>59.9</v>
      </c>
      <c r="E1791" s="4">
        <v>57.2</v>
      </c>
      <c r="F1791" s="4">
        <v>57.8</v>
      </c>
      <c r="G1791" s="8">
        <v>0</v>
      </c>
      <c r="H1791" s="9">
        <v>0</v>
      </c>
      <c r="I1791" s="4">
        <v>2</v>
      </c>
      <c r="J1791" s="4">
        <v>9</v>
      </c>
      <c r="K1791" s="5">
        <v>0.17119999999999999</v>
      </c>
      <c r="L1791" s="26" t="b">
        <f t="shared" si="119"/>
        <v>1</v>
      </c>
      <c r="M1791" s="26" t="str">
        <f t="shared" si="120"/>
        <v>put</v>
      </c>
      <c r="N1791" s="28">
        <f t="shared" si="121"/>
        <v>46738</v>
      </c>
      <c r="O1791" s="29">
        <f t="shared" si="122"/>
        <v>803</v>
      </c>
    </row>
    <row r="1792" spans="1:15" x14ac:dyDescent="0.45">
      <c r="A1792" s="1" t="s">
        <v>2154</v>
      </c>
      <c r="B1792" s="2">
        <v>45698.536805555559</v>
      </c>
      <c r="C1792" s="3">
        <v>310</v>
      </c>
      <c r="D1792" s="4">
        <v>61.45</v>
      </c>
      <c r="E1792" s="4">
        <v>60.6</v>
      </c>
      <c r="F1792" s="4">
        <v>61.25</v>
      </c>
      <c r="G1792" s="8">
        <v>0</v>
      </c>
      <c r="H1792" s="9">
        <v>0</v>
      </c>
      <c r="I1792" s="4">
        <v>22</v>
      </c>
      <c r="J1792" s="4">
        <v>203</v>
      </c>
      <c r="K1792" s="5">
        <v>0.16719999999999999</v>
      </c>
      <c r="L1792" s="26" t="b">
        <f t="shared" ref="L1792:L1855" si="123">IF(M1792="call",C1792&lt;$P$1,C1792&gt;$P$1)</f>
        <v>1</v>
      </c>
      <c r="M1792" s="26" t="str">
        <f t="shared" si="120"/>
        <v>put</v>
      </c>
      <c r="N1792" s="28">
        <f t="shared" si="121"/>
        <v>46738</v>
      </c>
      <c r="O1792" s="29">
        <f t="shared" si="122"/>
        <v>803</v>
      </c>
    </row>
    <row r="1793" spans="1:15" x14ac:dyDescent="0.45">
      <c r="A1793" s="1" t="s">
        <v>2155</v>
      </c>
      <c r="B1793" s="4" t="s">
        <v>2156</v>
      </c>
      <c r="C1793" s="3">
        <v>315</v>
      </c>
      <c r="D1793" s="4">
        <v>67.12</v>
      </c>
      <c r="E1793" s="4">
        <v>64.150000000000006</v>
      </c>
      <c r="F1793" s="4">
        <v>64.8</v>
      </c>
      <c r="G1793" s="4">
        <v>0</v>
      </c>
      <c r="H1793" s="5">
        <v>0</v>
      </c>
      <c r="I1793" s="4">
        <v>2</v>
      </c>
      <c r="J1793" s="4">
        <v>4</v>
      </c>
      <c r="K1793" s="5">
        <v>0.1628</v>
      </c>
      <c r="L1793" s="26" t="b">
        <f t="shared" si="123"/>
        <v>1</v>
      </c>
      <c r="M1793" s="26" t="str">
        <f t="shared" si="120"/>
        <v>put</v>
      </c>
      <c r="N1793" s="28">
        <f t="shared" si="121"/>
        <v>46738</v>
      </c>
      <c r="O1793" s="29">
        <f t="shared" si="122"/>
        <v>803</v>
      </c>
    </row>
    <row r="1794" spans="1:15" x14ac:dyDescent="0.45">
      <c r="A1794" s="1" t="s">
        <v>2157</v>
      </c>
      <c r="B1794" s="2">
        <v>45698.536805555559</v>
      </c>
      <c r="C1794" s="3">
        <v>320</v>
      </c>
      <c r="D1794" s="4">
        <v>68.739999999999995</v>
      </c>
      <c r="E1794" s="4">
        <v>67.849999999999994</v>
      </c>
      <c r="F1794" s="4">
        <v>68.5</v>
      </c>
      <c r="G1794" s="4">
        <v>0</v>
      </c>
      <c r="H1794" s="5">
        <v>0</v>
      </c>
      <c r="I1794" s="4">
        <v>54</v>
      </c>
      <c r="J1794" s="4">
        <v>158</v>
      </c>
      <c r="K1794" s="5">
        <v>0.1585</v>
      </c>
      <c r="L1794" s="26" t="b">
        <f t="shared" si="123"/>
        <v>1</v>
      </c>
      <c r="M1794" s="26" t="str">
        <f t="shared" si="120"/>
        <v>put</v>
      </c>
      <c r="N1794" s="28">
        <f t="shared" si="121"/>
        <v>46738</v>
      </c>
      <c r="O1794" s="29">
        <f t="shared" si="122"/>
        <v>803</v>
      </c>
    </row>
    <row r="1795" spans="1:15" x14ac:dyDescent="0.45">
      <c r="A1795" s="1" t="s">
        <v>2158</v>
      </c>
      <c r="B1795" s="4" t="s">
        <v>2159</v>
      </c>
      <c r="C1795" s="3">
        <v>325</v>
      </c>
      <c r="D1795" s="4">
        <v>113.36</v>
      </c>
      <c r="E1795" s="4">
        <v>122.65</v>
      </c>
      <c r="F1795" s="4">
        <v>127.3</v>
      </c>
      <c r="G1795" s="4">
        <v>0</v>
      </c>
      <c r="H1795" s="5">
        <v>0</v>
      </c>
      <c r="I1795" s="4">
        <v>2</v>
      </c>
      <c r="J1795" s="4">
        <v>0</v>
      </c>
      <c r="K1795" s="5">
        <v>0.52190000000000003</v>
      </c>
      <c r="L1795" s="26" t="b">
        <f t="shared" si="123"/>
        <v>1</v>
      </c>
      <c r="M1795" s="26" t="str">
        <f t="shared" si="120"/>
        <v>put</v>
      </c>
      <c r="N1795" s="28">
        <f t="shared" si="121"/>
        <v>46738</v>
      </c>
      <c r="O1795" s="29">
        <f t="shared" si="122"/>
        <v>803</v>
      </c>
    </row>
    <row r="1796" spans="1:15" x14ac:dyDescent="0.45">
      <c r="A1796" s="1" t="s">
        <v>2160</v>
      </c>
      <c r="B1796" s="2">
        <v>45698.536805555559</v>
      </c>
      <c r="C1796" s="3">
        <v>330</v>
      </c>
      <c r="D1796" s="4">
        <v>76.56</v>
      </c>
      <c r="E1796" s="4">
        <v>75.150000000000006</v>
      </c>
      <c r="F1796" s="4">
        <v>76.95</v>
      </c>
      <c r="G1796" s="4">
        <v>0</v>
      </c>
      <c r="H1796" s="5">
        <v>0</v>
      </c>
      <c r="I1796" s="4">
        <v>34</v>
      </c>
      <c r="J1796" s="4">
        <v>35</v>
      </c>
      <c r="K1796" s="5">
        <v>0.15670000000000001</v>
      </c>
      <c r="L1796" s="26" t="b">
        <f t="shared" si="123"/>
        <v>1</v>
      </c>
      <c r="M1796" s="26" t="str">
        <f t="shared" si="120"/>
        <v>put</v>
      </c>
      <c r="N1796" s="28">
        <f t="shared" si="121"/>
        <v>46738</v>
      </c>
      <c r="O1796" s="29">
        <f t="shared" si="122"/>
        <v>803</v>
      </c>
    </row>
    <row r="1797" spans="1:15" x14ac:dyDescent="0.45">
      <c r="A1797" s="1" t="s">
        <v>2161</v>
      </c>
      <c r="B1797" s="4" t="s">
        <v>2162</v>
      </c>
      <c r="C1797" s="3">
        <v>350</v>
      </c>
      <c r="D1797" s="4">
        <v>97</v>
      </c>
      <c r="E1797" s="4">
        <v>92.25</v>
      </c>
      <c r="F1797" s="4">
        <v>94.1</v>
      </c>
      <c r="G1797" s="4">
        <v>0</v>
      </c>
      <c r="H1797" s="5">
        <v>0</v>
      </c>
      <c r="I1797" s="4">
        <v>8</v>
      </c>
      <c r="J1797" s="4">
        <v>18</v>
      </c>
      <c r="K1797" s="5">
        <v>0.14369999999999999</v>
      </c>
      <c r="L1797" s="26" t="b">
        <f t="shared" si="123"/>
        <v>1</v>
      </c>
      <c r="M1797" s="26" t="str">
        <f t="shared" si="120"/>
        <v>put</v>
      </c>
      <c r="N1797" s="28">
        <f t="shared" si="121"/>
        <v>46738</v>
      </c>
      <c r="O1797" s="29">
        <f t="shared" si="122"/>
        <v>803</v>
      </c>
    </row>
    <row r="1798" spans="1:15" x14ac:dyDescent="0.45">
      <c r="A1798" s="1" t="s">
        <v>2163</v>
      </c>
      <c r="B1798" s="4" t="s">
        <v>2164</v>
      </c>
      <c r="C1798" s="3">
        <v>370</v>
      </c>
      <c r="D1798" s="4">
        <v>166.14</v>
      </c>
      <c r="E1798" s="4">
        <v>0</v>
      </c>
      <c r="F1798" s="4">
        <v>0</v>
      </c>
      <c r="G1798" s="4">
        <v>0</v>
      </c>
      <c r="H1798" s="5">
        <v>0</v>
      </c>
      <c r="I1798" s="4">
        <v>0</v>
      </c>
      <c r="J1798" s="4">
        <v>0</v>
      </c>
      <c r="K1798" s="5">
        <v>0</v>
      </c>
      <c r="L1798" s="26" t="b">
        <f t="shared" si="123"/>
        <v>1</v>
      </c>
      <c r="M1798" s="26" t="str">
        <f t="shared" si="120"/>
        <v>put</v>
      </c>
      <c r="N1798" s="28">
        <f t="shared" si="121"/>
        <v>46738</v>
      </c>
      <c r="O1798" s="29">
        <f t="shared" si="122"/>
        <v>803</v>
      </c>
    </row>
    <row r="1799" spans="1:15" x14ac:dyDescent="0.45">
      <c r="A1799" s="1" t="s">
        <v>2165</v>
      </c>
      <c r="B1799" s="4" t="s">
        <v>2166</v>
      </c>
      <c r="C1799" s="3">
        <v>380</v>
      </c>
      <c r="D1799" s="4">
        <v>144.12</v>
      </c>
      <c r="E1799" s="4">
        <v>119.9</v>
      </c>
      <c r="F1799" s="4">
        <v>123.85</v>
      </c>
      <c r="G1799" s="4">
        <v>0</v>
      </c>
      <c r="H1799" s="5">
        <v>0</v>
      </c>
      <c r="I1799" s="4">
        <v>175</v>
      </c>
      <c r="J1799" s="4">
        <v>0</v>
      </c>
      <c r="K1799" s="5">
        <v>0.1668</v>
      </c>
      <c r="L1799" s="26" t="b">
        <f t="shared" si="123"/>
        <v>1</v>
      </c>
      <c r="M1799" s="26" t="str">
        <f t="shared" si="120"/>
        <v>put</v>
      </c>
      <c r="N1799" s="28">
        <f t="shared" si="121"/>
        <v>46738</v>
      </c>
      <c r="O1799" s="29">
        <f t="shared" si="122"/>
        <v>803</v>
      </c>
    </row>
    <row r="1800" spans="1:15" x14ac:dyDescent="0.45">
      <c r="A1800" s="1" t="s">
        <v>2167</v>
      </c>
      <c r="B1800" s="4" t="s">
        <v>2168</v>
      </c>
      <c r="C1800" s="3">
        <v>400</v>
      </c>
      <c r="D1800" s="4">
        <v>147</v>
      </c>
      <c r="E1800" s="4">
        <v>139.94999999999999</v>
      </c>
      <c r="F1800" s="4">
        <v>144</v>
      </c>
      <c r="G1800" s="4">
        <v>0</v>
      </c>
      <c r="H1800" s="5">
        <v>0</v>
      </c>
      <c r="I1800" s="4">
        <v>3</v>
      </c>
      <c r="J1800" s="4">
        <v>0</v>
      </c>
      <c r="K1800" s="5">
        <v>0.186</v>
      </c>
      <c r="L1800" s="26" t="b">
        <f t="shared" si="123"/>
        <v>1</v>
      </c>
      <c r="M1800" s="26" t="str">
        <f t="shared" si="120"/>
        <v>put</v>
      </c>
      <c r="N1800" s="28">
        <f t="shared" si="121"/>
        <v>46738</v>
      </c>
      <c r="O1800" s="29">
        <f t="shared" si="122"/>
        <v>803</v>
      </c>
    </row>
    <row r="1801" spans="1:15" x14ac:dyDescent="0.45">
      <c r="A1801" s="1" t="s">
        <v>2169</v>
      </c>
      <c r="B1801" s="4" t="s">
        <v>2170</v>
      </c>
      <c r="C1801" s="3">
        <v>435</v>
      </c>
      <c r="D1801" s="4">
        <v>221.93</v>
      </c>
      <c r="E1801" s="4">
        <v>236</v>
      </c>
      <c r="F1801" s="4">
        <v>241</v>
      </c>
      <c r="G1801" s="4">
        <v>0</v>
      </c>
      <c r="H1801" s="5">
        <v>0</v>
      </c>
      <c r="I1801" s="4">
        <v>0</v>
      </c>
      <c r="J1801" s="4">
        <v>0</v>
      </c>
      <c r="K1801" s="5">
        <v>0.68410000000000004</v>
      </c>
      <c r="L1801" s="26" t="b">
        <f t="shared" si="123"/>
        <v>1</v>
      </c>
      <c r="M1801" s="26" t="str">
        <f t="shared" si="120"/>
        <v>put</v>
      </c>
      <c r="N1801" s="28">
        <f t="shared" si="121"/>
        <v>46738</v>
      </c>
      <c r="O1801" s="29">
        <f t="shared" si="122"/>
        <v>803</v>
      </c>
    </row>
    <row r="1802" spans="1:15" x14ac:dyDescent="0.45">
      <c r="A1802" s="1" t="s">
        <v>2171</v>
      </c>
      <c r="B1802" s="4" t="s">
        <v>2166</v>
      </c>
      <c r="C1802" s="3">
        <v>440</v>
      </c>
      <c r="D1802" s="4">
        <v>204.02</v>
      </c>
      <c r="E1802" s="4">
        <v>179.5</v>
      </c>
      <c r="F1802" s="4">
        <v>184.45</v>
      </c>
      <c r="G1802" s="4">
        <v>0</v>
      </c>
      <c r="H1802" s="5">
        <v>0</v>
      </c>
      <c r="I1802" s="4">
        <v>160</v>
      </c>
      <c r="J1802" s="4">
        <v>0</v>
      </c>
      <c r="K1802" s="5">
        <v>0.2243</v>
      </c>
      <c r="L1802" s="26" t="b">
        <f t="shared" si="123"/>
        <v>1</v>
      </c>
      <c r="M1802" s="26" t="str">
        <f t="shared" si="120"/>
        <v>put</v>
      </c>
      <c r="N1802" s="28">
        <f t="shared" si="121"/>
        <v>46738</v>
      </c>
      <c r="O1802" s="29">
        <f t="shared" si="122"/>
        <v>803</v>
      </c>
    </row>
    <row r="1803" spans="1:15" x14ac:dyDescent="0.45">
      <c r="A1803" s="1" t="s">
        <v>2172</v>
      </c>
      <c r="B1803" s="2">
        <v>45667.434027777781</v>
      </c>
      <c r="C1803" s="3">
        <v>50</v>
      </c>
      <c r="D1803" s="4">
        <v>210.5</v>
      </c>
      <c r="E1803" s="4">
        <v>209</v>
      </c>
      <c r="F1803" s="4">
        <v>214</v>
      </c>
      <c r="G1803" s="4">
        <v>0</v>
      </c>
      <c r="H1803" s="5">
        <v>0</v>
      </c>
      <c r="I1803" s="4">
        <v>7</v>
      </c>
      <c r="J1803" s="4">
        <v>9</v>
      </c>
      <c r="K1803" s="5">
        <v>0.7319</v>
      </c>
      <c r="L1803" s="26" t="b">
        <f t="shared" si="123"/>
        <v>1</v>
      </c>
      <c r="M1803" s="26" t="str">
        <f t="shared" si="120"/>
        <v>call</v>
      </c>
      <c r="N1803" s="28">
        <f t="shared" si="121"/>
        <v>46773</v>
      </c>
      <c r="O1803" s="29">
        <f t="shared" si="122"/>
        <v>838</v>
      </c>
    </row>
    <row r="1804" spans="1:15" x14ac:dyDescent="0.45">
      <c r="A1804" s="1" t="s">
        <v>2173</v>
      </c>
      <c r="B1804" s="2">
        <v>45726.57916666667</v>
      </c>
      <c r="C1804" s="3">
        <v>80</v>
      </c>
      <c r="D1804" s="4">
        <v>186</v>
      </c>
      <c r="E1804" s="4">
        <v>182</v>
      </c>
      <c r="F1804" s="4">
        <v>187</v>
      </c>
      <c r="G1804" s="4">
        <v>4.8499999999999996</v>
      </c>
      <c r="H1804" s="5">
        <v>2.6800000000000001E-2</v>
      </c>
      <c r="I1804" s="4">
        <v>5</v>
      </c>
      <c r="J1804" s="4">
        <v>101</v>
      </c>
      <c r="K1804" s="5">
        <v>0.622</v>
      </c>
      <c r="L1804" s="26" t="b">
        <f t="shared" si="123"/>
        <v>1</v>
      </c>
      <c r="M1804" s="26" t="str">
        <f t="shared" si="120"/>
        <v>call</v>
      </c>
      <c r="N1804" s="28">
        <f t="shared" si="121"/>
        <v>46773</v>
      </c>
      <c r="O1804" s="29">
        <f t="shared" si="122"/>
        <v>838</v>
      </c>
    </row>
    <row r="1805" spans="1:15" x14ac:dyDescent="0.45">
      <c r="A1805" s="1" t="s">
        <v>2174</v>
      </c>
      <c r="B1805" s="4" t="s">
        <v>2023</v>
      </c>
      <c r="C1805" s="3">
        <v>110</v>
      </c>
      <c r="D1805" s="4">
        <v>151.34</v>
      </c>
      <c r="E1805" s="4">
        <v>155.69999999999999</v>
      </c>
      <c r="F1805" s="4">
        <v>159.55000000000001</v>
      </c>
      <c r="G1805" s="4">
        <v>0</v>
      </c>
      <c r="H1805" s="5">
        <v>0</v>
      </c>
      <c r="I1805" s="4">
        <v>0</v>
      </c>
      <c r="J1805" s="4">
        <v>2</v>
      </c>
      <c r="K1805" s="5">
        <v>0.53129999999999999</v>
      </c>
      <c r="L1805" s="26" t="b">
        <f t="shared" si="123"/>
        <v>1</v>
      </c>
      <c r="M1805" s="26" t="str">
        <f t="shared" si="120"/>
        <v>call</v>
      </c>
      <c r="N1805" s="28">
        <f t="shared" si="121"/>
        <v>46773</v>
      </c>
      <c r="O1805" s="29">
        <f t="shared" si="122"/>
        <v>838</v>
      </c>
    </row>
    <row r="1806" spans="1:15" x14ac:dyDescent="0.45">
      <c r="A1806" s="1" t="s">
        <v>2175</v>
      </c>
      <c r="B1806" s="4" t="s">
        <v>2176</v>
      </c>
      <c r="C1806" s="3">
        <v>120</v>
      </c>
      <c r="D1806" s="4">
        <v>148.5</v>
      </c>
      <c r="E1806" s="4">
        <v>147.05000000000001</v>
      </c>
      <c r="F1806" s="4">
        <v>151.5</v>
      </c>
      <c r="G1806" s="6">
        <v>0.83</v>
      </c>
      <c r="H1806" s="7">
        <v>5.5999999999999999E-3</v>
      </c>
      <c r="I1806" s="4">
        <v>1</v>
      </c>
      <c r="J1806" s="4">
        <v>38</v>
      </c>
      <c r="K1806" s="5">
        <v>0.51359999999999995</v>
      </c>
      <c r="L1806" s="26" t="b">
        <f t="shared" si="123"/>
        <v>1</v>
      </c>
      <c r="M1806" s="26" t="str">
        <f t="shared" si="120"/>
        <v>call</v>
      </c>
      <c r="N1806" s="28">
        <f t="shared" si="121"/>
        <v>46773</v>
      </c>
      <c r="O1806" s="29">
        <f t="shared" si="122"/>
        <v>838</v>
      </c>
    </row>
    <row r="1807" spans="1:15" x14ac:dyDescent="0.45">
      <c r="A1807" s="1" t="s">
        <v>2177</v>
      </c>
      <c r="B1807" s="4" t="s">
        <v>1885</v>
      </c>
      <c r="C1807" s="3">
        <v>135</v>
      </c>
      <c r="D1807" s="4">
        <v>134.52000000000001</v>
      </c>
      <c r="E1807" s="4">
        <v>134.05000000000001</v>
      </c>
      <c r="F1807" s="4">
        <v>138.94999999999999</v>
      </c>
      <c r="G1807" s="4">
        <v>0</v>
      </c>
      <c r="H1807" s="5">
        <v>0</v>
      </c>
      <c r="I1807" s="4">
        <v>1</v>
      </c>
      <c r="J1807" s="4">
        <v>4</v>
      </c>
      <c r="K1807" s="5">
        <v>0.51529999999999998</v>
      </c>
      <c r="L1807" s="26" t="b">
        <f t="shared" si="123"/>
        <v>1</v>
      </c>
      <c r="M1807" s="26" t="str">
        <f t="shared" si="120"/>
        <v>call</v>
      </c>
      <c r="N1807" s="28">
        <f t="shared" si="121"/>
        <v>46773</v>
      </c>
      <c r="O1807" s="29">
        <f t="shared" si="122"/>
        <v>838</v>
      </c>
    </row>
    <row r="1808" spans="1:15" x14ac:dyDescent="0.45">
      <c r="A1808" s="1" t="s">
        <v>2178</v>
      </c>
      <c r="B1808" s="2">
        <v>45667.465277777781</v>
      </c>
      <c r="C1808" s="3">
        <v>150</v>
      </c>
      <c r="D1808" s="4">
        <v>121.32</v>
      </c>
      <c r="E1808" s="4">
        <v>122.05</v>
      </c>
      <c r="F1808" s="4">
        <v>125.65</v>
      </c>
      <c r="G1808" s="4">
        <v>0</v>
      </c>
      <c r="H1808" s="5">
        <v>0</v>
      </c>
      <c r="I1808" s="4">
        <v>1</v>
      </c>
      <c r="J1808" s="4">
        <v>8</v>
      </c>
      <c r="K1808" s="5">
        <v>0.47270000000000001</v>
      </c>
      <c r="L1808" s="26" t="b">
        <f t="shared" si="123"/>
        <v>1</v>
      </c>
      <c r="M1808" s="26" t="str">
        <f t="shared" si="120"/>
        <v>call</v>
      </c>
      <c r="N1808" s="28">
        <f t="shared" si="121"/>
        <v>46773</v>
      </c>
      <c r="O1808" s="29">
        <f t="shared" si="122"/>
        <v>838</v>
      </c>
    </row>
    <row r="1809" spans="1:15" x14ac:dyDescent="0.45">
      <c r="A1809" s="1" t="s">
        <v>2179</v>
      </c>
      <c r="B1809" s="4" t="s">
        <v>2180</v>
      </c>
      <c r="C1809" s="3">
        <v>155</v>
      </c>
      <c r="D1809" s="4">
        <v>114.07</v>
      </c>
      <c r="E1809" s="4">
        <v>118.05</v>
      </c>
      <c r="F1809" s="4">
        <v>121</v>
      </c>
      <c r="G1809" s="6">
        <v>0</v>
      </c>
      <c r="H1809" s="7">
        <v>0</v>
      </c>
      <c r="I1809" s="4">
        <v>0</v>
      </c>
      <c r="J1809" s="4">
        <v>1</v>
      </c>
      <c r="K1809" s="5">
        <v>0.45639999999999997</v>
      </c>
      <c r="L1809" s="26" t="b">
        <f t="shared" si="123"/>
        <v>1</v>
      </c>
      <c r="M1809" s="26" t="str">
        <f t="shared" si="120"/>
        <v>call</v>
      </c>
      <c r="N1809" s="28">
        <f t="shared" si="121"/>
        <v>46773</v>
      </c>
      <c r="O1809" s="29">
        <f t="shared" si="122"/>
        <v>838</v>
      </c>
    </row>
    <row r="1810" spans="1:15" x14ac:dyDescent="0.45">
      <c r="A1810" s="1" t="s">
        <v>2181</v>
      </c>
      <c r="B1810" s="2">
        <v>45667.632638888892</v>
      </c>
      <c r="C1810" s="3">
        <v>160</v>
      </c>
      <c r="D1810" s="4">
        <v>114.6</v>
      </c>
      <c r="E1810" s="4">
        <v>114.05</v>
      </c>
      <c r="F1810" s="4">
        <v>116.4</v>
      </c>
      <c r="G1810" s="4">
        <v>0</v>
      </c>
      <c r="H1810" s="5">
        <v>0</v>
      </c>
      <c r="I1810" s="4">
        <v>8</v>
      </c>
      <c r="J1810" s="4">
        <v>9</v>
      </c>
      <c r="K1810" s="5">
        <v>0.44119999999999998</v>
      </c>
      <c r="L1810" s="26" t="b">
        <f t="shared" si="123"/>
        <v>1</v>
      </c>
      <c r="M1810" s="26" t="str">
        <f t="shared" si="120"/>
        <v>call</v>
      </c>
      <c r="N1810" s="28">
        <f t="shared" si="121"/>
        <v>46773</v>
      </c>
      <c r="O1810" s="29">
        <f t="shared" si="122"/>
        <v>838</v>
      </c>
    </row>
    <row r="1811" spans="1:15" x14ac:dyDescent="0.45">
      <c r="A1811" s="1" t="s">
        <v>2182</v>
      </c>
      <c r="B1811" s="2">
        <v>45667.416666666664</v>
      </c>
      <c r="C1811" s="3">
        <v>170</v>
      </c>
      <c r="D1811" s="4">
        <v>107.66</v>
      </c>
      <c r="E1811" s="4">
        <v>106.45</v>
      </c>
      <c r="F1811" s="4">
        <v>109</v>
      </c>
      <c r="G1811" s="6">
        <v>1.06</v>
      </c>
      <c r="H1811" s="7">
        <v>9.9000000000000008E-3</v>
      </c>
      <c r="I1811" s="4">
        <v>10</v>
      </c>
      <c r="J1811" s="4">
        <v>49</v>
      </c>
      <c r="K1811" s="5">
        <v>0.43009999999999998</v>
      </c>
      <c r="L1811" s="26" t="b">
        <f t="shared" si="123"/>
        <v>1</v>
      </c>
      <c r="M1811" s="26" t="str">
        <f t="shared" si="120"/>
        <v>call</v>
      </c>
      <c r="N1811" s="28">
        <f t="shared" si="121"/>
        <v>46773</v>
      </c>
      <c r="O1811" s="29">
        <f t="shared" si="122"/>
        <v>838</v>
      </c>
    </row>
    <row r="1812" spans="1:15" x14ac:dyDescent="0.45">
      <c r="A1812" s="1" t="s">
        <v>2183</v>
      </c>
      <c r="B1812" s="2">
        <v>45698.538194444445</v>
      </c>
      <c r="C1812" s="3">
        <v>175</v>
      </c>
      <c r="D1812" s="4">
        <v>103.25</v>
      </c>
      <c r="E1812" s="4">
        <v>102.45</v>
      </c>
      <c r="F1812" s="4">
        <v>104.65</v>
      </c>
      <c r="G1812" s="6">
        <v>0</v>
      </c>
      <c r="H1812" s="7">
        <v>0</v>
      </c>
      <c r="I1812" s="4">
        <v>16</v>
      </c>
      <c r="J1812" s="4">
        <v>26</v>
      </c>
      <c r="K1812" s="5">
        <v>0.41749999999999998</v>
      </c>
      <c r="L1812" s="26" t="b">
        <f t="shared" si="123"/>
        <v>1</v>
      </c>
      <c r="M1812" s="26" t="str">
        <f t="shared" si="120"/>
        <v>call</v>
      </c>
      <c r="N1812" s="28">
        <f t="shared" si="121"/>
        <v>46773</v>
      </c>
      <c r="O1812" s="29">
        <f t="shared" si="122"/>
        <v>838</v>
      </c>
    </row>
    <row r="1813" spans="1:15" x14ac:dyDescent="0.45">
      <c r="A1813" s="1" t="s">
        <v>2184</v>
      </c>
      <c r="B1813" s="2">
        <v>45667.476388888892</v>
      </c>
      <c r="C1813" s="3">
        <v>180</v>
      </c>
      <c r="D1813" s="4">
        <v>98.2</v>
      </c>
      <c r="E1813" s="4">
        <v>98.5</v>
      </c>
      <c r="F1813" s="4">
        <v>100.75</v>
      </c>
      <c r="G1813" s="6">
        <v>0</v>
      </c>
      <c r="H1813" s="7">
        <v>0</v>
      </c>
      <c r="I1813" s="4">
        <v>2</v>
      </c>
      <c r="J1813" s="4">
        <v>104</v>
      </c>
      <c r="K1813" s="5">
        <v>0.4093</v>
      </c>
      <c r="L1813" s="26" t="b">
        <f t="shared" si="123"/>
        <v>1</v>
      </c>
      <c r="M1813" s="26" t="str">
        <f t="shared" si="120"/>
        <v>call</v>
      </c>
      <c r="N1813" s="28">
        <f t="shared" si="121"/>
        <v>46773</v>
      </c>
      <c r="O1813" s="29">
        <f t="shared" si="122"/>
        <v>838</v>
      </c>
    </row>
    <row r="1814" spans="1:15" x14ac:dyDescent="0.45">
      <c r="A1814" s="1" t="s">
        <v>2185</v>
      </c>
      <c r="B1814" s="4" t="s">
        <v>2186</v>
      </c>
      <c r="C1814" s="3">
        <v>185</v>
      </c>
      <c r="D1814" s="4">
        <v>91.14</v>
      </c>
      <c r="E1814" s="4">
        <v>94.6</v>
      </c>
      <c r="F1814" s="4">
        <v>97.1</v>
      </c>
      <c r="G1814" s="6">
        <v>0</v>
      </c>
      <c r="H1814" s="7">
        <v>0</v>
      </c>
      <c r="I1814" s="4">
        <v>2</v>
      </c>
      <c r="J1814" s="4">
        <v>46</v>
      </c>
      <c r="K1814" s="5">
        <v>0.40329999999999999</v>
      </c>
      <c r="L1814" s="26" t="b">
        <f t="shared" si="123"/>
        <v>1</v>
      </c>
      <c r="M1814" s="26" t="str">
        <f t="shared" si="120"/>
        <v>call</v>
      </c>
      <c r="N1814" s="28">
        <f t="shared" si="121"/>
        <v>46773</v>
      </c>
      <c r="O1814" s="29">
        <f t="shared" si="122"/>
        <v>838</v>
      </c>
    </row>
    <row r="1815" spans="1:15" x14ac:dyDescent="0.45">
      <c r="A1815" s="1" t="s">
        <v>2187</v>
      </c>
      <c r="B1815" s="2">
        <v>45726.661805555559</v>
      </c>
      <c r="C1815" s="3">
        <v>190</v>
      </c>
      <c r="D1815" s="4">
        <v>92.33</v>
      </c>
      <c r="E1815" s="4">
        <v>91.75</v>
      </c>
      <c r="F1815" s="4">
        <v>93.15</v>
      </c>
      <c r="G1815" s="6">
        <v>1</v>
      </c>
      <c r="H1815" s="7">
        <v>1.09E-2</v>
      </c>
      <c r="I1815" s="4">
        <v>1</v>
      </c>
      <c r="J1815" s="4">
        <v>98</v>
      </c>
      <c r="K1815" s="5">
        <v>0.39419999999999999</v>
      </c>
      <c r="L1815" s="26" t="b">
        <f t="shared" si="123"/>
        <v>1</v>
      </c>
      <c r="M1815" s="26" t="str">
        <f t="shared" si="120"/>
        <v>call</v>
      </c>
      <c r="N1815" s="28">
        <f t="shared" si="121"/>
        <v>46773</v>
      </c>
      <c r="O1815" s="29">
        <f t="shared" si="122"/>
        <v>838</v>
      </c>
    </row>
    <row r="1816" spans="1:15" x14ac:dyDescent="0.45">
      <c r="A1816" s="1" t="s">
        <v>2188</v>
      </c>
      <c r="B1816" s="2">
        <v>45698.513194444444</v>
      </c>
      <c r="C1816" s="3">
        <v>195</v>
      </c>
      <c r="D1816" s="4">
        <v>88.45</v>
      </c>
      <c r="E1816" s="4">
        <v>88.2</v>
      </c>
      <c r="F1816" s="4">
        <v>89.5</v>
      </c>
      <c r="G1816" s="6">
        <v>-0.55000000000000004</v>
      </c>
      <c r="H1816" s="7">
        <v>-6.1999999999999998E-3</v>
      </c>
      <c r="I1816" s="4">
        <v>2</v>
      </c>
      <c r="J1816" s="4">
        <v>18</v>
      </c>
      <c r="K1816" s="5">
        <v>0.38750000000000001</v>
      </c>
      <c r="L1816" s="26" t="b">
        <f t="shared" si="123"/>
        <v>1</v>
      </c>
      <c r="M1816" s="26" t="str">
        <f t="shared" si="120"/>
        <v>call</v>
      </c>
      <c r="N1816" s="28">
        <f t="shared" si="121"/>
        <v>46773</v>
      </c>
      <c r="O1816" s="29">
        <f t="shared" si="122"/>
        <v>838</v>
      </c>
    </row>
    <row r="1817" spans="1:15" x14ac:dyDescent="0.45">
      <c r="A1817" s="1" t="s">
        <v>2189</v>
      </c>
      <c r="B1817" s="2">
        <v>45726.536805555559</v>
      </c>
      <c r="C1817" s="3">
        <v>200</v>
      </c>
      <c r="D1817" s="4">
        <v>86.08</v>
      </c>
      <c r="E1817" s="4">
        <v>84.25</v>
      </c>
      <c r="F1817" s="4">
        <v>85.85</v>
      </c>
      <c r="G1817" s="6">
        <v>0.73</v>
      </c>
      <c r="H1817" s="7">
        <v>8.6E-3</v>
      </c>
      <c r="I1817" s="4">
        <v>14</v>
      </c>
      <c r="J1817" s="4">
        <v>283</v>
      </c>
      <c r="K1817" s="5">
        <v>0.38059999999999999</v>
      </c>
      <c r="L1817" s="26" t="b">
        <f t="shared" si="123"/>
        <v>1</v>
      </c>
      <c r="M1817" s="26" t="str">
        <f t="shared" si="120"/>
        <v>call</v>
      </c>
      <c r="N1817" s="28">
        <f t="shared" si="121"/>
        <v>46773</v>
      </c>
      <c r="O1817" s="29">
        <f t="shared" si="122"/>
        <v>838</v>
      </c>
    </row>
    <row r="1818" spans="1:15" x14ac:dyDescent="0.45">
      <c r="A1818" s="1" t="s">
        <v>2190</v>
      </c>
      <c r="B1818" s="2">
        <v>45726.625</v>
      </c>
      <c r="C1818" s="3">
        <v>210</v>
      </c>
      <c r="D1818" s="4">
        <v>78.87</v>
      </c>
      <c r="E1818" s="4">
        <v>77.150000000000006</v>
      </c>
      <c r="F1818" s="4">
        <v>79</v>
      </c>
      <c r="G1818" s="6">
        <v>0.27</v>
      </c>
      <c r="H1818" s="7">
        <v>3.3999999999999998E-3</v>
      </c>
      <c r="I1818" s="4">
        <v>4</v>
      </c>
      <c r="J1818" s="4">
        <v>28</v>
      </c>
      <c r="K1818" s="5">
        <v>0.3695</v>
      </c>
      <c r="L1818" s="26" t="b">
        <f t="shared" si="123"/>
        <v>1</v>
      </c>
      <c r="M1818" s="26" t="str">
        <f t="shared" si="120"/>
        <v>call</v>
      </c>
      <c r="N1818" s="28">
        <f t="shared" si="121"/>
        <v>46773</v>
      </c>
      <c r="O1818" s="29">
        <f t="shared" si="122"/>
        <v>838</v>
      </c>
    </row>
    <row r="1819" spans="1:15" x14ac:dyDescent="0.45">
      <c r="A1819" s="1" t="s">
        <v>2191</v>
      </c>
      <c r="B1819" s="2">
        <v>45726.617361111108</v>
      </c>
      <c r="C1819" s="3">
        <v>220</v>
      </c>
      <c r="D1819" s="4">
        <v>72.17</v>
      </c>
      <c r="E1819" s="4">
        <v>70.650000000000006</v>
      </c>
      <c r="F1819" s="4">
        <v>73</v>
      </c>
      <c r="G1819" s="6">
        <v>0.45</v>
      </c>
      <c r="H1819" s="7">
        <v>6.3E-3</v>
      </c>
      <c r="I1819" s="4">
        <v>10</v>
      </c>
      <c r="J1819" s="4">
        <v>408</v>
      </c>
      <c r="K1819" s="5">
        <v>0.36330000000000001</v>
      </c>
      <c r="L1819" s="26" t="b">
        <f t="shared" si="123"/>
        <v>1</v>
      </c>
      <c r="M1819" s="26" t="str">
        <f t="shared" si="120"/>
        <v>call</v>
      </c>
      <c r="N1819" s="28">
        <f t="shared" si="121"/>
        <v>46773</v>
      </c>
      <c r="O1819" s="29">
        <f t="shared" si="122"/>
        <v>838</v>
      </c>
    </row>
    <row r="1820" spans="1:15" x14ac:dyDescent="0.45">
      <c r="A1820" s="1" t="s">
        <v>2192</v>
      </c>
      <c r="B1820" s="2">
        <v>45726.504861111112</v>
      </c>
      <c r="C1820" s="3">
        <v>230</v>
      </c>
      <c r="D1820" s="4">
        <v>65.97</v>
      </c>
      <c r="E1820" s="4">
        <v>65</v>
      </c>
      <c r="F1820" s="4">
        <v>65.95</v>
      </c>
      <c r="G1820" s="8">
        <v>1.43</v>
      </c>
      <c r="H1820" s="9">
        <v>2.2200000000000001E-2</v>
      </c>
      <c r="I1820" s="4">
        <v>28</v>
      </c>
      <c r="J1820" s="4">
        <v>151</v>
      </c>
      <c r="K1820" s="5">
        <v>0.3478</v>
      </c>
      <c r="L1820" s="26" t="b">
        <f t="shared" si="123"/>
        <v>1</v>
      </c>
      <c r="M1820" s="26" t="str">
        <f t="shared" si="120"/>
        <v>call</v>
      </c>
      <c r="N1820" s="28">
        <f t="shared" si="121"/>
        <v>46773</v>
      </c>
      <c r="O1820" s="29">
        <f t="shared" si="122"/>
        <v>838</v>
      </c>
    </row>
    <row r="1821" spans="1:15" x14ac:dyDescent="0.45">
      <c r="A1821" s="1" t="s">
        <v>2193</v>
      </c>
      <c r="B1821" s="2">
        <v>45726.536111111112</v>
      </c>
      <c r="C1821" s="3">
        <v>240</v>
      </c>
      <c r="D1821" s="4">
        <v>60.08</v>
      </c>
      <c r="E1821" s="4">
        <v>58.5</v>
      </c>
      <c r="F1821" s="4">
        <v>59.9</v>
      </c>
      <c r="G1821" s="6">
        <v>1.68</v>
      </c>
      <c r="H1821" s="7">
        <v>2.8799999999999999E-2</v>
      </c>
      <c r="I1821" s="4">
        <v>15</v>
      </c>
      <c r="J1821" s="4">
        <v>264</v>
      </c>
      <c r="K1821" s="5">
        <v>0.33810000000000001</v>
      </c>
      <c r="L1821" s="26" t="b">
        <f t="shared" si="123"/>
        <v>1</v>
      </c>
      <c r="M1821" s="26" t="str">
        <f t="shared" si="120"/>
        <v>call</v>
      </c>
      <c r="N1821" s="28">
        <f t="shared" si="121"/>
        <v>46773</v>
      </c>
      <c r="O1821" s="29">
        <f t="shared" si="122"/>
        <v>838</v>
      </c>
    </row>
    <row r="1822" spans="1:15" x14ac:dyDescent="0.45">
      <c r="A1822" s="1" t="s">
        <v>2194</v>
      </c>
      <c r="B1822" s="2">
        <v>45726.660416666666</v>
      </c>
      <c r="C1822" s="3">
        <v>250</v>
      </c>
      <c r="D1822" s="4">
        <v>53.6</v>
      </c>
      <c r="E1822" s="4">
        <v>53.45</v>
      </c>
      <c r="F1822" s="4">
        <v>54.05</v>
      </c>
      <c r="G1822" s="6">
        <v>0.17</v>
      </c>
      <c r="H1822" s="7">
        <v>3.2000000000000002E-3</v>
      </c>
      <c r="I1822" s="4">
        <v>38</v>
      </c>
      <c r="J1822" s="4">
        <v>501</v>
      </c>
      <c r="K1822" s="5">
        <v>0.32829999999999998</v>
      </c>
      <c r="L1822" s="26" t="b">
        <f t="shared" si="123"/>
        <v>1</v>
      </c>
      <c r="M1822" s="26" t="str">
        <f t="shared" si="120"/>
        <v>call</v>
      </c>
      <c r="N1822" s="28">
        <f t="shared" si="121"/>
        <v>46773</v>
      </c>
      <c r="O1822" s="29">
        <f t="shared" si="122"/>
        <v>838</v>
      </c>
    </row>
    <row r="1823" spans="1:15" x14ac:dyDescent="0.45">
      <c r="A1823" s="11" t="s">
        <v>2195</v>
      </c>
      <c r="B1823" s="12">
        <v>45726.631944444445</v>
      </c>
      <c r="C1823" s="13">
        <v>260</v>
      </c>
      <c r="D1823" s="14">
        <v>48.28</v>
      </c>
      <c r="E1823" s="14">
        <v>47.85</v>
      </c>
      <c r="F1823" s="14">
        <v>48.95</v>
      </c>
      <c r="G1823" s="15">
        <v>-0.12</v>
      </c>
      <c r="H1823" s="16">
        <v>-2.5000000000000001E-3</v>
      </c>
      <c r="I1823" s="14">
        <v>28</v>
      </c>
      <c r="J1823" s="14">
        <v>550</v>
      </c>
      <c r="K1823" s="18">
        <v>0.32179999999999997</v>
      </c>
      <c r="L1823" s="26" t="b">
        <f t="shared" si="123"/>
        <v>0</v>
      </c>
      <c r="M1823" s="26" t="str">
        <f t="shared" si="120"/>
        <v>call</v>
      </c>
      <c r="N1823" s="28">
        <f t="shared" si="121"/>
        <v>46773</v>
      </c>
      <c r="O1823" s="29">
        <f t="shared" si="122"/>
        <v>838</v>
      </c>
    </row>
    <row r="1824" spans="1:15" x14ac:dyDescent="0.45">
      <c r="A1824" s="11" t="s">
        <v>2196</v>
      </c>
      <c r="B1824" s="12">
        <v>45726.662499999999</v>
      </c>
      <c r="C1824" s="13">
        <v>270</v>
      </c>
      <c r="D1824" s="14">
        <v>43.25</v>
      </c>
      <c r="E1824" s="14">
        <v>42.85</v>
      </c>
      <c r="F1824" s="14">
        <v>44.15</v>
      </c>
      <c r="G1824" s="15">
        <v>0.05</v>
      </c>
      <c r="H1824" s="16">
        <v>1.1999999999999999E-3</v>
      </c>
      <c r="I1824" s="14">
        <v>89</v>
      </c>
      <c r="J1824" s="14">
        <v>600</v>
      </c>
      <c r="K1824" s="18">
        <v>0.3155</v>
      </c>
      <c r="L1824" s="26" t="b">
        <f t="shared" si="123"/>
        <v>0</v>
      </c>
      <c r="M1824" s="26" t="str">
        <f t="shared" si="120"/>
        <v>call</v>
      </c>
      <c r="N1824" s="28">
        <f t="shared" si="121"/>
        <v>46773</v>
      </c>
      <c r="O1824" s="29">
        <f t="shared" si="122"/>
        <v>838</v>
      </c>
    </row>
    <row r="1825" spans="1:15" x14ac:dyDescent="0.45">
      <c r="A1825" s="11" t="s">
        <v>2197</v>
      </c>
      <c r="B1825" s="12">
        <v>45726.527777777781</v>
      </c>
      <c r="C1825" s="13">
        <v>280</v>
      </c>
      <c r="D1825" s="14">
        <v>39.19</v>
      </c>
      <c r="E1825" s="14">
        <v>38.6</v>
      </c>
      <c r="F1825" s="14">
        <v>39.15</v>
      </c>
      <c r="G1825" s="15">
        <v>1.0900000000000001</v>
      </c>
      <c r="H1825" s="16">
        <v>2.86E-2</v>
      </c>
      <c r="I1825" s="14">
        <v>16</v>
      </c>
      <c r="J1825" s="14">
        <v>501</v>
      </c>
      <c r="K1825" s="18">
        <v>0.30609999999999998</v>
      </c>
      <c r="L1825" s="26" t="b">
        <f t="shared" si="123"/>
        <v>0</v>
      </c>
      <c r="M1825" s="26" t="str">
        <f t="shared" si="120"/>
        <v>call</v>
      </c>
      <c r="N1825" s="28">
        <f t="shared" si="121"/>
        <v>46773</v>
      </c>
      <c r="O1825" s="29">
        <f t="shared" si="122"/>
        <v>838</v>
      </c>
    </row>
    <row r="1826" spans="1:15" x14ac:dyDescent="0.45">
      <c r="A1826" s="11" t="s">
        <v>2198</v>
      </c>
      <c r="B1826" s="12">
        <v>45726.578472222223</v>
      </c>
      <c r="C1826" s="13">
        <v>290</v>
      </c>
      <c r="D1826" s="14">
        <v>34.450000000000003</v>
      </c>
      <c r="E1826" s="14">
        <v>34.4</v>
      </c>
      <c r="F1826" s="14">
        <v>34.9</v>
      </c>
      <c r="G1826" s="19">
        <v>-0.34</v>
      </c>
      <c r="H1826" s="20">
        <v>-9.7999999999999997E-3</v>
      </c>
      <c r="I1826" s="14">
        <v>85</v>
      </c>
      <c r="J1826" s="14">
        <v>712</v>
      </c>
      <c r="K1826" s="18">
        <v>0.2999</v>
      </c>
      <c r="L1826" s="26" t="b">
        <f t="shared" si="123"/>
        <v>0</v>
      </c>
      <c r="M1826" s="26" t="str">
        <f t="shared" si="120"/>
        <v>call</v>
      </c>
      <c r="N1826" s="28">
        <f t="shared" si="121"/>
        <v>46773</v>
      </c>
      <c r="O1826" s="29">
        <f t="shared" si="122"/>
        <v>838</v>
      </c>
    </row>
    <row r="1827" spans="1:15" x14ac:dyDescent="0.45">
      <c r="A1827" s="11" t="s">
        <v>2199</v>
      </c>
      <c r="B1827" s="12">
        <v>45726.65902777778</v>
      </c>
      <c r="C1827" s="13">
        <v>300</v>
      </c>
      <c r="D1827" s="14">
        <v>30.97</v>
      </c>
      <c r="E1827" s="14">
        <v>30.6</v>
      </c>
      <c r="F1827" s="14">
        <v>31.05</v>
      </c>
      <c r="G1827" s="19">
        <v>0.02</v>
      </c>
      <c r="H1827" s="20">
        <v>5.9999999999999995E-4</v>
      </c>
      <c r="I1827" s="14">
        <v>72</v>
      </c>
      <c r="J1827" s="14">
        <v>555</v>
      </c>
      <c r="K1827" s="18">
        <v>0.29449999999999998</v>
      </c>
      <c r="L1827" s="26" t="b">
        <f t="shared" si="123"/>
        <v>0</v>
      </c>
      <c r="M1827" s="26" t="str">
        <f t="shared" si="120"/>
        <v>call</v>
      </c>
      <c r="N1827" s="28">
        <f t="shared" si="121"/>
        <v>46773</v>
      </c>
      <c r="O1827" s="29">
        <f t="shared" si="122"/>
        <v>838</v>
      </c>
    </row>
    <row r="1828" spans="1:15" x14ac:dyDescent="0.45">
      <c r="A1828" s="11" t="s">
        <v>2200</v>
      </c>
      <c r="B1828" s="12">
        <v>45726.578472222223</v>
      </c>
      <c r="C1828" s="13">
        <v>310</v>
      </c>
      <c r="D1828" s="14">
        <v>27.16</v>
      </c>
      <c r="E1828" s="14">
        <v>27</v>
      </c>
      <c r="F1828" s="14">
        <v>27.55</v>
      </c>
      <c r="G1828" s="19">
        <v>-0.04</v>
      </c>
      <c r="H1828" s="20">
        <v>-1.5E-3</v>
      </c>
      <c r="I1828" s="14">
        <v>7</v>
      </c>
      <c r="J1828" s="14">
        <v>54</v>
      </c>
      <c r="K1828" s="18">
        <v>0.28960000000000002</v>
      </c>
      <c r="L1828" s="26" t="b">
        <f t="shared" si="123"/>
        <v>0</v>
      </c>
      <c r="M1828" s="26" t="str">
        <f t="shared" si="120"/>
        <v>call</v>
      </c>
      <c r="N1828" s="28">
        <f t="shared" si="121"/>
        <v>46773</v>
      </c>
      <c r="O1828" s="29">
        <f t="shared" si="122"/>
        <v>838</v>
      </c>
    </row>
    <row r="1829" spans="1:15" x14ac:dyDescent="0.45">
      <c r="A1829" s="11" t="s">
        <v>2201</v>
      </c>
      <c r="B1829" s="12">
        <v>45726.665972222225</v>
      </c>
      <c r="C1829" s="13">
        <v>320</v>
      </c>
      <c r="D1829" s="14">
        <v>24.1</v>
      </c>
      <c r="E1829" s="14">
        <v>24</v>
      </c>
      <c r="F1829" s="14">
        <v>24.4</v>
      </c>
      <c r="G1829" s="19">
        <v>0.2</v>
      </c>
      <c r="H1829" s="20">
        <v>8.3999999999999995E-3</v>
      </c>
      <c r="I1829" s="14">
        <v>38</v>
      </c>
      <c r="J1829" s="14">
        <v>414</v>
      </c>
      <c r="K1829" s="18">
        <v>0.2853</v>
      </c>
      <c r="L1829" s="26" t="b">
        <f t="shared" si="123"/>
        <v>0</v>
      </c>
      <c r="M1829" s="26" t="str">
        <f t="shared" si="120"/>
        <v>call</v>
      </c>
      <c r="N1829" s="28">
        <f t="shared" si="121"/>
        <v>46773</v>
      </c>
      <c r="O1829" s="29">
        <f t="shared" si="122"/>
        <v>838</v>
      </c>
    </row>
    <row r="1830" spans="1:15" x14ac:dyDescent="0.45">
      <c r="A1830" s="11" t="s">
        <v>2202</v>
      </c>
      <c r="B1830" s="12">
        <v>45726.54791666667</v>
      </c>
      <c r="C1830" s="13">
        <v>330</v>
      </c>
      <c r="D1830" s="14">
        <v>21.3</v>
      </c>
      <c r="E1830" s="14">
        <v>21.15</v>
      </c>
      <c r="F1830" s="14">
        <v>21.55</v>
      </c>
      <c r="G1830" s="19">
        <v>-0.2</v>
      </c>
      <c r="H1830" s="20">
        <v>-9.2999999999999992E-3</v>
      </c>
      <c r="I1830" s="14">
        <v>11</v>
      </c>
      <c r="J1830" s="14">
        <v>33</v>
      </c>
      <c r="K1830" s="18">
        <v>0.28129999999999999</v>
      </c>
      <c r="L1830" s="26" t="b">
        <f t="shared" si="123"/>
        <v>0</v>
      </c>
      <c r="M1830" s="26" t="str">
        <f t="shared" si="120"/>
        <v>call</v>
      </c>
      <c r="N1830" s="28">
        <f t="shared" si="121"/>
        <v>46773</v>
      </c>
      <c r="O1830" s="29">
        <f t="shared" si="122"/>
        <v>838</v>
      </c>
    </row>
    <row r="1831" spans="1:15" x14ac:dyDescent="0.45">
      <c r="A1831" s="11" t="s">
        <v>2203</v>
      </c>
      <c r="B1831" s="12">
        <v>45726.547222222223</v>
      </c>
      <c r="C1831" s="13">
        <v>340</v>
      </c>
      <c r="D1831" s="14">
        <v>19.07</v>
      </c>
      <c r="E1831" s="14">
        <v>18.649999999999999</v>
      </c>
      <c r="F1831" s="14">
        <v>19.05</v>
      </c>
      <c r="G1831" s="15">
        <v>0.14000000000000001</v>
      </c>
      <c r="H1831" s="16">
        <v>7.4000000000000003E-3</v>
      </c>
      <c r="I1831" s="14">
        <v>2</v>
      </c>
      <c r="J1831" s="14">
        <v>62</v>
      </c>
      <c r="K1831" s="18">
        <v>0.27810000000000001</v>
      </c>
      <c r="L1831" s="26" t="b">
        <f t="shared" si="123"/>
        <v>0</v>
      </c>
      <c r="M1831" s="26" t="str">
        <f t="shared" si="120"/>
        <v>call</v>
      </c>
      <c r="N1831" s="28">
        <f t="shared" si="121"/>
        <v>46773</v>
      </c>
      <c r="O1831" s="29">
        <f t="shared" si="122"/>
        <v>838</v>
      </c>
    </row>
    <row r="1832" spans="1:15" x14ac:dyDescent="0.45">
      <c r="A1832" s="11" t="s">
        <v>2204</v>
      </c>
      <c r="B1832" s="12">
        <v>45726.55</v>
      </c>
      <c r="C1832" s="13">
        <v>350</v>
      </c>
      <c r="D1832" s="14">
        <v>16.91</v>
      </c>
      <c r="E1832" s="14">
        <v>16.350000000000001</v>
      </c>
      <c r="F1832" s="14">
        <v>16.75</v>
      </c>
      <c r="G1832" s="19">
        <v>0.35</v>
      </c>
      <c r="H1832" s="20">
        <v>2.1100000000000001E-2</v>
      </c>
      <c r="I1832" s="14">
        <v>11</v>
      </c>
      <c r="J1832" s="14">
        <v>26</v>
      </c>
      <c r="K1832" s="18">
        <v>0.27479999999999999</v>
      </c>
      <c r="L1832" s="26" t="b">
        <f t="shared" si="123"/>
        <v>0</v>
      </c>
      <c r="M1832" s="26" t="str">
        <f t="shared" si="120"/>
        <v>call</v>
      </c>
      <c r="N1832" s="28">
        <f t="shared" si="121"/>
        <v>46773</v>
      </c>
      <c r="O1832" s="29">
        <f t="shared" si="122"/>
        <v>838</v>
      </c>
    </row>
    <row r="1833" spans="1:15" x14ac:dyDescent="0.45">
      <c r="A1833" s="11" t="s">
        <v>2205</v>
      </c>
      <c r="B1833" s="12">
        <v>45726.547222222223</v>
      </c>
      <c r="C1833" s="13">
        <v>360</v>
      </c>
      <c r="D1833" s="14">
        <v>14.85</v>
      </c>
      <c r="E1833" s="14">
        <v>14.4</v>
      </c>
      <c r="F1833" s="14">
        <v>14.8</v>
      </c>
      <c r="G1833" s="14">
        <v>0.19</v>
      </c>
      <c r="H1833" s="18">
        <v>1.2999999999999999E-2</v>
      </c>
      <c r="I1833" s="14">
        <v>2</v>
      </c>
      <c r="J1833" s="14">
        <v>143</v>
      </c>
      <c r="K1833" s="18">
        <v>0.27250000000000002</v>
      </c>
      <c r="L1833" s="26" t="b">
        <f t="shared" si="123"/>
        <v>0</v>
      </c>
      <c r="M1833" s="26" t="str">
        <f t="shared" si="120"/>
        <v>call</v>
      </c>
      <c r="N1833" s="28">
        <f t="shared" si="121"/>
        <v>46773</v>
      </c>
      <c r="O1833" s="29">
        <f t="shared" si="122"/>
        <v>838</v>
      </c>
    </row>
    <row r="1834" spans="1:15" x14ac:dyDescent="0.45">
      <c r="A1834" s="11" t="s">
        <v>2206</v>
      </c>
      <c r="B1834" s="12">
        <v>45726.553472222222</v>
      </c>
      <c r="C1834" s="13">
        <v>370</v>
      </c>
      <c r="D1834" s="14">
        <v>12.82</v>
      </c>
      <c r="E1834" s="14">
        <v>12.65</v>
      </c>
      <c r="F1834" s="14">
        <v>13</v>
      </c>
      <c r="G1834" s="15">
        <v>-0.09</v>
      </c>
      <c r="H1834" s="16">
        <v>-7.0000000000000001E-3</v>
      </c>
      <c r="I1834" s="14">
        <v>9</v>
      </c>
      <c r="J1834" s="14">
        <v>7</v>
      </c>
      <c r="K1834" s="18">
        <v>0.27</v>
      </c>
      <c r="L1834" s="26" t="b">
        <f t="shared" si="123"/>
        <v>0</v>
      </c>
      <c r="M1834" s="26" t="str">
        <f t="shared" si="120"/>
        <v>call</v>
      </c>
      <c r="N1834" s="28">
        <f t="shared" si="121"/>
        <v>46773</v>
      </c>
      <c r="O1834" s="29">
        <f t="shared" si="122"/>
        <v>838</v>
      </c>
    </row>
    <row r="1835" spans="1:15" x14ac:dyDescent="0.45">
      <c r="A1835" s="11" t="s">
        <v>2207</v>
      </c>
      <c r="B1835" s="12">
        <v>45726.57708333333</v>
      </c>
      <c r="C1835" s="13">
        <v>380</v>
      </c>
      <c r="D1835" s="14">
        <v>11.24</v>
      </c>
      <c r="E1835" s="14">
        <v>11.05</v>
      </c>
      <c r="F1835" s="14">
        <v>11.5</v>
      </c>
      <c r="G1835" s="14">
        <v>-0.1</v>
      </c>
      <c r="H1835" s="18">
        <v>-8.8000000000000005E-3</v>
      </c>
      <c r="I1835" s="14">
        <v>15</v>
      </c>
      <c r="J1835" s="14">
        <v>28</v>
      </c>
      <c r="K1835" s="18">
        <v>0.26840000000000003</v>
      </c>
      <c r="L1835" s="26" t="b">
        <f t="shared" si="123"/>
        <v>0</v>
      </c>
      <c r="M1835" s="26" t="str">
        <f t="shared" si="120"/>
        <v>call</v>
      </c>
      <c r="N1835" s="28">
        <f t="shared" si="121"/>
        <v>46773</v>
      </c>
      <c r="O1835" s="29">
        <f t="shared" si="122"/>
        <v>838</v>
      </c>
    </row>
    <row r="1836" spans="1:15" x14ac:dyDescent="0.45">
      <c r="A1836" s="11" t="s">
        <v>2208</v>
      </c>
      <c r="B1836" s="12">
        <v>45726.573611111111</v>
      </c>
      <c r="C1836" s="13">
        <v>390</v>
      </c>
      <c r="D1836" s="14">
        <v>9.94</v>
      </c>
      <c r="E1836" s="14">
        <v>9.6999999999999993</v>
      </c>
      <c r="F1836" s="14">
        <v>10.1</v>
      </c>
      <c r="G1836" s="19">
        <v>-0.1</v>
      </c>
      <c r="H1836" s="20">
        <v>-0.01</v>
      </c>
      <c r="I1836" s="14">
        <v>5</v>
      </c>
      <c r="J1836" s="14">
        <v>1</v>
      </c>
      <c r="K1836" s="18">
        <v>0.26640000000000003</v>
      </c>
      <c r="L1836" s="26" t="b">
        <f t="shared" si="123"/>
        <v>0</v>
      </c>
      <c r="M1836" s="26" t="str">
        <f t="shared" si="120"/>
        <v>call</v>
      </c>
      <c r="N1836" s="28">
        <f t="shared" si="121"/>
        <v>46773</v>
      </c>
      <c r="O1836" s="29">
        <f t="shared" si="122"/>
        <v>838</v>
      </c>
    </row>
    <row r="1837" spans="1:15" x14ac:dyDescent="0.45">
      <c r="A1837" s="11" t="s">
        <v>2209</v>
      </c>
      <c r="B1837" s="12">
        <v>45698.482638888891</v>
      </c>
      <c r="C1837" s="13">
        <v>400</v>
      </c>
      <c r="D1837" s="14">
        <v>8.73</v>
      </c>
      <c r="E1837" s="14">
        <v>8.5500000000000007</v>
      </c>
      <c r="F1837" s="14">
        <v>8.9499999999999993</v>
      </c>
      <c r="G1837" s="19">
        <v>0</v>
      </c>
      <c r="H1837" s="20">
        <v>0</v>
      </c>
      <c r="I1837" s="14">
        <v>27</v>
      </c>
      <c r="J1837" s="14">
        <v>175</v>
      </c>
      <c r="K1837" s="18">
        <v>0.26540000000000002</v>
      </c>
      <c r="L1837" s="26" t="b">
        <f t="shared" si="123"/>
        <v>0</v>
      </c>
      <c r="M1837" s="26" t="str">
        <f t="shared" si="120"/>
        <v>call</v>
      </c>
      <c r="N1837" s="28">
        <f t="shared" si="121"/>
        <v>46773</v>
      </c>
      <c r="O1837" s="29">
        <f t="shared" si="122"/>
        <v>838</v>
      </c>
    </row>
    <row r="1838" spans="1:15" x14ac:dyDescent="0.45">
      <c r="A1838" s="11" t="s">
        <v>2210</v>
      </c>
      <c r="B1838" s="12">
        <v>45698.5</v>
      </c>
      <c r="C1838" s="13">
        <v>420</v>
      </c>
      <c r="D1838" s="14">
        <v>7.01</v>
      </c>
      <c r="E1838" s="14">
        <v>6.6</v>
      </c>
      <c r="F1838" s="14">
        <v>6.95</v>
      </c>
      <c r="G1838" s="19">
        <v>0.19</v>
      </c>
      <c r="H1838" s="20">
        <v>2.7900000000000001E-2</v>
      </c>
      <c r="I1838" s="14">
        <v>3</v>
      </c>
      <c r="J1838" s="14">
        <v>9</v>
      </c>
      <c r="K1838" s="18">
        <v>0.26300000000000001</v>
      </c>
      <c r="L1838" s="26" t="b">
        <f t="shared" si="123"/>
        <v>0</v>
      </c>
      <c r="M1838" s="26" t="str">
        <f t="shared" si="120"/>
        <v>call</v>
      </c>
      <c r="N1838" s="28">
        <f t="shared" si="121"/>
        <v>46773</v>
      </c>
      <c r="O1838" s="29">
        <f t="shared" si="122"/>
        <v>838</v>
      </c>
    </row>
    <row r="1839" spans="1:15" x14ac:dyDescent="0.45">
      <c r="A1839" s="11" t="s">
        <v>2211</v>
      </c>
      <c r="B1839" s="12">
        <v>45698.532638888886</v>
      </c>
      <c r="C1839" s="13">
        <v>440</v>
      </c>
      <c r="D1839" s="14">
        <v>5.25</v>
      </c>
      <c r="E1839" s="14">
        <v>5.0999999999999996</v>
      </c>
      <c r="F1839" s="14">
        <v>5.45</v>
      </c>
      <c r="G1839" s="19">
        <v>0</v>
      </c>
      <c r="H1839" s="20">
        <v>0</v>
      </c>
      <c r="I1839" s="14">
        <v>11</v>
      </c>
      <c r="J1839" s="14">
        <v>51</v>
      </c>
      <c r="K1839" s="18">
        <v>0.2616</v>
      </c>
      <c r="L1839" s="26" t="b">
        <f t="shared" si="123"/>
        <v>0</v>
      </c>
      <c r="M1839" s="26" t="str">
        <f t="shared" si="120"/>
        <v>call</v>
      </c>
      <c r="N1839" s="28">
        <f t="shared" si="121"/>
        <v>46773</v>
      </c>
      <c r="O1839" s="29">
        <f t="shared" si="122"/>
        <v>838</v>
      </c>
    </row>
    <row r="1840" spans="1:15" x14ac:dyDescent="0.45">
      <c r="A1840" s="11" t="s">
        <v>2212</v>
      </c>
      <c r="B1840" s="12">
        <v>45726.665972222225</v>
      </c>
      <c r="C1840" s="13">
        <v>450</v>
      </c>
      <c r="D1840" s="14">
        <v>4.6500000000000004</v>
      </c>
      <c r="E1840" s="14">
        <v>4.5</v>
      </c>
      <c r="F1840" s="14">
        <v>4.8499999999999996</v>
      </c>
      <c r="G1840" s="19">
        <v>-0.05</v>
      </c>
      <c r="H1840" s="20">
        <v>-1.06E-2</v>
      </c>
      <c r="I1840" s="14">
        <v>71</v>
      </c>
      <c r="J1840" s="17">
        <v>1615</v>
      </c>
      <c r="K1840" s="18">
        <v>0.26140000000000002</v>
      </c>
      <c r="L1840" s="26" t="b">
        <f t="shared" si="123"/>
        <v>0</v>
      </c>
      <c r="M1840" s="26" t="str">
        <f t="shared" si="120"/>
        <v>call</v>
      </c>
      <c r="N1840" s="28">
        <f t="shared" si="121"/>
        <v>46773</v>
      </c>
      <c r="O1840" s="29">
        <f t="shared" si="122"/>
        <v>838</v>
      </c>
    </row>
    <row r="1841" spans="1:15" x14ac:dyDescent="0.45">
      <c r="A1841" s="11" t="s">
        <v>2213</v>
      </c>
      <c r="B1841" s="14" t="s">
        <v>2214</v>
      </c>
      <c r="C1841" s="13">
        <v>60</v>
      </c>
      <c r="D1841" s="14">
        <v>0.41</v>
      </c>
      <c r="E1841" s="14">
        <v>0.33</v>
      </c>
      <c r="F1841" s="14">
        <v>0.52</v>
      </c>
      <c r="G1841" s="14">
        <v>0</v>
      </c>
      <c r="H1841" s="18">
        <v>0</v>
      </c>
      <c r="I1841" s="14">
        <v>3</v>
      </c>
      <c r="J1841" s="14">
        <v>7</v>
      </c>
      <c r="K1841" s="18">
        <v>0.45650000000000002</v>
      </c>
      <c r="L1841" s="26" t="b">
        <f t="shared" si="123"/>
        <v>0</v>
      </c>
      <c r="M1841" s="26" t="str">
        <f t="shared" si="120"/>
        <v>put</v>
      </c>
      <c r="N1841" s="28">
        <f t="shared" si="121"/>
        <v>46773</v>
      </c>
      <c r="O1841" s="29">
        <f t="shared" si="122"/>
        <v>838</v>
      </c>
    </row>
    <row r="1842" spans="1:15" x14ac:dyDescent="0.45">
      <c r="A1842" s="11" t="s">
        <v>2215</v>
      </c>
      <c r="B1842" s="12">
        <v>45667.642361111109</v>
      </c>
      <c r="C1842" s="13">
        <v>90</v>
      </c>
      <c r="D1842" s="14">
        <v>1.1299999999999999</v>
      </c>
      <c r="E1842" s="14">
        <v>0.99</v>
      </c>
      <c r="F1842" s="14">
        <v>1.19</v>
      </c>
      <c r="G1842" s="14">
        <v>0</v>
      </c>
      <c r="H1842" s="18">
        <v>0</v>
      </c>
      <c r="I1842" s="14">
        <v>2</v>
      </c>
      <c r="J1842" s="14">
        <v>7</v>
      </c>
      <c r="K1842" s="18">
        <v>0.3836</v>
      </c>
      <c r="L1842" s="26" t="b">
        <f t="shared" si="123"/>
        <v>0</v>
      </c>
      <c r="M1842" s="26" t="str">
        <f t="shared" si="120"/>
        <v>put</v>
      </c>
      <c r="N1842" s="28">
        <f t="shared" si="121"/>
        <v>46773</v>
      </c>
      <c r="O1842" s="29">
        <f t="shared" si="122"/>
        <v>838</v>
      </c>
    </row>
    <row r="1843" spans="1:15" x14ac:dyDescent="0.45">
      <c r="A1843" s="11" t="s">
        <v>2216</v>
      </c>
      <c r="B1843" s="12">
        <v>45698.594444444447</v>
      </c>
      <c r="C1843" s="13">
        <v>100</v>
      </c>
      <c r="D1843" s="14">
        <v>1.47</v>
      </c>
      <c r="E1843" s="14">
        <v>1.35</v>
      </c>
      <c r="F1843" s="14">
        <v>1.54</v>
      </c>
      <c r="G1843" s="14">
        <v>0</v>
      </c>
      <c r="H1843" s="18">
        <v>0</v>
      </c>
      <c r="I1843" s="14">
        <v>4</v>
      </c>
      <c r="J1843" s="14">
        <v>11</v>
      </c>
      <c r="K1843" s="18">
        <v>0.36549999999999999</v>
      </c>
      <c r="L1843" s="26" t="b">
        <f t="shared" si="123"/>
        <v>0</v>
      </c>
      <c r="M1843" s="26" t="str">
        <f t="shared" si="120"/>
        <v>put</v>
      </c>
      <c r="N1843" s="28">
        <f t="shared" si="121"/>
        <v>46773</v>
      </c>
      <c r="O1843" s="29">
        <f t="shared" si="122"/>
        <v>838</v>
      </c>
    </row>
    <row r="1844" spans="1:15" x14ac:dyDescent="0.45">
      <c r="A1844" s="11" t="s">
        <v>2217</v>
      </c>
      <c r="B1844" s="12">
        <v>45698.595138888886</v>
      </c>
      <c r="C1844" s="13">
        <v>110</v>
      </c>
      <c r="D1844" s="14">
        <v>1.92</v>
      </c>
      <c r="E1844" s="14">
        <v>1.78</v>
      </c>
      <c r="F1844" s="14">
        <v>1.98</v>
      </c>
      <c r="G1844" s="14">
        <v>0</v>
      </c>
      <c r="H1844" s="18">
        <v>0</v>
      </c>
      <c r="I1844" s="14">
        <v>10</v>
      </c>
      <c r="J1844" s="14">
        <v>5</v>
      </c>
      <c r="K1844" s="18">
        <v>0.34960000000000002</v>
      </c>
      <c r="L1844" s="26" t="b">
        <f t="shared" si="123"/>
        <v>0</v>
      </c>
      <c r="M1844" s="26" t="str">
        <f t="shared" si="120"/>
        <v>put</v>
      </c>
      <c r="N1844" s="28">
        <f t="shared" si="121"/>
        <v>46773</v>
      </c>
      <c r="O1844" s="29">
        <f t="shared" si="122"/>
        <v>838</v>
      </c>
    </row>
    <row r="1845" spans="1:15" x14ac:dyDescent="0.45">
      <c r="A1845" s="11" t="s">
        <v>2218</v>
      </c>
      <c r="B1845" s="12">
        <v>45726.540277777778</v>
      </c>
      <c r="C1845" s="13">
        <v>120</v>
      </c>
      <c r="D1845" s="14">
        <v>2.4300000000000002</v>
      </c>
      <c r="E1845" s="14">
        <v>2.3199999999999998</v>
      </c>
      <c r="F1845" s="14">
        <v>2.5299999999999998</v>
      </c>
      <c r="G1845" s="14">
        <v>-0.02</v>
      </c>
      <c r="H1845" s="18">
        <v>-8.2000000000000007E-3</v>
      </c>
      <c r="I1845" s="14">
        <v>1</v>
      </c>
      <c r="J1845" s="14">
        <v>4</v>
      </c>
      <c r="K1845" s="18">
        <v>0.33550000000000002</v>
      </c>
      <c r="L1845" s="26" t="b">
        <f t="shared" si="123"/>
        <v>0</v>
      </c>
      <c r="M1845" s="26" t="str">
        <f t="shared" si="120"/>
        <v>put</v>
      </c>
      <c r="N1845" s="28">
        <f t="shared" si="121"/>
        <v>46773</v>
      </c>
      <c r="O1845" s="29">
        <f t="shared" si="122"/>
        <v>838</v>
      </c>
    </row>
    <row r="1846" spans="1:15" x14ac:dyDescent="0.45">
      <c r="A1846" s="11" t="s">
        <v>2219</v>
      </c>
      <c r="B1846" s="12">
        <v>45667.643055555556</v>
      </c>
      <c r="C1846" s="13">
        <v>130</v>
      </c>
      <c r="D1846" s="14">
        <v>3.09</v>
      </c>
      <c r="E1846" s="14">
        <v>2.98</v>
      </c>
      <c r="F1846" s="14">
        <v>3.2</v>
      </c>
      <c r="G1846" s="15">
        <v>0</v>
      </c>
      <c r="H1846" s="16">
        <v>0</v>
      </c>
      <c r="I1846" s="14">
        <v>10</v>
      </c>
      <c r="J1846" s="14">
        <v>28</v>
      </c>
      <c r="K1846" s="18">
        <v>0.3226</v>
      </c>
      <c r="L1846" s="26" t="b">
        <f t="shared" si="123"/>
        <v>0</v>
      </c>
      <c r="M1846" s="26" t="str">
        <f t="shared" si="120"/>
        <v>put</v>
      </c>
      <c r="N1846" s="28">
        <f t="shared" si="121"/>
        <v>46773</v>
      </c>
      <c r="O1846" s="29">
        <f t="shared" si="122"/>
        <v>838</v>
      </c>
    </row>
    <row r="1847" spans="1:15" x14ac:dyDescent="0.45">
      <c r="A1847" s="11" t="s">
        <v>2220</v>
      </c>
      <c r="B1847" s="14" t="s">
        <v>2221</v>
      </c>
      <c r="C1847" s="13">
        <v>135</v>
      </c>
      <c r="D1847" s="14">
        <v>3.46</v>
      </c>
      <c r="E1847" s="14">
        <v>3.35</v>
      </c>
      <c r="F1847" s="14">
        <v>3.6</v>
      </c>
      <c r="G1847" s="14">
        <v>-0.04</v>
      </c>
      <c r="H1847" s="18">
        <v>-1.14E-2</v>
      </c>
      <c r="I1847" s="14">
        <v>20</v>
      </c>
      <c r="J1847" s="14">
        <v>1</v>
      </c>
      <c r="K1847" s="18">
        <v>0.31680000000000003</v>
      </c>
      <c r="L1847" s="26" t="b">
        <f t="shared" si="123"/>
        <v>0</v>
      </c>
      <c r="M1847" s="26" t="str">
        <f t="shared" si="120"/>
        <v>put</v>
      </c>
      <c r="N1847" s="28">
        <f t="shared" si="121"/>
        <v>46773</v>
      </c>
      <c r="O1847" s="29">
        <f t="shared" si="122"/>
        <v>838</v>
      </c>
    </row>
    <row r="1848" spans="1:15" x14ac:dyDescent="0.45">
      <c r="A1848" s="11" t="s">
        <v>2222</v>
      </c>
      <c r="B1848" s="12">
        <v>45726.570833333331</v>
      </c>
      <c r="C1848" s="13">
        <v>140</v>
      </c>
      <c r="D1848" s="14">
        <v>3.9</v>
      </c>
      <c r="E1848" s="14">
        <v>3.75</v>
      </c>
      <c r="F1848" s="14">
        <v>4.05</v>
      </c>
      <c r="G1848" s="14">
        <v>0.05</v>
      </c>
      <c r="H1848" s="18">
        <v>1.2999999999999999E-2</v>
      </c>
      <c r="I1848" s="14">
        <v>1</v>
      </c>
      <c r="J1848" s="14">
        <v>8</v>
      </c>
      <c r="K1848" s="18">
        <v>0.3115</v>
      </c>
      <c r="L1848" s="26" t="b">
        <f t="shared" si="123"/>
        <v>0</v>
      </c>
      <c r="M1848" s="26" t="str">
        <f t="shared" si="120"/>
        <v>put</v>
      </c>
      <c r="N1848" s="28">
        <f t="shared" si="121"/>
        <v>46773</v>
      </c>
      <c r="O1848" s="29">
        <f t="shared" si="122"/>
        <v>838</v>
      </c>
    </row>
    <row r="1849" spans="1:15" x14ac:dyDescent="0.45">
      <c r="A1849" s="11" t="s">
        <v>2223</v>
      </c>
      <c r="B1849" s="14" t="s">
        <v>2224</v>
      </c>
      <c r="C1849" s="13">
        <v>145</v>
      </c>
      <c r="D1849" s="14">
        <v>4.5</v>
      </c>
      <c r="E1849" s="14">
        <v>4.2</v>
      </c>
      <c r="F1849" s="14">
        <v>4.5</v>
      </c>
      <c r="G1849" s="14">
        <v>0</v>
      </c>
      <c r="H1849" s="18">
        <v>0</v>
      </c>
      <c r="I1849" s="14">
        <v>7</v>
      </c>
      <c r="J1849" s="14">
        <v>8</v>
      </c>
      <c r="K1849" s="18">
        <v>0.30549999999999999</v>
      </c>
      <c r="L1849" s="26" t="b">
        <f t="shared" si="123"/>
        <v>0</v>
      </c>
      <c r="M1849" s="26" t="str">
        <f t="shared" si="120"/>
        <v>put</v>
      </c>
      <c r="N1849" s="28">
        <f t="shared" si="121"/>
        <v>46773</v>
      </c>
      <c r="O1849" s="29">
        <f t="shared" si="122"/>
        <v>838</v>
      </c>
    </row>
    <row r="1850" spans="1:15" x14ac:dyDescent="0.45">
      <c r="A1850" s="11" t="s">
        <v>2225</v>
      </c>
      <c r="B1850" s="12">
        <v>45698.4375</v>
      </c>
      <c r="C1850" s="13">
        <v>150</v>
      </c>
      <c r="D1850" s="14">
        <v>4.8499999999999996</v>
      </c>
      <c r="E1850" s="14">
        <v>4.7</v>
      </c>
      <c r="F1850" s="14">
        <v>5</v>
      </c>
      <c r="G1850" s="19">
        <v>0</v>
      </c>
      <c r="H1850" s="20">
        <v>0</v>
      </c>
      <c r="I1850" s="14">
        <v>2</v>
      </c>
      <c r="J1850" s="14">
        <v>30</v>
      </c>
      <c r="K1850" s="18">
        <v>0.2999</v>
      </c>
      <c r="L1850" s="26" t="b">
        <f t="shared" si="123"/>
        <v>0</v>
      </c>
      <c r="M1850" s="26" t="str">
        <f t="shared" si="120"/>
        <v>put</v>
      </c>
      <c r="N1850" s="28">
        <f t="shared" si="121"/>
        <v>46773</v>
      </c>
      <c r="O1850" s="29">
        <f t="shared" si="122"/>
        <v>838</v>
      </c>
    </row>
    <row r="1851" spans="1:15" x14ac:dyDescent="0.45">
      <c r="A1851" s="11" t="s">
        <v>2226</v>
      </c>
      <c r="B1851" s="12">
        <v>45726.546527777777</v>
      </c>
      <c r="C1851" s="13">
        <v>160</v>
      </c>
      <c r="D1851" s="14">
        <v>5.99</v>
      </c>
      <c r="E1851" s="14">
        <v>5.85</v>
      </c>
      <c r="F1851" s="14">
        <v>6.15</v>
      </c>
      <c r="G1851" s="19">
        <v>-0.06</v>
      </c>
      <c r="H1851" s="20">
        <v>-9.9000000000000008E-3</v>
      </c>
      <c r="I1851" s="14">
        <v>2</v>
      </c>
      <c r="J1851" s="14">
        <v>3</v>
      </c>
      <c r="K1851" s="18">
        <v>0.28949999999999998</v>
      </c>
      <c r="L1851" s="26" t="b">
        <f t="shared" si="123"/>
        <v>0</v>
      </c>
      <c r="M1851" s="26" t="str">
        <f t="shared" si="120"/>
        <v>put</v>
      </c>
      <c r="N1851" s="28">
        <f t="shared" si="121"/>
        <v>46773</v>
      </c>
      <c r="O1851" s="29">
        <f t="shared" si="122"/>
        <v>838</v>
      </c>
    </row>
    <row r="1852" spans="1:15" x14ac:dyDescent="0.45">
      <c r="A1852" s="11" t="s">
        <v>2227</v>
      </c>
      <c r="B1852" s="12">
        <v>45698.496527777781</v>
      </c>
      <c r="C1852" s="13">
        <v>170</v>
      </c>
      <c r="D1852" s="14">
        <v>7.34</v>
      </c>
      <c r="E1852" s="14">
        <v>7.2</v>
      </c>
      <c r="F1852" s="14">
        <v>7.5</v>
      </c>
      <c r="G1852" s="14">
        <v>0</v>
      </c>
      <c r="H1852" s="18">
        <v>0</v>
      </c>
      <c r="I1852" s="14">
        <v>6</v>
      </c>
      <c r="J1852" s="17">
        <v>1078</v>
      </c>
      <c r="K1852" s="18">
        <v>0.27950000000000003</v>
      </c>
      <c r="L1852" s="26" t="b">
        <f t="shared" si="123"/>
        <v>0</v>
      </c>
      <c r="M1852" s="26" t="str">
        <f t="shared" si="120"/>
        <v>put</v>
      </c>
      <c r="N1852" s="28">
        <f t="shared" si="121"/>
        <v>46773</v>
      </c>
      <c r="O1852" s="29">
        <f t="shared" si="122"/>
        <v>838</v>
      </c>
    </row>
    <row r="1853" spans="1:15" x14ac:dyDescent="0.45">
      <c r="A1853" s="11" t="s">
        <v>2228</v>
      </c>
      <c r="B1853" s="12">
        <v>45726.532638888886</v>
      </c>
      <c r="C1853" s="13">
        <v>175</v>
      </c>
      <c r="D1853" s="14">
        <v>8.0299999999999994</v>
      </c>
      <c r="E1853" s="14">
        <v>7.9</v>
      </c>
      <c r="F1853" s="14">
        <v>8.25</v>
      </c>
      <c r="G1853" s="15">
        <v>0.03</v>
      </c>
      <c r="H1853" s="16">
        <v>3.7000000000000002E-3</v>
      </c>
      <c r="I1853" s="14">
        <v>10</v>
      </c>
      <c r="J1853" s="14">
        <v>55</v>
      </c>
      <c r="K1853" s="18">
        <v>0.2747</v>
      </c>
      <c r="L1853" s="26" t="b">
        <f t="shared" si="123"/>
        <v>0</v>
      </c>
      <c r="M1853" s="26" t="str">
        <f t="shared" ref="M1853:M1871" si="124">IF(MID(A1853,11,1)="C","call","put")</f>
        <v>put</v>
      </c>
      <c r="N1853" s="28">
        <f t="shared" ref="N1853:N1871" si="125">DATE(MID(A1853,5,2)+2000,MID(A1853,7,2),MID(A1853,9,2))</f>
        <v>46773</v>
      </c>
      <c r="O1853" s="29">
        <f t="shared" si="122"/>
        <v>838</v>
      </c>
    </row>
    <row r="1854" spans="1:15" x14ac:dyDescent="0.45">
      <c r="A1854" s="11" t="s">
        <v>2229</v>
      </c>
      <c r="B1854" s="12">
        <v>45698.443055555559</v>
      </c>
      <c r="C1854" s="13">
        <v>180</v>
      </c>
      <c r="D1854" s="14">
        <v>8.9499999999999993</v>
      </c>
      <c r="E1854" s="14">
        <v>8.75</v>
      </c>
      <c r="F1854" s="14">
        <v>9.1</v>
      </c>
      <c r="G1854" s="15">
        <v>0</v>
      </c>
      <c r="H1854" s="16">
        <v>0</v>
      </c>
      <c r="I1854" s="14">
        <v>2</v>
      </c>
      <c r="J1854" s="14">
        <v>23</v>
      </c>
      <c r="K1854" s="18">
        <v>0.27039999999999997</v>
      </c>
      <c r="L1854" s="26" t="b">
        <f t="shared" si="123"/>
        <v>0</v>
      </c>
      <c r="M1854" s="26" t="str">
        <f t="shared" si="124"/>
        <v>put</v>
      </c>
      <c r="N1854" s="28">
        <f t="shared" si="125"/>
        <v>46773</v>
      </c>
      <c r="O1854" s="29">
        <f t="shared" ref="O1854:O1871" si="126">N1854-DATE(2025,10,5)</f>
        <v>838</v>
      </c>
    </row>
    <row r="1855" spans="1:15" x14ac:dyDescent="0.45">
      <c r="A1855" s="11" t="s">
        <v>2230</v>
      </c>
      <c r="B1855" s="12">
        <v>45726.546527777777</v>
      </c>
      <c r="C1855" s="13">
        <v>185</v>
      </c>
      <c r="D1855" s="14">
        <v>9.8699999999999992</v>
      </c>
      <c r="E1855" s="14">
        <v>9.65</v>
      </c>
      <c r="F1855" s="14">
        <v>9.9499999999999993</v>
      </c>
      <c r="G1855" s="15">
        <v>-0.13</v>
      </c>
      <c r="H1855" s="16">
        <v>-1.2999999999999999E-2</v>
      </c>
      <c r="I1855" s="14">
        <v>2</v>
      </c>
      <c r="J1855" s="14">
        <v>9</v>
      </c>
      <c r="K1855" s="18">
        <v>0.26540000000000002</v>
      </c>
      <c r="L1855" s="26" t="b">
        <f t="shared" si="123"/>
        <v>0</v>
      </c>
      <c r="M1855" s="26" t="str">
        <f t="shared" si="124"/>
        <v>put</v>
      </c>
      <c r="N1855" s="28">
        <f t="shared" si="125"/>
        <v>46773</v>
      </c>
      <c r="O1855" s="29">
        <f t="shared" si="126"/>
        <v>838</v>
      </c>
    </row>
    <row r="1856" spans="1:15" x14ac:dyDescent="0.45">
      <c r="A1856" s="11" t="s">
        <v>2231</v>
      </c>
      <c r="B1856" s="12">
        <v>45726.436805555553</v>
      </c>
      <c r="C1856" s="13">
        <v>190</v>
      </c>
      <c r="D1856" s="14">
        <v>10.75</v>
      </c>
      <c r="E1856" s="14">
        <v>10.6</v>
      </c>
      <c r="F1856" s="14">
        <v>10.9</v>
      </c>
      <c r="G1856" s="14">
        <v>-0.14000000000000001</v>
      </c>
      <c r="H1856" s="18">
        <v>-1.29E-2</v>
      </c>
      <c r="I1856" s="14">
        <v>2</v>
      </c>
      <c r="J1856" s="14">
        <v>30</v>
      </c>
      <c r="K1856" s="18">
        <v>0.26100000000000001</v>
      </c>
      <c r="L1856" s="26" t="b">
        <f t="shared" ref="L1856:L1871" si="127">IF(M1856="call",C1856&lt;$P$1,C1856&gt;$P$1)</f>
        <v>0</v>
      </c>
      <c r="M1856" s="26" t="str">
        <f t="shared" si="124"/>
        <v>put</v>
      </c>
      <c r="N1856" s="28">
        <f t="shared" si="125"/>
        <v>46773</v>
      </c>
      <c r="O1856" s="29">
        <f t="shared" si="126"/>
        <v>838</v>
      </c>
    </row>
    <row r="1857" spans="1:15" x14ac:dyDescent="0.45">
      <c r="A1857" s="11" t="s">
        <v>2232</v>
      </c>
      <c r="B1857" s="12">
        <v>45726.546527777777</v>
      </c>
      <c r="C1857" s="13">
        <v>195</v>
      </c>
      <c r="D1857" s="14">
        <v>11.77</v>
      </c>
      <c r="E1857" s="14">
        <v>11.6</v>
      </c>
      <c r="F1857" s="14">
        <v>11.95</v>
      </c>
      <c r="G1857" s="15">
        <v>-0.18</v>
      </c>
      <c r="H1857" s="16">
        <v>-1.5100000000000001E-2</v>
      </c>
      <c r="I1857" s="14">
        <v>2</v>
      </c>
      <c r="J1857" s="14">
        <v>33</v>
      </c>
      <c r="K1857" s="18">
        <v>0.25700000000000001</v>
      </c>
      <c r="L1857" s="26" t="b">
        <f t="shared" si="127"/>
        <v>0</v>
      </c>
      <c r="M1857" s="26" t="str">
        <f t="shared" si="124"/>
        <v>put</v>
      </c>
      <c r="N1857" s="28">
        <f t="shared" si="125"/>
        <v>46773</v>
      </c>
      <c r="O1857" s="29">
        <f t="shared" si="126"/>
        <v>838</v>
      </c>
    </row>
    <row r="1858" spans="1:15" x14ac:dyDescent="0.45">
      <c r="A1858" s="11" t="s">
        <v>2233</v>
      </c>
      <c r="B1858" s="12">
        <v>45726.650694444441</v>
      </c>
      <c r="C1858" s="13">
        <v>200</v>
      </c>
      <c r="D1858" s="14">
        <v>12.85</v>
      </c>
      <c r="E1858" s="14">
        <v>12.65</v>
      </c>
      <c r="F1858" s="14">
        <v>13.05</v>
      </c>
      <c r="G1858" s="19">
        <v>-0.05</v>
      </c>
      <c r="H1858" s="20">
        <v>-3.8999999999999998E-3</v>
      </c>
      <c r="I1858" s="14">
        <v>3</v>
      </c>
      <c r="J1858" s="14">
        <v>233</v>
      </c>
      <c r="K1858" s="18">
        <v>0.25280000000000002</v>
      </c>
      <c r="L1858" s="26" t="b">
        <f t="shared" si="127"/>
        <v>0</v>
      </c>
      <c r="M1858" s="26" t="str">
        <f t="shared" si="124"/>
        <v>put</v>
      </c>
      <c r="N1858" s="28">
        <f t="shared" si="125"/>
        <v>46773</v>
      </c>
      <c r="O1858" s="29">
        <f t="shared" si="126"/>
        <v>838</v>
      </c>
    </row>
    <row r="1859" spans="1:15" x14ac:dyDescent="0.45">
      <c r="A1859" s="11" t="s">
        <v>2234</v>
      </c>
      <c r="B1859" s="12">
        <v>45726.506249999999</v>
      </c>
      <c r="C1859" s="13">
        <v>210</v>
      </c>
      <c r="D1859" s="14">
        <v>15.22</v>
      </c>
      <c r="E1859" s="14">
        <v>15.1</v>
      </c>
      <c r="F1859" s="14">
        <v>15.45</v>
      </c>
      <c r="G1859" s="15">
        <v>-0.19</v>
      </c>
      <c r="H1859" s="16">
        <v>-1.23E-2</v>
      </c>
      <c r="I1859" s="14">
        <v>4</v>
      </c>
      <c r="J1859" s="14">
        <v>16</v>
      </c>
      <c r="K1859" s="18">
        <v>0.24429999999999999</v>
      </c>
      <c r="L1859" s="26" t="b">
        <f t="shared" si="127"/>
        <v>0</v>
      </c>
      <c r="M1859" s="26" t="str">
        <f t="shared" si="124"/>
        <v>put</v>
      </c>
      <c r="N1859" s="28">
        <f t="shared" si="125"/>
        <v>46773</v>
      </c>
      <c r="O1859" s="29">
        <f t="shared" si="126"/>
        <v>838</v>
      </c>
    </row>
    <row r="1860" spans="1:15" x14ac:dyDescent="0.45">
      <c r="A1860" s="11" t="s">
        <v>2235</v>
      </c>
      <c r="B1860" s="12">
        <v>45726.488194444442</v>
      </c>
      <c r="C1860" s="13">
        <v>220</v>
      </c>
      <c r="D1860" s="14">
        <v>17.850000000000001</v>
      </c>
      <c r="E1860" s="14">
        <v>17.75</v>
      </c>
      <c r="F1860" s="14">
        <v>18.2</v>
      </c>
      <c r="G1860" s="15">
        <v>-0.35</v>
      </c>
      <c r="H1860" s="16">
        <v>-1.9199999999999998E-2</v>
      </c>
      <c r="I1860" s="14">
        <v>7</v>
      </c>
      <c r="J1860" s="14">
        <v>69</v>
      </c>
      <c r="K1860" s="18">
        <v>0.23619999999999999</v>
      </c>
      <c r="L1860" s="26" t="b">
        <f t="shared" si="127"/>
        <v>0</v>
      </c>
      <c r="M1860" s="26" t="str">
        <f t="shared" si="124"/>
        <v>put</v>
      </c>
      <c r="N1860" s="28">
        <f t="shared" si="125"/>
        <v>46773</v>
      </c>
      <c r="O1860" s="29">
        <f t="shared" si="126"/>
        <v>838</v>
      </c>
    </row>
    <row r="1861" spans="1:15" x14ac:dyDescent="0.45">
      <c r="A1861" s="11" t="s">
        <v>2236</v>
      </c>
      <c r="B1861" s="12">
        <v>45698.615972222222</v>
      </c>
      <c r="C1861" s="13">
        <v>230</v>
      </c>
      <c r="D1861" s="14">
        <v>21.12</v>
      </c>
      <c r="E1861" s="14">
        <v>20.75</v>
      </c>
      <c r="F1861" s="14">
        <v>21.3</v>
      </c>
      <c r="G1861" s="15">
        <v>-0.06</v>
      </c>
      <c r="H1861" s="16">
        <v>-2.8E-3</v>
      </c>
      <c r="I1861" s="14">
        <v>2</v>
      </c>
      <c r="J1861" s="14">
        <v>331</v>
      </c>
      <c r="K1861" s="18">
        <v>0.2283</v>
      </c>
      <c r="L1861" s="26" t="b">
        <f t="shared" si="127"/>
        <v>0</v>
      </c>
      <c r="M1861" s="26" t="str">
        <f t="shared" si="124"/>
        <v>put</v>
      </c>
      <c r="N1861" s="28">
        <f t="shared" si="125"/>
        <v>46773</v>
      </c>
      <c r="O1861" s="29">
        <f t="shared" si="126"/>
        <v>838</v>
      </c>
    </row>
    <row r="1862" spans="1:15" x14ac:dyDescent="0.45">
      <c r="A1862" s="11" t="s">
        <v>2237</v>
      </c>
      <c r="B1862" s="12">
        <v>45726.661805555559</v>
      </c>
      <c r="C1862" s="13">
        <v>240</v>
      </c>
      <c r="D1862" s="14">
        <v>24.63</v>
      </c>
      <c r="E1862" s="14">
        <v>24.35</v>
      </c>
      <c r="F1862" s="14">
        <v>24.8</v>
      </c>
      <c r="G1862" s="15">
        <v>-0.12</v>
      </c>
      <c r="H1862" s="16">
        <v>-4.7999999999999996E-3</v>
      </c>
      <c r="I1862" s="14">
        <v>25</v>
      </c>
      <c r="J1862" s="14">
        <v>187</v>
      </c>
      <c r="K1862" s="18">
        <v>0.22059999999999999</v>
      </c>
      <c r="L1862" s="26" t="b">
        <f t="shared" si="127"/>
        <v>0</v>
      </c>
      <c r="M1862" s="26" t="str">
        <f t="shared" si="124"/>
        <v>put</v>
      </c>
      <c r="N1862" s="28">
        <f t="shared" si="125"/>
        <v>46773</v>
      </c>
      <c r="O1862" s="29">
        <f t="shared" si="126"/>
        <v>838</v>
      </c>
    </row>
    <row r="1863" spans="1:15" x14ac:dyDescent="0.45">
      <c r="A1863" s="11" t="s">
        <v>2238</v>
      </c>
      <c r="B1863" s="12">
        <v>45726.624305555553</v>
      </c>
      <c r="C1863" s="13">
        <v>250</v>
      </c>
      <c r="D1863" s="14">
        <v>28.45</v>
      </c>
      <c r="E1863" s="14">
        <v>28.15</v>
      </c>
      <c r="F1863" s="14">
        <v>28.7</v>
      </c>
      <c r="G1863" s="15">
        <v>-0.2</v>
      </c>
      <c r="H1863" s="16">
        <v>-7.0000000000000001E-3</v>
      </c>
      <c r="I1863" s="14">
        <v>23</v>
      </c>
      <c r="J1863" s="14">
        <v>169</v>
      </c>
      <c r="K1863" s="18">
        <v>0.21299999999999999</v>
      </c>
      <c r="L1863" s="26" t="b">
        <f t="shared" si="127"/>
        <v>0</v>
      </c>
      <c r="M1863" s="26" t="str">
        <f t="shared" si="124"/>
        <v>put</v>
      </c>
      <c r="N1863" s="28">
        <f t="shared" si="125"/>
        <v>46773</v>
      </c>
      <c r="O1863" s="29">
        <f t="shared" si="126"/>
        <v>838</v>
      </c>
    </row>
    <row r="1864" spans="1:15" x14ac:dyDescent="0.45">
      <c r="A1864" s="1" t="s">
        <v>2239</v>
      </c>
      <c r="B1864" s="2">
        <v>45726.626388888886</v>
      </c>
      <c r="C1864" s="3">
        <v>260</v>
      </c>
      <c r="D1864" s="4">
        <v>32.82</v>
      </c>
      <c r="E1864" s="4">
        <v>32.450000000000003</v>
      </c>
      <c r="F1864" s="4">
        <v>33.049999999999997</v>
      </c>
      <c r="G1864" s="8">
        <v>-0.08</v>
      </c>
      <c r="H1864" s="9">
        <v>-2.3999999999999998E-3</v>
      </c>
      <c r="I1864" s="4">
        <v>18</v>
      </c>
      <c r="J1864" s="4">
        <v>103</v>
      </c>
      <c r="K1864" s="5">
        <v>0.2056</v>
      </c>
      <c r="L1864" s="26" t="b">
        <f t="shared" si="127"/>
        <v>1</v>
      </c>
      <c r="M1864" s="26" t="str">
        <f t="shared" si="124"/>
        <v>put</v>
      </c>
      <c r="N1864" s="28">
        <f t="shared" si="125"/>
        <v>46773</v>
      </c>
      <c r="O1864" s="29">
        <f t="shared" si="126"/>
        <v>838</v>
      </c>
    </row>
    <row r="1865" spans="1:15" x14ac:dyDescent="0.45">
      <c r="A1865" s="1" t="s">
        <v>2240</v>
      </c>
      <c r="B1865" s="2">
        <v>45698.632638888892</v>
      </c>
      <c r="C1865" s="3">
        <v>270</v>
      </c>
      <c r="D1865" s="4">
        <v>37.76</v>
      </c>
      <c r="E1865" s="4">
        <v>37.15</v>
      </c>
      <c r="F1865" s="4">
        <v>37.799999999999997</v>
      </c>
      <c r="G1865" s="8">
        <v>0</v>
      </c>
      <c r="H1865" s="9">
        <v>0</v>
      </c>
      <c r="I1865" s="4">
        <v>5</v>
      </c>
      <c r="J1865" s="4">
        <v>45</v>
      </c>
      <c r="K1865" s="5">
        <v>0.19800000000000001</v>
      </c>
      <c r="L1865" s="26" t="b">
        <f t="shared" si="127"/>
        <v>1</v>
      </c>
      <c r="M1865" s="26" t="str">
        <f t="shared" si="124"/>
        <v>put</v>
      </c>
      <c r="N1865" s="28">
        <f t="shared" si="125"/>
        <v>46773</v>
      </c>
      <c r="O1865" s="29">
        <f t="shared" si="126"/>
        <v>838</v>
      </c>
    </row>
    <row r="1866" spans="1:15" x14ac:dyDescent="0.45">
      <c r="A1866" s="1" t="s">
        <v>2241</v>
      </c>
      <c r="B1866" s="2">
        <v>45726.552777777775</v>
      </c>
      <c r="C1866" s="3">
        <v>280</v>
      </c>
      <c r="D1866" s="4">
        <v>42.48</v>
      </c>
      <c r="E1866" s="4">
        <v>42.35</v>
      </c>
      <c r="F1866" s="4">
        <v>43.1</v>
      </c>
      <c r="G1866" s="8">
        <v>-0.52</v>
      </c>
      <c r="H1866" s="9">
        <v>-1.21E-2</v>
      </c>
      <c r="I1866" s="4">
        <v>184</v>
      </c>
      <c r="J1866" s="4">
        <v>207</v>
      </c>
      <c r="K1866" s="5">
        <v>0.1908</v>
      </c>
      <c r="L1866" s="26" t="b">
        <f t="shared" si="127"/>
        <v>1</v>
      </c>
      <c r="M1866" s="26" t="str">
        <f t="shared" si="124"/>
        <v>put</v>
      </c>
      <c r="N1866" s="28">
        <f t="shared" si="125"/>
        <v>46773</v>
      </c>
      <c r="O1866" s="29">
        <f t="shared" si="126"/>
        <v>838</v>
      </c>
    </row>
    <row r="1867" spans="1:15" x14ac:dyDescent="0.45">
      <c r="A1867" s="1" t="s">
        <v>2242</v>
      </c>
      <c r="B1867" s="2">
        <v>45726.552777777775</v>
      </c>
      <c r="C1867" s="3">
        <v>290</v>
      </c>
      <c r="D1867" s="4">
        <v>48.5</v>
      </c>
      <c r="E1867" s="4">
        <v>48.05</v>
      </c>
      <c r="F1867" s="4">
        <v>48.8</v>
      </c>
      <c r="G1867" s="8">
        <v>-1.85</v>
      </c>
      <c r="H1867" s="9">
        <v>-3.6700000000000003E-2</v>
      </c>
      <c r="I1867" s="4">
        <v>182</v>
      </c>
      <c r="J1867" s="4">
        <v>220</v>
      </c>
      <c r="K1867" s="5">
        <v>0.183</v>
      </c>
      <c r="L1867" s="26" t="b">
        <f t="shared" si="127"/>
        <v>1</v>
      </c>
      <c r="M1867" s="26" t="str">
        <f t="shared" si="124"/>
        <v>put</v>
      </c>
      <c r="N1867" s="28">
        <f t="shared" si="125"/>
        <v>46773</v>
      </c>
      <c r="O1867" s="29">
        <f t="shared" si="126"/>
        <v>838</v>
      </c>
    </row>
    <row r="1868" spans="1:15" x14ac:dyDescent="0.45">
      <c r="A1868" s="1" t="s">
        <v>2243</v>
      </c>
      <c r="B1868" s="2">
        <v>45726.395833333336</v>
      </c>
      <c r="C1868" s="3">
        <v>300</v>
      </c>
      <c r="D1868" s="4">
        <v>56.21</v>
      </c>
      <c r="E1868" s="4">
        <v>54.2</v>
      </c>
      <c r="F1868" s="4">
        <v>55.05</v>
      </c>
      <c r="G1868" s="8">
        <v>1.31</v>
      </c>
      <c r="H1868" s="9">
        <v>2.3900000000000001E-2</v>
      </c>
      <c r="I1868" s="4">
        <v>17</v>
      </c>
      <c r="J1868" s="4">
        <v>69</v>
      </c>
      <c r="K1868" s="5">
        <v>0.17549999999999999</v>
      </c>
      <c r="L1868" s="26" t="b">
        <f t="shared" si="127"/>
        <v>1</v>
      </c>
      <c r="M1868" s="26" t="str">
        <f t="shared" si="124"/>
        <v>put</v>
      </c>
      <c r="N1868" s="28">
        <f t="shared" si="125"/>
        <v>46773</v>
      </c>
      <c r="O1868" s="29">
        <f t="shared" si="126"/>
        <v>838</v>
      </c>
    </row>
    <row r="1869" spans="1:15" x14ac:dyDescent="0.45">
      <c r="A1869" s="1" t="s">
        <v>2244</v>
      </c>
      <c r="B1869" s="2">
        <v>45667.637499999997</v>
      </c>
      <c r="C1869" s="3">
        <v>310</v>
      </c>
      <c r="D1869" s="4">
        <v>62.25</v>
      </c>
      <c r="E1869" s="4">
        <v>60.9</v>
      </c>
      <c r="F1869" s="4">
        <v>61.75</v>
      </c>
      <c r="G1869" s="8">
        <v>0</v>
      </c>
      <c r="H1869" s="9">
        <v>0</v>
      </c>
      <c r="I1869" s="4">
        <v>1</v>
      </c>
      <c r="J1869" s="4">
        <v>2</v>
      </c>
      <c r="K1869" s="5">
        <v>0.16750000000000001</v>
      </c>
      <c r="L1869" s="26" t="b">
        <f t="shared" si="127"/>
        <v>1</v>
      </c>
      <c r="M1869" s="26" t="str">
        <f t="shared" si="124"/>
        <v>put</v>
      </c>
      <c r="N1869" s="28">
        <f t="shared" si="125"/>
        <v>46773</v>
      </c>
      <c r="O1869" s="29">
        <f t="shared" si="126"/>
        <v>838</v>
      </c>
    </row>
    <row r="1870" spans="1:15" x14ac:dyDescent="0.45">
      <c r="A1870" s="1" t="s">
        <v>2245</v>
      </c>
      <c r="B1870" s="4" t="s">
        <v>2246</v>
      </c>
      <c r="C1870" s="3">
        <v>320</v>
      </c>
      <c r="D1870" s="4">
        <v>70.95</v>
      </c>
      <c r="E1870" s="4">
        <v>68.05</v>
      </c>
      <c r="F1870" s="4">
        <v>68.95</v>
      </c>
      <c r="G1870" s="8">
        <v>0</v>
      </c>
      <c r="H1870" s="9">
        <v>0</v>
      </c>
      <c r="I1870" s="4">
        <v>2</v>
      </c>
      <c r="J1870" s="4">
        <v>6</v>
      </c>
      <c r="K1870" s="5">
        <v>0.15920000000000001</v>
      </c>
      <c r="L1870" s="26" t="b">
        <f t="shared" si="127"/>
        <v>1</v>
      </c>
      <c r="M1870" s="26" t="str">
        <f t="shared" si="124"/>
        <v>put</v>
      </c>
      <c r="N1870" s="28">
        <f t="shared" si="125"/>
        <v>46773</v>
      </c>
      <c r="O1870" s="29">
        <f t="shared" si="126"/>
        <v>838</v>
      </c>
    </row>
    <row r="1871" spans="1:15" x14ac:dyDescent="0.45">
      <c r="A1871" s="21" t="s">
        <v>2247</v>
      </c>
      <c r="B1871" s="30">
        <v>45726.625694444447</v>
      </c>
      <c r="C1871" s="23">
        <v>330</v>
      </c>
      <c r="D1871" s="22">
        <v>75.86</v>
      </c>
      <c r="E1871" s="22">
        <v>75.55</v>
      </c>
      <c r="F1871" s="22">
        <v>76.75</v>
      </c>
      <c r="G1871" s="31">
        <v>-2.6</v>
      </c>
      <c r="H1871" s="32">
        <v>-3.3099999999999997E-2</v>
      </c>
      <c r="I1871" s="22">
        <v>63</v>
      </c>
      <c r="J1871" s="22">
        <v>2</v>
      </c>
      <c r="K1871" s="24">
        <v>0.15140000000000001</v>
      </c>
      <c r="L1871" s="26" t="b">
        <f t="shared" si="127"/>
        <v>1</v>
      </c>
      <c r="M1871" s="26" t="str">
        <f t="shared" si="124"/>
        <v>put</v>
      </c>
      <c r="N1871" s="28">
        <f t="shared" si="125"/>
        <v>46773</v>
      </c>
      <c r="O1871" s="29">
        <f t="shared" si="126"/>
        <v>838</v>
      </c>
    </row>
  </sheetData>
  <hyperlinks>
    <hyperlink ref="A101" r:id="rId1" display="https://finance.yahoo.com/quote/AAPL251017C00105000/" xr:uid="{F90B7A7C-3D59-466A-82D5-23CAECD5C2A8}"/>
    <hyperlink ref="C101" r:id="rId2" display="https://finance.yahoo.com/quote/AAPL/options/?straddle=false&amp;strike=105&amp;type=all" xr:uid="{38C00052-1A96-4473-9DB3-0C04883EF39B}"/>
    <hyperlink ref="A102" r:id="rId3" display="https://finance.yahoo.com/quote/AAPL251017C00110000/" xr:uid="{CD2C4109-815A-4623-814C-7FBC1D281E6B}"/>
    <hyperlink ref="C102" r:id="rId4" display="https://finance.yahoo.com/quote/AAPL/options/?straddle=false&amp;strike=110&amp;type=all" xr:uid="{D0E7235B-1D8E-44A6-832D-DEAD627AAD49}"/>
    <hyperlink ref="A103" r:id="rId5" display="https://finance.yahoo.com/quote/AAPL251017C00115000/" xr:uid="{B20C8F5C-5473-43F1-A371-0B81A2DDA370}"/>
    <hyperlink ref="C103" r:id="rId6" display="https://finance.yahoo.com/quote/AAPL/options/?straddle=false&amp;strike=115&amp;type=all" xr:uid="{9F810656-8133-4FA0-AB25-8B5F4B13E28F}"/>
    <hyperlink ref="A104" r:id="rId7" display="https://finance.yahoo.com/quote/AAPL251017C00120000/" xr:uid="{400CA82A-0DA2-4A8F-B5E8-ABC4757A3D8E}"/>
    <hyperlink ref="C104" r:id="rId8" display="https://finance.yahoo.com/quote/AAPL/options/?straddle=false&amp;strike=120&amp;type=all" xr:uid="{0CB3D00A-91F3-4D9E-BCAF-8FD68152A133}"/>
    <hyperlink ref="A105" r:id="rId9" display="https://finance.yahoo.com/quote/AAPL251017C00125000/" xr:uid="{763B3EE3-2B10-4DF3-B4E3-9FC0A4FE76B8}"/>
    <hyperlink ref="C105" r:id="rId10" display="https://finance.yahoo.com/quote/AAPL/options/?straddle=false&amp;strike=125&amp;type=all" xr:uid="{CB3090A6-50E8-4AFE-A6E1-801D9921842D}"/>
    <hyperlink ref="A106" r:id="rId11" display="https://finance.yahoo.com/quote/AAPL251017C00130000/" xr:uid="{42459442-7D44-4238-B63D-84ACF72DC1BB}"/>
    <hyperlink ref="C106" r:id="rId12" display="https://finance.yahoo.com/quote/AAPL/options/?straddle=false&amp;strike=130&amp;type=all" xr:uid="{430573C7-B736-4CD2-94AC-AA68B35F3FAD}"/>
    <hyperlink ref="A107" r:id="rId13" display="https://finance.yahoo.com/quote/AAPL251017C00135000/" xr:uid="{4525CC0F-6125-4B82-80CC-622AC15D0EE2}"/>
    <hyperlink ref="C107" r:id="rId14" display="https://finance.yahoo.com/quote/AAPL/options/?straddle=false&amp;strike=135&amp;type=all" xr:uid="{79F12B16-B357-4CB7-AF45-F10830EB59DE}"/>
    <hyperlink ref="A108" r:id="rId15" display="https://finance.yahoo.com/quote/AAPL251017C00140000/" xr:uid="{F071E5D5-3F5D-45B5-8D4D-34DE96E75F73}"/>
    <hyperlink ref="C108" r:id="rId16" display="https://finance.yahoo.com/quote/AAPL/options/?straddle=false&amp;strike=140&amp;type=all" xr:uid="{E87F1D8C-788C-48E8-B162-B04F569AFE35}"/>
    <hyperlink ref="A109" r:id="rId17" display="https://finance.yahoo.com/quote/AAPL251017C00145000/" xr:uid="{135E82EF-F8A5-4603-850C-A95DE2F5522E}"/>
    <hyperlink ref="C109" r:id="rId18" display="https://finance.yahoo.com/quote/AAPL/options/?straddle=false&amp;strike=145&amp;type=all" xr:uid="{AEA5E98A-6CAA-4426-8FD1-4B9D41002FC3}"/>
    <hyperlink ref="A110" r:id="rId19" display="https://finance.yahoo.com/quote/AAPL251017C00150000/" xr:uid="{9495B54F-4EAF-4DFB-BBD8-ADD3D1A0C845}"/>
    <hyperlink ref="C110" r:id="rId20" display="https://finance.yahoo.com/quote/AAPL/options/?straddle=false&amp;strike=150&amp;type=all" xr:uid="{1FC1AE0A-7C3D-435A-8942-140F52CA9C97}"/>
    <hyperlink ref="A111" r:id="rId21" display="https://finance.yahoo.com/quote/AAPL251017C00155000/" xr:uid="{9FA935F9-73C1-4F63-A944-E037DA8C79C9}"/>
    <hyperlink ref="C111" r:id="rId22" display="https://finance.yahoo.com/quote/AAPL/options/?straddle=false&amp;strike=155&amp;type=all" xr:uid="{02A3F9FA-DA42-4B4C-95C9-D48C57BD15BD}"/>
    <hyperlink ref="A112" r:id="rId23" display="https://finance.yahoo.com/quote/AAPL251017C00160000/" xr:uid="{20352427-5157-48CA-9D38-345C735877E0}"/>
    <hyperlink ref="C112" r:id="rId24" display="https://finance.yahoo.com/quote/AAPL/options/?straddle=false&amp;strike=160&amp;type=all" xr:uid="{CDC258F1-1C14-43AE-B9F9-3124A9C17C95}"/>
    <hyperlink ref="A113" r:id="rId25" display="https://finance.yahoo.com/quote/AAPL251017C00165000/" xr:uid="{19A2E69A-ED81-4377-A6C4-24C568D6D22F}"/>
    <hyperlink ref="C113" r:id="rId26" display="https://finance.yahoo.com/quote/AAPL/options/?straddle=false&amp;strike=165&amp;type=all" xr:uid="{1E38FE35-8E4A-4673-ACA8-108FEF0248CC}"/>
    <hyperlink ref="A114" r:id="rId27" display="https://finance.yahoo.com/quote/AAPL251017C00170000/" xr:uid="{84781EFF-6369-4ECC-BB30-0B35D40A965B}"/>
    <hyperlink ref="C114" r:id="rId28" display="https://finance.yahoo.com/quote/AAPL/options/?straddle=false&amp;strike=170&amp;type=all" xr:uid="{F10CD694-5D8A-4EE8-A86F-285920DC9E4E}"/>
    <hyperlink ref="A115" r:id="rId29" display="https://finance.yahoo.com/quote/AAPL251017C00175000/" xr:uid="{749DD33B-DE1D-4143-9B65-6555A21BBB92}"/>
    <hyperlink ref="C115" r:id="rId30" display="https://finance.yahoo.com/quote/AAPL/options/?straddle=false&amp;strike=175&amp;type=all" xr:uid="{C8B2A71E-6CF0-462E-95F9-FBF273279B2E}"/>
    <hyperlink ref="A116" r:id="rId31" display="https://finance.yahoo.com/quote/AAPL251017C00180000/" xr:uid="{BC17BB2C-743F-46A1-B508-9911B7ED7BF5}"/>
    <hyperlink ref="C116" r:id="rId32" display="https://finance.yahoo.com/quote/AAPL/options/?straddle=false&amp;strike=180&amp;type=all" xr:uid="{7D8DAEFD-82B4-46B1-B9FF-67A0DAD6D758}"/>
    <hyperlink ref="A117" r:id="rId33" display="https://finance.yahoo.com/quote/AAPL251017C00185000/" xr:uid="{CEB403E4-D3FF-49C0-A1E9-5FC3B37175ED}"/>
    <hyperlink ref="C117" r:id="rId34" display="https://finance.yahoo.com/quote/AAPL/options/?straddle=false&amp;strike=185&amp;type=all" xr:uid="{1F4647DE-34CC-491D-BAA1-FB9D1DE89932}"/>
    <hyperlink ref="A118" r:id="rId35" display="https://finance.yahoo.com/quote/AAPL251017C00190000/" xr:uid="{FF38BBB0-0CB3-49D0-A712-A8FED2CA8686}"/>
    <hyperlink ref="C118" r:id="rId36" display="https://finance.yahoo.com/quote/AAPL/options/?straddle=false&amp;strike=190&amp;type=all" xr:uid="{533327CA-9427-4E09-A7E8-5D732C61F961}"/>
    <hyperlink ref="A119" r:id="rId37" display="https://finance.yahoo.com/quote/AAPL251017C00195000/" xr:uid="{FEA0AB60-D8B5-4367-91A1-894DE714E202}"/>
    <hyperlink ref="C119" r:id="rId38" display="https://finance.yahoo.com/quote/AAPL/options/?straddle=false&amp;strike=195&amp;type=all" xr:uid="{1FE58F6D-495D-4714-9AD9-114C4954EF13}"/>
    <hyperlink ref="A120" r:id="rId39" display="https://finance.yahoo.com/quote/AAPL251017C00200000/" xr:uid="{979273FC-5C4C-459C-8A9E-4C29B3944E9C}"/>
    <hyperlink ref="C120" r:id="rId40" display="https://finance.yahoo.com/quote/AAPL/options/?straddle=false&amp;strike=200&amp;type=all" xr:uid="{35DF97DA-E68D-4860-B764-40305F7F4627}"/>
    <hyperlink ref="A121" r:id="rId41" display="https://finance.yahoo.com/quote/AAPL251017C00205000/" xr:uid="{DA5E01E3-8EF2-4BBF-A05E-2B33A9819E70}"/>
    <hyperlink ref="C121" r:id="rId42" display="https://finance.yahoo.com/quote/AAPL/options/?straddle=false&amp;strike=205&amp;type=all" xr:uid="{4A63608D-DF2D-4650-B646-92BAA3212D8F}"/>
    <hyperlink ref="A122" r:id="rId43" display="https://finance.yahoo.com/quote/AAPL251017C00210000/" xr:uid="{E5526896-FB0B-4285-AC9B-A3F96C282EC8}"/>
    <hyperlink ref="C122" r:id="rId44" display="https://finance.yahoo.com/quote/AAPL/options/?straddle=false&amp;strike=210&amp;type=all" xr:uid="{AEBBA9F6-C042-4476-8754-9D6887FA7F63}"/>
    <hyperlink ref="A123" r:id="rId45" display="https://finance.yahoo.com/quote/AAPL251017C00215000/" xr:uid="{20FA0378-E068-4E6A-AF82-2DD76E11DF1F}"/>
    <hyperlink ref="C123" r:id="rId46" display="https://finance.yahoo.com/quote/AAPL/options/?straddle=false&amp;strike=215&amp;type=all" xr:uid="{17B09936-62D8-40DE-8345-62AA20C740CD}"/>
    <hyperlink ref="A124" r:id="rId47" display="https://finance.yahoo.com/quote/AAPL251017C00217500/" xr:uid="{93F0C5AE-CB26-4478-8459-DD4DC9B97BF1}"/>
    <hyperlink ref="C124" r:id="rId48" display="https://finance.yahoo.com/quote/AAPL/options/?straddle=false&amp;strike=217.5&amp;type=all" xr:uid="{8BA4CB91-6F5B-45EF-ABE6-2BC5F7CFB6F8}"/>
    <hyperlink ref="A125" r:id="rId49" display="https://finance.yahoo.com/quote/AAPL251017C00220000/" xr:uid="{3448B224-67E3-4DA4-8B98-1FA0CA3AD634}"/>
    <hyperlink ref="C125" r:id="rId50" display="https://finance.yahoo.com/quote/AAPL/options/?straddle=false&amp;strike=220&amp;type=all" xr:uid="{CA3FC8AA-AC30-46DA-8CF2-6DDD6AE68A46}"/>
    <hyperlink ref="A126" r:id="rId51" display="https://finance.yahoo.com/quote/AAPL251017C00222500/" xr:uid="{63E8A157-2104-4873-875B-81D47CC43D24}"/>
    <hyperlink ref="C126" r:id="rId52" display="https://finance.yahoo.com/quote/AAPL/options/?straddle=false&amp;strike=222.5&amp;type=all" xr:uid="{804B13D1-D9F1-48A9-B257-63CFE3E77ABA}"/>
    <hyperlink ref="A127" r:id="rId53" display="https://finance.yahoo.com/quote/AAPL251017C00225000/" xr:uid="{848E9CE8-0E71-4B0F-8CE6-59A05B2202C9}"/>
    <hyperlink ref="C127" r:id="rId54" display="https://finance.yahoo.com/quote/AAPL/options/?straddle=false&amp;strike=225&amp;type=all" xr:uid="{C2E4EEF7-8D5F-449D-AC3F-292E2CD79871}"/>
    <hyperlink ref="A128" r:id="rId55" display="https://finance.yahoo.com/quote/AAPL251017C00227500/" xr:uid="{422D7FCF-502C-45AC-8276-E87A0B7A73F2}"/>
    <hyperlink ref="C128" r:id="rId56" display="https://finance.yahoo.com/quote/AAPL/options/?straddle=false&amp;strike=227.5&amp;type=all" xr:uid="{532EA30C-1C64-4F1B-BA15-175AD079DD20}"/>
    <hyperlink ref="A129" r:id="rId57" display="https://finance.yahoo.com/quote/AAPL251017C00230000/" xr:uid="{762A09E7-6B18-4145-B7F1-5217BA312FDF}"/>
    <hyperlink ref="C129" r:id="rId58" display="https://finance.yahoo.com/quote/AAPL/options/?straddle=false&amp;strike=230&amp;type=all" xr:uid="{27C9FA63-338F-4FFB-B1EE-C9741D66D6E3}"/>
    <hyperlink ref="A130" r:id="rId59" display="https://finance.yahoo.com/quote/AAPL251017C00232500/" xr:uid="{CC8D5DF0-A9A2-4DA5-B81F-462D2C612344}"/>
    <hyperlink ref="C130" r:id="rId60" display="https://finance.yahoo.com/quote/AAPL/options/?straddle=false&amp;strike=232.5&amp;type=all" xr:uid="{AF447CF4-0684-4536-9756-EC79544A3DE8}"/>
    <hyperlink ref="A131" r:id="rId61" display="https://finance.yahoo.com/quote/AAPL251017C00235000/" xr:uid="{1F0ABE05-D68D-4B8F-83E7-959EF0D72C5B}"/>
    <hyperlink ref="C131" r:id="rId62" display="https://finance.yahoo.com/quote/AAPL/options/?straddle=false&amp;strike=235&amp;type=all" xr:uid="{81BBB08E-921F-478D-95AF-1D4C354813F6}"/>
    <hyperlink ref="A132" r:id="rId63" display="https://finance.yahoo.com/quote/AAPL251017C00237500/" xr:uid="{65CBDA4A-86B3-4417-9EC0-C17734B28EB7}"/>
    <hyperlink ref="C132" r:id="rId64" display="https://finance.yahoo.com/quote/AAPL/options/?straddle=false&amp;strike=237.5&amp;type=all" xr:uid="{9EA6DC75-569A-4F40-9BC4-78E5A16CC9D1}"/>
    <hyperlink ref="A133" r:id="rId65" display="https://finance.yahoo.com/quote/AAPL251017C00240000/" xr:uid="{46631892-BB20-4945-8971-5B83129647AF}"/>
    <hyperlink ref="C133" r:id="rId66" display="https://finance.yahoo.com/quote/AAPL/options/?straddle=false&amp;strike=240&amp;type=all" xr:uid="{D6F6EA5E-5ED8-468D-9B9D-408C8E7A629E}"/>
    <hyperlink ref="A134" r:id="rId67" display="https://finance.yahoo.com/quote/AAPL251017C00242500/" xr:uid="{696990DE-9A27-4EEF-9747-503AFFA36D1B}"/>
    <hyperlink ref="C134" r:id="rId68" display="https://finance.yahoo.com/quote/AAPL/options/?straddle=false&amp;strike=242.5&amp;type=all" xr:uid="{2C6F846F-A0F4-4703-813C-01D3BE503EE9}"/>
    <hyperlink ref="A135" r:id="rId69" display="https://finance.yahoo.com/quote/AAPL251017C00245000/" xr:uid="{C69882F1-1FC4-4130-9C0F-E3A44F3FB96E}"/>
    <hyperlink ref="C135" r:id="rId70" display="https://finance.yahoo.com/quote/AAPL/options/?straddle=false&amp;strike=245&amp;type=all" xr:uid="{0D03B8EB-3473-4FEA-AFAD-7265693D4E44}"/>
    <hyperlink ref="A136" r:id="rId71" display="https://finance.yahoo.com/quote/AAPL251017C00247500/" xr:uid="{F4F4CBC5-ED88-42E4-97A1-B0478FB8675C}"/>
    <hyperlink ref="C136" r:id="rId72" display="https://finance.yahoo.com/quote/AAPL/options/?straddle=false&amp;strike=247.5&amp;type=all" xr:uid="{035805B5-5324-4615-8670-13E27EC213CA}"/>
    <hyperlink ref="A137" r:id="rId73" display="https://finance.yahoo.com/quote/AAPL251017C00250000/" xr:uid="{6DC5DAA8-38B3-48CF-A16F-D8E9CD4F933D}"/>
    <hyperlink ref="C137" r:id="rId74" display="https://finance.yahoo.com/quote/AAPL/options/?straddle=false&amp;strike=250&amp;type=all" xr:uid="{91326D8E-49F6-4A33-A4BF-F019CADBBF47}"/>
    <hyperlink ref="A138" r:id="rId75" display="https://finance.yahoo.com/quote/AAPL251017C00252500/" xr:uid="{57918C7F-D1D6-496F-8D57-210031C4B267}"/>
    <hyperlink ref="C138" r:id="rId76" display="https://finance.yahoo.com/quote/AAPL/options/?straddle=false&amp;strike=252.5&amp;type=all" xr:uid="{1844862E-0412-411D-AEA0-2F29C95D2B42}"/>
    <hyperlink ref="A139" r:id="rId77" display="https://finance.yahoo.com/quote/AAPL251017C00255000/" xr:uid="{A5D28227-56ED-4682-91AE-6582D75AE914}"/>
    <hyperlink ref="C139" r:id="rId78" display="https://finance.yahoo.com/quote/AAPL/options/?straddle=false&amp;strike=255&amp;type=all" xr:uid="{72B029C1-12F7-46C9-804C-C76BF46AB623}"/>
    <hyperlink ref="A140" r:id="rId79" display="https://finance.yahoo.com/quote/AAPL251017C00257500/" xr:uid="{67833731-4A0F-42BF-8DE0-FF3D2C3EC5CD}"/>
    <hyperlink ref="C140" r:id="rId80" display="https://finance.yahoo.com/quote/AAPL/options/?straddle=false&amp;strike=257.5&amp;type=all" xr:uid="{8F12C839-4DB6-419A-B414-B2C5F792D1FE}"/>
    <hyperlink ref="A141" r:id="rId81" display="https://finance.yahoo.com/quote/AAPL251017C00260000/" xr:uid="{F2CC1AC9-C71E-4A72-9152-BBB858552D52}"/>
    <hyperlink ref="C141" r:id="rId82" display="https://finance.yahoo.com/quote/AAPL/options/?straddle=false&amp;strike=260&amp;type=all" xr:uid="{F2B9331C-8DCF-44A1-86DE-2306351044B7}"/>
    <hyperlink ref="A142" r:id="rId83" display="https://finance.yahoo.com/quote/AAPL251017C00262500/" xr:uid="{ED3FF2D8-5694-4DAB-B7C1-F2A57B6FFBB2}"/>
    <hyperlink ref="C142" r:id="rId84" display="https://finance.yahoo.com/quote/AAPL/options/?straddle=false&amp;strike=262.5&amp;type=all" xr:uid="{9B292822-E627-4966-81BA-F2488951855A}"/>
    <hyperlink ref="A143" r:id="rId85" display="https://finance.yahoo.com/quote/AAPL251017C00265000/" xr:uid="{8E361391-ACE9-481B-BB56-A17BA45E8C8C}"/>
    <hyperlink ref="C143" r:id="rId86" display="https://finance.yahoo.com/quote/AAPL/options/?straddle=false&amp;strike=265&amp;type=all" xr:uid="{419F1D6D-2854-4781-81E4-28DFEA1A1DFA}"/>
    <hyperlink ref="A144" r:id="rId87" display="https://finance.yahoo.com/quote/AAPL251017C00267500/" xr:uid="{95A7CDD0-A15D-4A4A-BD8A-8BCEFA01F9B9}"/>
    <hyperlink ref="C144" r:id="rId88" display="https://finance.yahoo.com/quote/AAPL/options/?straddle=false&amp;strike=267.5&amp;type=all" xr:uid="{8E5D7629-AC0D-4BDB-ABC7-22F24607B1BC}"/>
    <hyperlink ref="A145" r:id="rId89" display="https://finance.yahoo.com/quote/AAPL251017C00270000/" xr:uid="{7A0FBEF2-A40B-4398-8D83-81EC8DFF272A}"/>
    <hyperlink ref="C145" r:id="rId90" display="https://finance.yahoo.com/quote/AAPL/options/?straddle=false&amp;strike=270&amp;type=all" xr:uid="{286B2483-3883-484B-8260-9CCD23CB5F8A}"/>
    <hyperlink ref="A146" r:id="rId91" display="https://finance.yahoo.com/quote/AAPL251017C00272500/" xr:uid="{F7894337-F38C-4D23-B38B-EFCE7656C57D}"/>
    <hyperlink ref="C146" r:id="rId92" display="https://finance.yahoo.com/quote/AAPL/options/?straddle=false&amp;strike=272.5&amp;type=all" xr:uid="{F9799CCC-434C-4CD5-8118-94374E14BC6D}"/>
    <hyperlink ref="A147" r:id="rId93" display="https://finance.yahoo.com/quote/AAPL251017C00275000/" xr:uid="{A39449C0-C67F-4277-B902-473FECD93AE7}"/>
    <hyperlink ref="C147" r:id="rId94" display="https://finance.yahoo.com/quote/AAPL/options/?straddle=false&amp;strike=275&amp;type=all" xr:uid="{89F617CE-60EC-4E80-88DE-0C12187C7567}"/>
    <hyperlink ref="A148" r:id="rId95" display="https://finance.yahoo.com/quote/AAPL251017C00280000/" xr:uid="{A28C55A2-6DD4-4320-BA99-41C179A829CA}"/>
    <hyperlink ref="C148" r:id="rId96" display="https://finance.yahoo.com/quote/AAPL/options/?straddle=false&amp;strike=280&amp;type=all" xr:uid="{8D22C8C7-1303-410E-B523-EA5799776917}"/>
    <hyperlink ref="A149" r:id="rId97" display="https://finance.yahoo.com/quote/AAPL251017C00285000/" xr:uid="{04C5D765-7882-4D9F-9A16-3AB05CD08C37}"/>
    <hyperlink ref="C149" r:id="rId98" display="https://finance.yahoo.com/quote/AAPL/options/?straddle=false&amp;strike=285&amp;type=all" xr:uid="{DCD0587B-DE96-4306-90AC-CFCBFE69D274}"/>
    <hyperlink ref="A150" r:id="rId99" display="https://finance.yahoo.com/quote/AAPL251017C00290000/" xr:uid="{33F20BCF-B777-4379-98AB-FCED1931396A}"/>
    <hyperlink ref="C150" r:id="rId100" display="https://finance.yahoo.com/quote/AAPL/options/?straddle=false&amp;strike=290&amp;type=all" xr:uid="{5E0D3A57-462D-4DA3-923A-2F2810D64258}"/>
    <hyperlink ref="A151" r:id="rId101" display="https://finance.yahoo.com/quote/AAPL251017C00295000/" xr:uid="{3370C043-90F3-449F-BA01-78A432A7FB44}"/>
    <hyperlink ref="C151" r:id="rId102" display="https://finance.yahoo.com/quote/AAPL/options/?straddle=false&amp;strike=295&amp;type=all" xr:uid="{864EBB94-5760-4CB5-84FC-CCC0E191C78B}"/>
    <hyperlink ref="A152" r:id="rId103" display="https://finance.yahoo.com/quote/AAPL251017C00300000/" xr:uid="{C26A84BF-F27C-48F4-9971-5E333071A707}"/>
    <hyperlink ref="C152" r:id="rId104" display="https://finance.yahoo.com/quote/AAPL/options/?straddle=false&amp;strike=300&amp;type=all" xr:uid="{C45CDE6D-D2C5-4F3F-890E-16F156E74338}"/>
    <hyperlink ref="A153" r:id="rId105" display="https://finance.yahoo.com/quote/AAPL251017C00305000/" xr:uid="{B7EE9FF8-C0BC-4A2A-BE1F-158A9D6FD9E1}"/>
    <hyperlink ref="C153" r:id="rId106" display="https://finance.yahoo.com/quote/AAPL/options/?straddle=false&amp;strike=305&amp;type=all" xr:uid="{EDBF34CA-F8A6-43F1-84AA-BA73E659BAE1}"/>
    <hyperlink ref="A154" r:id="rId107" display="https://finance.yahoo.com/quote/AAPL251017C00310000/" xr:uid="{8877C504-897D-4983-8DFC-5A8D80D63021}"/>
    <hyperlink ref="C154" r:id="rId108" display="https://finance.yahoo.com/quote/AAPL/options/?straddle=false&amp;strike=310&amp;type=all" xr:uid="{E167F822-83E0-4576-91B4-0592FDDAB05F}"/>
    <hyperlink ref="A155" r:id="rId109" display="https://finance.yahoo.com/quote/AAPL251017C00315000/" xr:uid="{3661AC4C-C829-4D42-88AD-27C333C94EF8}"/>
    <hyperlink ref="C155" r:id="rId110" display="https://finance.yahoo.com/quote/AAPL/options/?straddle=false&amp;strike=315&amp;type=all" xr:uid="{44B2A731-C7AB-4B5D-A8BD-EDF4ED89633A}"/>
    <hyperlink ref="A156" r:id="rId111" display="https://finance.yahoo.com/quote/AAPL251017C00320000/" xr:uid="{FB349ABF-005C-4350-B743-13F405BF28DA}"/>
    <hyperlink ref="C156" r:id="rId112" display="https://finance.yahoo.com/quote/AAPL/options/?straddle=false&amp;strike=320&amp;type=all" xr:uid="{3A8569BC-8E0F-4AFD-8DAC-5150F54C8A7B}"/>
    <hyperlink ref="A157" r:id="rId113" display="https://finance.yahoo.com/quote/AAPL251017C00325000/" xr:uid="{0E0B4B9C-205D-4E27-A497-35B8226B48B7}"/>
    <hyperlink ref="C157" r:id="rId114" display="https://finance.yahoo.com/quote/AAPL/options/?straddle=false&amp;strike=325&amp;type=all" xr:uid="{A578FA49-2D71-41BE-939B-847874CA79BA}"/>
    <hyperlink ref="A158" r:id="rId115" display="https://finance.yahoo.com/quote/AAPL251017C00330000/" xr:uid="{18656AE9-6851-493C-8D5A-2D8E228989A5}"/>
    <hyperlink ref="C158" r:id="rId116" display="https://finance.yahoo.com/quote/AAPL/options/?straddle=false&amp;strike=330&amp;type=all" xr:uid="{A46A581C-1AF1-4E00-B3C4-DC55A0995023}"/>
    <hyperlink ref="A159" r:id="rId117" display="https://finance.yahoo.com/quote/AAPL251017C00335000/" xr:uid="{CEBA0965-9DC7-45BE-B38B-127271B7186F}"/>
    <hyperlink ref="C159" r:id="rId118" display="https://finance.yahoo.com/quote/AAPL/options/?straddle=false&amp;strike=335&amp;type=all" xr:uid="{579445FA-E1E9-4D21-9EDF-FA2813085A68}"/>
    <hyperlink ref="A160" r:id="rId119" display="https://finance.yahoo.com/quote/AAPL251017C00340000/" xr:uid="{0C05A5FE-68EC-436A-88A7-03C96A9F41A7}"/>
    <hyperlink ref="C160" r:id="rId120" display="https://finance.yahoo.com/quote/AAPL/options/?straddle=false&amp;strike=340&amp;type=all" xr:uid="{DB68D7A9-D643-43E2-8D3F-621A109761BC}"/>
    <hyperlink ref="A161" r:id="rId121" display="https://finance.yahoo.com/quote/AAPL251017C00345000/" xr:uid="{836F10F0-02BD-45BB-A33C-C8819BF877EF}"/>
    <hyperlink ref="C161" r:id="rId122" display="https://finance.yahoo.com/quote/AAPL/options/?straddle=false&amp;strike=345&amp;type=all" xr:uid="{4477772A-4141-4EC0-B639-55D74027E8CA}"/>
    <hyperlink ref="A162" r:id="rId123" display="https://finance.yahoo.com/quote/AAPL251017C00350000/" xr:uid="{A482759E-A457-4AF5-A9CA-0CFD87B150C2}"/>
    <hyperlink ref="C162" r:id="rId124" display="https://finance.yahoo.com/quote/AAPL/options/?straddle=false&amp;strike=350&amp;type=all" xr:uid="{2A732AE9-CB5F-4B0D-83CE-9DD77E026845}"/>
    <hyperlink ref="A163" r:id="rId125" display="https://finance.yahoo.com/quote/AAPL251017C00355000/" xr:uid="{97559547-6F13-4954-9A17-B3EE7801F646}"/>
    <hyperlink ref="C163" r:id="rId126" display="https://finance.yahoo.com/quote/AAPL/options/?straddle=false&amp;strike=355&amp;type=all" xr:uid="{038CCE13-8299-4850-9E62-CCC93ED3FC64}"/>
    <hyperlink ref="A164" r:id="rId127" display="https://finance.yahoo.com/quote/AAPL251017C00360000/" xr:uid="{F57E30A2-7F7B-4FC2-802F-5F16FE8FD1CB}"/>
    <hyperlink ref="C164" r:id="rId128" display="https://finance.yahoo.com/quote/AAPL/options/?straddle=false&amp;strike=360&amp;type=all" xr:uid="{540534D6-D0B0-42F8-B07C-A0F2CEE0D4FF}"/>
    <hyperlink ref="A165" r:id="rId129" display="https://finance.yahoo.com/quote/AAPL251017C00370000/" xr:uid="{8C9B9D31-6CB8-448F-8DA0-37205FD64013}"/>
    <hyperlink ref="C165" r:id="rId130" display="https://finance.yahoo.com/quote/AAPL/options/?straddle=false&amp;strike=370&amp;type=all" xr:uid="{502B0C1C-D3D9-45B5-9543-CA91E5390E07}"/>
    <hyperlink ref="A166" r:id="rId131" display="https://finance.yahoo.com/quote/AAPL251017P00090000/" xr:uid="{22388F9B-69F2-4A0E-944A-632E5113EA4E}"/>
    <hyperlink ref="C166" r:id="rId132" display="https://finance.yahoo.com/quote/AAPL/options/?straddle=false&amp;strike=90&amp;type=all" xr:uid="{A5B974FC-353A-475F-B71F-74BB32C1335D}"/>
    <hyperlink ref="A167" r:id="rId133" display="https://finance.yahoo.com/quote/AAPL251017P00095000/" xr:uid="{920BD429-BD9B-4839-BF8F-5BC70736FB94}"/>
    <hyperlink ref="C167" r:id="rId134" display="https://finance.yahoo.com/quote/AAPL/options/?straddle=false&amp;strike=95&amp;type=all" xr:uid="{062F9072-EF03-4ECF-B180-69793E8F2741}"/>
    <hyperlink ref="A168" r:id="rId135" display="https://finance.yahoo.com/quote/AAPL251017P00100000/" xr:uid="{C04025E7-4CBE-4C43-8A11-FED6250C1245}"/>
    <hyperlink ref="C168" r:id="rId136" display="https://finance.yahoo.com/quote/AAPL/options/?straddle=false&amp;strike=100&amp;type=all" xr:uid="{4C31CE25-F45B-4F99-8FB4-6D7A62F5BB95}"/>
    <hyperlink ref="A169" r:id="rId137" display="https://finance.yahoo.com/quote/AAPL251017P00105000/" xr:uid="{D20AC249-CB16-4D59-839C-A80B52BCEF59}"/>
    <hyperlink ref="C169" r:id="rId138" display="https://finance.yahoo.com/quote/AAPL/options/?straddle=false&amp;strike=105&amp;type=all" xr:uid="{A7E0F3C7-AB29-4E46-AD73-872F4009828C}"/>
    <hyperlink ref="A170" r:id="rId139" display="https://finance.yahoo.com/quote/AAPL251017P00110000/" xr:uid="{FF5B95FB-F7EA-4BD7-A884-AA27C399887D}"/>
    <hyperlink ref="C170" r:id="rId140" display="https://finance.yahoo.com/quote/AAPL/options/?straddle=false&amp;strike=110&amp;type=all" xr:uid="{05D849E1-CBF2-4FBF-B220-34A18228EDC3}"/>
    <hyperlink ref="A171" r:id="rId141" display="https://finance.yahoo.com/quote/AAPL251017P00115000/" xr:uid="{2BEF1310-1C1A-4475-8197-FA6514233BD3}"/>
    <hyperlink ref="C171" r:id="rId142" display="https://finance.yahoo.com/quote/AAPL/options/?straddle=false&amp;strike=115&amp;type=all" xr:uid="{6B6F155F-5DA6-4006-9F06-4BFAAC5DBB68}"/>
    <hyperlink ref="A172" r:id="rId143" display="https://finance.yahoo.com/quote/AAPL251017P00120000/" xr:uid="{EDB8E966-6E09-4444-813B-1D04CA906F8B}"/>
    <hyperlink ref="C172" r:id="rId144" display="https://finance.yahoo.com/quote/AAPL/options/?straddle=false&amp;strike=120&amp;type=all" xr:uid="{977F3F02-AE7E-43A1-89C7-6E43843B7390}"/>
    <hyperlink ref="A173" r:id="rId145" display="https://finance.yahoo.com/quote/AAPL251017P00125000/" xr:uid="{12E079E5-7F04-4CDB-B887-020E2C925FF5}"/>
    <hyperlink ref="C173" r:id="rId146" display="https://finance.yahoo.com/quote/AAPL/options/?straddle=false&amp;strike=125&amp;type=all" xr:uid="{8D2A3CC7-5DA3-43AD-B1F9-6A006A1DDFB1}"/>
    <hyperlink ref="A174" r:id="rId147" display="https://finance.yahoo.com/quote/AAPL251017P00130000/" xr:uid="{C17B4197-03BF-402E-8056-D17D03F1AA7D}"/>
    <hyperlink ref="C174" r:id="rId148" display="https://finance.yahoo.com/quote/AAPL/options/?straddle=false&amp;strike=130&amp;type=all" xr:uid="{A98DB8D3-229F-4C9C-A37A-4E92919A03CB}"/>
    <hyperlink ref="A175" r:id="rId149" display="https://finance.yahoo.com/quote/AAPL251017P00135000/" xr:uid="{9BCC5F11-353D-4655-B15E-12E9BF582A95}"/>
    <hyperlink ref="C175" r:id="rId150" display="https://finance.yahoo.com/quote/AAPL/options/?straddle=false&amp;strike=135&amp;type=all" xr:uid="{481DA810-5D98-4B60-AFF5-A20131456016}"/>
    <hyperlink ref="A176" r:id="rId151" display="https://finance.yahoo.com/quote/AAPL251017P00140000/" xr:uid="{2AA3598E-6EB5-4781-8041-204B12B9FCCE}"/>
    <hyperlink ref="C176" r:id="rId152" display="https://finance.yahoo.com/quote/AAPL/options/?straddle=false&amp;strike=140&amp;type=all" xr:uid="{488DCFC9-CD71-4FB8-A21A-299F483D4A2F}"/>
    <hyperlink ref="A177" r:id="rId153" display="https://finance.yahoo.com/quote/AAPL251017P00145000/" xr:uid="{99AECE42-0CB4-4ED2-9A32-21D0499A462F}"/>
    <hyperlink ref="C177" r:id="rId154" display="https://finance.yahoo.com/quote/AAPL/options/?straddle=false&amp;strike=145&amp;type=all" xr:uid="{82C238C4-8DEE-492E-B1CB-562AE4762948}"/>
    <hyperlink ref="A178" r:id="rId155" display="https://finance.yahoo.com/quote/AAPL251017P00150000/" xr:uid="{50840FD7-8D0A-4B00-BBF1-C8878450ABE2}"/>
    <hyperlink ref="C178" r:id="rId156" display="https://finance.yahoo.com/quote/AAPL/options/?straddle=false&amp;strike=150&amp;type=all" xr:uid="{6134F54D-504A-4AA3-9D69-92003C08CAC9}"/>
    <hyperlink ref="A179" r:id="rId157" display="https://finance.yahoo.com/quote/AAPL251017P00155000/" xr:uid="{A23C57D3-5188-4141-8171-6A35FE06676A}"/>
    <hyperlink ref="C179" r:id="rId158" display="https://finance.yahoo.com/quote/AAPL/options/?straddle=false&amp;strike=155&amp;type=all" xr:uid="{5F3D757D-3A10-43EB-817B-AB24DB9A1878}"/>
    <hyperlink ref="A180" r:id="rId159" display="https://finance.yahoo.com/quote/AAPL251017P00160000/" xr:uid="{B43F6E9A-8723-4A65-9791-A9D7401C9116}"/>
    <hyperlink ref="C180" r:id="rId160" display="https://finance.yahoo.com/quote/AAPL/options/?straddle=false&amp;strike=160&amp;type=all" xr:uid="{0A197196-2FAC-4FBD-AA46-C30FA279B8A2}"/>
    <hyperlink ref="A181" r:id="rId161" display="https://finance.yahoo.com/quote/AAPL251017P00165000/" xr:uid="{0338BD14-452B-44A6-BE92-3675AF91F625}"/>
    <hyperlink ref="C181" r:id="rId162" display="https://finance.yahoo.com/quote/AAPL/options/?straddle=false&amp;strike=165&amp;type=all" xr:uid="{949DEFDD-3B77-4593-9F37-8117B2EA19A6}"/>
    <hyperlink ref="A182" r:id="rId163" display="https://finance.yahoo.com/quote/AAPL251017P00170000/" xr:uid="{988BBFFB-6588-40A3-A5F3-44E5D36BC483}"/>
    <hyperlink ref="C182" r:id="rId164" display="https://finance.yahoo.com/quote/AAPL/options/?straddle=false&amp;strike=170&amp;type=all" xr:uid="{9AAA8636-3B52-4832-AA55-A5CE183775F1}"/>
    <hyperlink ref="A183" r:id="rId165" display="https://finance.yahoo.com/quote/AAPL251017P00175000/" xr:uid="{22142EC0-1F2D-40A5-9749-391558F0943E}"/>
    <hyperlink ref="C183" r:id="rId166" display="https://finance.yahoo.com/quote/AAPL/options/?straddle=false&amp;strike=175&amp;type=all" xr:uid="{A6BF6FD9-319C-4B06-BEFA-5D974268CDF3}"/>
    <hyperlink ref="A184" r:id="rId167" display="https://finance.yahoo.com/quote/AAPL251017P00180000/" xr:uid="{29096C74-81A2-4F63-817D-9D4B992ACDD1}"/>
    <hyperlink ref="C184" r:id="rId168" display="https://finance.yahoo.com/quote/AAPL/options/?straddle=false&amp;strike=180&amp;type=all" xr:uid="{5DB2D10B-1042-46D4-B713-128F3A65B3D4}"/>
    <hyperlink ref="A185" r:id="rId169" display="https://finance.yahoo.com/quote/AAPL251017P00185000/" xr:uid="{1242D1E3-1F76-40C4-B512-3F3DAB52982C}"/>
    <hyperlink ref="C185" r:id="rId170" display="https://finance.yahoo.com/quote/AAPL/options/?straddle=false&amp;strike=185&amp;type=all" xr:uid="{B2109738-204A-4601-96E6-27807A1DEFB0}"/>
    <hyperlink ref="A186" r:id="rId171" display="https://finance.yahoo.com/quote/AAPL251017P00190000/" xr:uid="{D6F1D0F4-D2B1-4E6F-86B0-FFB2E4198342}"/>
    <hyperlink ref="C186" r:id="rId172" display="https://finance.yahoo.com/quote/AAPL/options/?straddle=false&amp;strike=190&amp;type=all" xr:uid="{E9600F21-C4BC-4B4C-8247-283CFCF345AB}"/>
    <hyperlink ref="A187" r:id="rId173" display="https://finance.yahoo.com/quote/AAPL251017P00195000/" xr:uid="{005E77DE-9D93-4920-B412-021116951BEB}"/>
    <hyperlink ref="C187" r:id="rId174" display="https://finance.yahoo.com/quote/AAPL/options/?straddle=false&amp;strike=195&amp;type=all" xr:uid="{65E44080-97FA-403A-9ED4-1AC0DF3DE38E}"/>
    <hyperlink ref="A188" r:id="rId175" display="https://finance.yahoo.com/quote/AAPL251017P00200000/" xr:uid="{A348B5AE-38C4-45AA-9E2C-6D63D7866741}"/>
    <hyperlink ref="C188" r:id="rId176" display="https://finance.yahoo.com/quote/AAPL/options/?straddle=false&amp;strike=200&amp;type=all" xr:uid="{DB07CB1C-80EA-4579-A73B-6A2AAC49642C}"/>
    <hyperlink ref="A189" r:id="rId177" display="https://finance.yahoo.com/quote/AAPL251017P00205000/" xr:uid="{877B9E2C-B0C1-4C8D-8698-A89451CDCA23}"/>
    <hyperlink ref="C189" r:id="rId178" display="https://finance.yahoo.com/quote/AAPL/options/?straddle=false&amp;strike=205&amp;type=all" xr:uid="{32BE7327-E079-4AE0-A2FB-2FF17181894A}"/>
    <hyperlink ref="A190" r:id="rId179" display="https://finance.yahoo.com/quote/AAPL251017P00210000/" xr:uid="{3B120DAA-8B51-4BF1-88A8-14B214EFEE3D}"/>
    <hyperlink ref="C190" r:id="rId180" display="https://finance.yahoo.com/quote/AAPL/options/?straddle=false&amp;strike=210&amp;type=all" xr:uid="{DE5ACE7C-81BA-4ED5-87A3-8D10C420BF5A}"/>
    <hyperlink ref="A191" r:id="rId181" display="https://finance.yahoo.com/quote/AAPL251017P00215000/" xr:uid="{522631E7-2D44-405A-9C45-87C6BB72B8BB}"/>
    <hyperlink ref="C191" r:id="rId182" display="https://finance.yahoo.com/quote/AAPL/options/?straddle=false&amp;strike=215&amp;type=all" xr:uid="{16F037B2-0FB1-41DC-B5BF-0C9C8151E952}"/>
    <hyperlink ref="A192" r:id="rId183" display="https://finance.yahoo.com/quote/AAPL251017P00217500/" xr:uid="{8798F2EC-55E5-48E4-8875-00AF4FE67ECE}"/>
    <hyperlink ref="C192" r:id="rId184" display="https://finance.yahoo.com/quote/AAPL/options/?straddle=false&amp;strike=217.5&amp;type=all" xr:uid="{7572A326-1F2C-49B3-8FD2-407691729C19}"/>
    <hyperlink ref="A193" r:id="rId185" display="https://finance.yahoo.com/quote/AAPL251017P00220000/" xr:uid="{872A7D61-AACD-4B71-AB44-5BA7F8825B71}"/>
    <hyperlink ref="C193" r:id="rId186" display="https://finance.yahoo.com/quote/AAPL/options/?straddle=false&amp;strike=220&amp;type=all" xr:uid="{00F5DFF2-B6C3-4ACC-B739-4D7D7C099564}"/>
    <hyperlink ref="A194" r:id="rId187" display="https://finance.yahoo.com/quote/AAPL251017P00222500/" xr:uid="{F3C28A71-2601-40D0-BD77-B3C07F6FA010}"/>
    <hyperlink ref="C194" r:id="rId188" display="https://finance.yahoo.com/quote/AAPL/options/?straddle=false&amp;strike=222.5&amp;type=all" xr:uid="{EF5B98BF-B8CE-4C53-96C6-3E9FB41EAAC6}"/>
    <hyperlink ref="A195" r:id="rId189" display="https://finance.yahoo.com/quote/AAPL251017P00225000/" xr:uid="{C284E78A-D8C4-4687-8A24-CB2F2197F7F6}"/>
    <hyperlink ref="C195" r:id="rId190" display="https://finance.yahoo.com/quote/AAPL/options/?straddle=false&amp;strike=225&amp;type=all" xr:uid="{1F0521E3-54AF-496A-A0A3-4D908FAE2728}"/>
    <hyperlink ref="A196" r:id="rId191" display="https://finance.yahoo.com/quote/AAPL251017P00227500/" xr:uid="{C8B85216-0DEE-4CA6-BCBD-7987830D9D1A}"/>
    <hyperlink ref="C196" r:id="rId192" display="https://finance.yahoo.com/quote/AAPL/options/?straddle=false&amp;strike=227.5&amp;type=all" xr:uid="{3621E1C8-961B-4546-9276-1DF1D89E7B67}"/>
    <hyperlink ref="A197" r:id="rId193" display="https://finance.yahoo.com/quote/AAPL251017P00230000/" xr:uid="{ED990F17-B141-4543-889C-50D702DE49BE}"/>
    <hyperlink ref="C197" r:id="rId194" display="https://finance.yahoo.com/quote/AAPL/options/?straddle=false&amp;strike=230&amp;type=all" xr:uid="{70821589-6826-4AD1-969D-DCDD8B694D7B}"/>
    <hyperlink ref="A198" r:id="rId195" display="https://finance.yahoo.com/quote/AAPL251017P00232500/" xr:uid="{0E8740E3-EBF9-468A-9999-C1D8D5A33FC3}"/>
    <hyperlink ref="C198" r:id="rId196" display="https://finance.yahoo.com/quote/AAPL/options/?straddle=false&amp;strike=232.5&amp;type=all" xr:uid="{A5A27D4E-E5C6-4348-905C-5BFF45C28C57}"/>
    <hyperlink ref="A199" r:id="rId197" display="https://finance.yahoo.com/quote/AAPL251017P00235000/" xr:uid="{1A03F69B-BCA2-42D1-AC5D-8DD829882580}"/>
    <hyperlink ref="C199" r:id="rId198" display="https://finance.yahoo.com/quote/AAPL/options/?straddle=false&amp;strike=235&amp;type=all" xr:uid="{338065C8-940E-4F18-884F-9FA6603E198A}"/>
    <hyperlink ref="A200" r:id="rId199" display="https://finance.yahoo.com/quote/AAPL251017P00237500/" xr:uid="{352FD095-CB55-4D00-9095-1E0570A4AA33}"/>
    <hyperlink ref="C200" r:id="rId200" display="https://finance.yahoo.com/quote/AAPL/options/?straddle=false&amp;strike=237.5&amp;type=all" xr:uid="{02DCC400-6841-409A-86E4-AB80F3271B88}"/>
    <hyperlink ref="A201" r:id="rId201" display="https://finance.yahoo.com/quote/AAPL251017P00240000/" xr:uid="{A94A50FA-4BAB-4E4F-B9A8-48801725B76B}"/>
    <hyperlink ref="C201" r:id="rId202" display="https://finance.yahoo.com/quote/AAPL/options/?straddle=false&amp;strike=240&amp;type=all" xr:uid="{EA369B96-B89C-4532-94C0-E9B79398EE4B}"/>
    <hyperlink ref="A202" r:id="rId203" display="https://finance.yahoo.com/quote/AAPL251017P00242500/" xr:uid="{332B29A8-F993-4341-BB12-E574EA145DB4}"/>
    <hyperlink ref="C202" r:id="rId204" display="https://finance.yahoo.com/quote/AAPL/options/?straddle=false&amp;strike=242.5&amp;type=all" xr:uid="{9B6F24E2-3C79-4C21-ACCC-B3FF20F8D59A}"/>
    <hyperlink ref="A203" r:id="rId205" display="https://finance.yahoo.com/quote/AAPL251017P00245000/" xr:uid="{2A92A3BB-9971-4FA3-80D6-8F4BBAF0AF79}"/>
    <hyperlink ref="C203" r:id="rId206" display="https://finance.yahoo.com/quote/AAPL/options/?straddle=false&amp;strike=245&amp;type=all" xr:uid="{F4AE2D15-73FE-41E5-8569-4035E51C07A0}"/>
    <hyperlink ref="A204" r:id="rId207" display="https://finance.yahoo.com/quote/AAPL251017P00247500/" xr:uid="{63F4D426-C681-4398-9B47-D0783C9E3926}"/>
    <hyperlink ref="C204" r:id="rId208" display="https://finance.yahoo.com/quote/AAPL/options/?straddle=false&amp;strike=247.5&amp;type=all" xr:uid="{0D1C6300-6A6E-4830-A8D6-7F681C7EB5DB}"/>
    <hyperlink ref="A205" r:id="rId209" display="https://finance.yahoo.com/quote/AAPL251017P00250000/" xr:uid="{64ED1F51-887B-4314-BF7F-96D6C4586C9B}"/>
    <hyperlink ref="C205" r:id="rId210" display="https://finance.yahoo.com/quote/AAPL/options/?straddle=false&amp;strike=250&amp;type=all" xr:uid="{5462F301-9504-422A-B286-B48A6955E37A}"/>
    <hyperlink ref="A206" r:id="rId211" display="https://finance.yahoo.com/quote/AAPL251017P00252500/" xr:uid="{618E501C-2F9A-4EF1-9FF6-D50B25EA1D61}"/>
    <hyperlink ref="C206" r:id="rId212" display="https://finance.yahoo.com/quote/AAPL/options/?straddle=false&amp;strike=252.5&amp;type=all" xr:uid="{5287EF68-CA43-4FAB-8466-BD9F46F7DA02}"/>
    <hyperlink ref="A207" r:id="rId213" display="https://finance.yahoo.com/quote/AAPL251017P00255000/" xr:uid="{99992029-0840-44AD-9A4D-B5F2B0186BE5}"/>
    <hyperlink ref="C207" r:id="rId214" display="https://finance.yahoo.com/quote/AAPL/options/?straddle=false&amp;strike=255&amp;type=all" xr:uid="{4F9539BF-9B30-4676-AEAD-78D048545FFB}"/>
    <hyperlink ref="A208" r:id="rId215" display="https://finance.yahoo.com/quote/AAPL251017P00257500/" xr:uid="{E1982263-6397-4B20-860B-058893DDCEF3}"/>
    <hyperlink ref="C208" r:id="rId216" display="https://finance.yahoo.com/quote/AAPL/options/?straddle=false&amp;strike=257.5&amp;type=all" xr:uid="{00E7E89F-D2F4-434C-A504-8D24E0F87EB3}"/>
    <hyperlink ref="A209" r:id="rId217" display="https://finance.yahoo.com/quote/AAPL251017P00260000/" xr:uid="{A3AD6AA8-0564-4122-B669-150413B44997}"/>
    <hyperlink ref="C209" r:id="rId218" display="https://finance.yahoo.com/quote/AAPL/options/?straddle=false&amp;strike=260&amp;type=all" xr:uid="{56B1827B-2A1B-4CAA-BAD2-3A13DF7E93E9}"/>
    <hyperlink ref="A210" r:id="rId219" display="https://finance.yahoo.com/quote/AAPL251017P00262500/" xr:uid="{2EE3B878-9A66-4917-AB68-76E39935E134}"/>
    <hyperlink ref="C210" r:id="rId220" display="https://finance.yahoo.com/quote/AAPL/options/?straddle=false&amp;strike=262.5&amp;type=all" xr:uid="{A0E79F52-AAF2-4519-B9EC-E3E6C356FD3A}"/>
    <hyperlink ref="A211" r:id="rId221" display="https://finance.yahoo.com/quote/AAPL251017P00265000/" xr:uid="{D64C5825-C7CA-4025-A0EE-CECC71BD89F6}"/>
    <hyperlink ref="C211" r:id="rId222" display="https://finance.yahoo.com/quote/AAPL/options/?straddle=false&amp;strike=265&amp;type=all" xr:uid="{84EC5583-4773-4C3E-98C7-A633F2889B00}"/>
    <hyperlink ref="A212" r:id="rId223" display="https://finance.yahoo.com/quote/AAPL251017P00267500/" xr:uid="{8FB28452-1729-4098-B96D-50CE53CF51AA}"/>
    <hyperlink ref="C212" r:id="rId224" display="https://finance.yahoo.com/quote/AAPL/options/?straddle=false&amp;strike=267.5&amp;type=all" xr:uid="{678FE527-5E4C-4E56-BC68-D9D67CB2570E}"/>
    <hyperlink ref="A213" r:id="rId225" display="https://finance.yahoo.com/quote/AAPL251017P00270000/" xr:uid="{6C39C936-1483-4C67-B820-21FA71246ED8}"/>
    <hyperlink ref="C213" r:id="rId226" display="https://finance.yahoo.com/quote/AAPL/options/?straddle=false&amp;strike=270&amp;type=all" xr:uid="{06A5D7EF-34AC-4616-9503-741306A32FBE}"/>
    <hyperlink ref="A214" r:id="rId227" display="https://finance.yahoo.com/quote/AAPL251017P00275000/" xr:uid="{95A9C447-1527-4E5F-818C-DBFDA343E04D}"/>
    <hyperlink ref="C214" r:id="rId228" display="https://finance.yahoo.com/quote/AAPL/options/?straddle=false&amp;strike=275&amp;type=all" xr:uid="{07F0E010-37F8-4C5C-9477-4FB3AA418579}"/>
    <hyperlink ref="A215" r:id="rId229" display="https://finance.yahoo.com/quote/AAPL251017P00280000/" xr:uid="{BF533F21-FAFD-43C5-AA5F-6ACBC94E052A}"/>
    <hyperlink ref="C215" r:id="rId230" display="https://finance.yahoo.com/quote/AAPL/options/?straddle=false&amp;strike=280&amp;type=all" xr:uid="{0CAEE77C-74C0-4BB3-93B3-7EAF2085CF0B}"/>
    <hyperlink ref="A216" r:id="rId231" display="https://finance.yahoo.com/quote/AAPL251017P00285000/" xr:uid="{FB2C62B6-EF91-4ECD-A81B-B5875F3DB70E}"/>
    <hyperlink ref="C216" r:id="rId232" display="https://finance.yahoo.com/quote/AAPL/options/?straddle=false&amp;strike=285&amp;type=all" xr:uid="{AA8CA3F7-3ECD-42D4-BF95-B7BDEC18ECC4}"/>
    <hyperlink ref="A217" r:id="rId233" display="https://finance.yahoo.com/quote/AAPL251017P00290000/" xr:uid="{555B0D06-2027-4B9A-B453-A37B14F43B13}"/>
    <hyperlink ref="C217" r:id="rId234" display="https://finance.yahoo.com/quote/AAPL/options/?straddle=false&amp;strike=290&amp;type=all" xr:uid="{EE88EDCE-3E2E-4E69-B8EF-31D068BB7FEA}"/>
    <hyperlink ref="A218" r:id="rId235" display="https://finance.yahoo.com/quote/AAPL251017P00295000/" xr:uid="{7122A9E6-4586-4930-862D-ADFC3599DB84}"/>
    <hyperlink ref="C218" r:id="rId236" display="https://finance.yahoo.com/quote/AAPL/options/?straddle=false&amp;strike=295&amp;type=all" xr:uid="{7588A764-3274-4C73-BB53-B7330833572E}"/>
    <hyperlink ref="A219" r:id="rId237" display="https://finance.yahoo.com/quote/AAPL251017P00300000/" xr:uid="{F3F5D407-3B83-433A-A0AB-0BBE30AFDE05}"/>
    <hyperlink ref="C219" r:id="rId238" display="https://finance.yahoo.com/quote/AAPL/options/?straddle=false&amp;strike=300&amp;type=all" xr:uid="{4E1D8990-A3C3-4C5B-854B-468939E95ED8}"/>
    <hyperlink ref="A220" r:id="rId239" display="https://finance.yahoo.com/quote/AAPL251017P00305000/" xr:uid="{C8AB33C2-2A92-4E20-8B16-49BAAE9991E0}"/>
    <hyperlink ref="C220" r:id="rId240" display="https://finance.yahoo.com/quote/AAPL/options/?straddle=false&amp;strike=305&amp;type=all" xr:uid="{543D86A7-B6F1-41E8-A75F-E14A475B86E4}"/>
    <hyperlink ref="A221" r:id="rId241" display="https://finance.yahoo.com/quote/AAPL251017P00315000/" xr:uid="{3277BF0B-9C8D-4C29-8BC2-F9FB85A5BE3D}"/>
    <hyperlink ref="C221" r:id="rId242" display="https://finance.yahoo.com/quote/AAPL/options/?straddle=false&amp;strike=315&amp;type=all" xr:uid="{2A790E87-B090-4289-93B6-3C21C318C13B}"/>
    <hyperlink ref="A222" r:id="rId243" display="https://finance.yahoo.com/quote/AAPL251017P00320000/" xr:uid="{117325AB-0130-442B-87AD-86528F579796}"/>
    <hyperlink ref="C222" r:id="rId244" display="https://finance.yahoo.com/quote/AAPL/options/?straddle=false&amp;strike=320&amp;type=all" xr:uid="{2571DC05-FF02-4F55-88CC-43CECF8BD130}"/>
    <hyperlink ref="A223" r:id="rId245" display="https://finance.yahoo.com/quote/AAPL251017P00330000/" xr:uid="{F0948795-FE3E-4BC5-AA21-79B7ED8FEE2F}"/>
    <hyperlink ref="C223" r:id="rId246" display="https://finance.yahoo.com/quote/AAPL/options/?straddle=false&amp;strike=330&amp;type=all" xr:uid="{C6E153F9-043F-4674-B126-7CAC252B3EC3}"/>
    <hyperlink ref="A224" r:id="rId247" display="https://finance.yahoo.com/quote/AAPL251017P00335000/" xr:uid="{5CC3C6A8-ADC6-4296-88BA-35E3F5833DA4}"/>
    <hyperlink ref="C224" r:id="rId248" display="https://finance.yahoo.com/quote/AAPL/options/?straddle=false&amp;strike=335&amp;type=all" xr:uid="{B3B81E56-C1BB-4A7C-82FE-C6B782D93DD5}"/>
    <hyperlink ref="A225" r:id="rId249" display="https://finance.yahoo.com/quote/AAPL251017P00355000/" xr:uid="{8F30A4B2-8817-4654-9988-585C84F6A3FC}"/>
    <hyperlink ref="C225" r:id="rId250" display="https://finance.yahoo.com/quote/AAPL/options/?straddle=false&amp;strike=355&amp;type=all" xr:uid="{B4084039-3182-488F-9076-EFE151CFF377}"/>
    <hyperlink ref="A226" r:id="rId251" display="https://finance.yahoo.com/quote/AAPL251017P00360000/" xr:uid="{FFE0D67D-C574-404F-8F7E-A00ECDF85CB7}"/>
    <hyperlink ref="C226" r:id="rId252" display="https://finance.yahoo.com/quote/AAPL/options/?straddle=false&amp;strike=360&amp;type=all" xr:uid="{5C7FA2E3-B3E1-4D35-B4CB-5ADDCF7593FF}"/>
    <hyperlink ref="A227" r:id="rId253" display="https://finance.yahoo.com/quote/AAPL251017P00370000/" xr:uid="{33256C7C-4BD6-4384-854B-2260F008CA20}"/>
    <hyperlink ref="C227" r:id="rId254" display="https://finance.yahoo.com/quote/AAPL/options/?straddle=false&amp;strike=370&amp;type=all" xr:uid="{B4DA42D8-25FA-4DDF-82F1-19FAC651BBBA}"/>
    <hyperlink ref="A228" r:id="rId255" display="https://finance.yahoo.com/quote/AAPL251024C00110000/" xr:uid="{A5ED37AF-B2B6-48D3-AC88-03F12FDFB5D0}"/>
    <hyperlink ref="C228" r:id="rId256" display="https://finance.yahoo.com/quote/AAPL/options/?straddle=false&amp;strike=110&amp;type=all" xr:uid="{AE3D9F20-C626-48FA-A5E7-ADF713C8E33D}"/>
    <hyperlink ref="A229" r:id="rId257" display="https://finance.yahoo.com/quote/AAPL251024C00120000/" xr:uid="{56295B52-8AD2-4FE8-A1E2-6E5DBC1C502B}"/>
    <hyperlink ref="C229" r:id="rId258" display="https://finance.yahoo.com/quote/AAPL/options/?straddle=false&amp;strike=120&amp;type=all" xr:uid="{AFD72075-ECD7-44FA-A50D-902FF9B8073C}"/>
    <hyperlink ref="A230" r:id="rId259" display="https://finance.yahoo.com/quote/AAPL251024C00140000/" xr:uid="{1235FC66-98C2-4066-9727-B207F1D03A32}"/>
    <hyperlink ref="C230" r:id="rId260" display="https://finance.yahoo.com/quote/AAPL/options/?straddle=false&amp;strike=140&amp;type=all" xr:uid="{B5E05EBD-92FC-421A-80E0-A31FE846D46B}"/>
    <hyperlink ref="A231" r:id="rId261" display="https://finance.yahoo.com/quote/AAPL251024C00165000/" xr:uid="{9A27CF0B-B802-47F1-99C2-BE0EB5E4E4B9}"/>
    <hyperlink ref="C231" r:id="rId262" display="https://finance.yahoo.com/quote/AAPL/options/?straddle=false&amp;strike=165&amp;type=all" xr:uid="{4E720857-257E-4BCA-B7EC-A47E72ACFBF6}"/>
    <hyperlink ref="A232" r:id="rId263" display="https://finance.yahoo.com/quote/AAPL251024C00170000/" xr:uid="{E8C77B1D-3390-45C8-801B-ECF21D974457}"/>
    <hyperlink ref="C232" r:id="rId264" display="https://finance.yahoo.com/quote/AAPL/options/?straddle=false&amp;strike=170&amp;type=all" xr:uid="{596EB49F-2048-4D94-AC66-F851C3DB5227}"/>
    <hyperlink ref="A233" r:id="rId265" display="https://finance.yahoo.com/quote/AAPL251024C00175000/" xr:uid="{BD1C6EED-60BA-4D08-8634-1014648896CD}"/>
    <hyperlink ref="C233" r:id="rId266" display="https://finance.yahoo.com/quote/AAPL/options/?straddle=false&amp;strike=175&amp;type=all" xr:uid="{A2A6DB91-B09F-4115-8F83-B8DF9ED5566A}"/>
    <hyperlink ref="A234" r:id="rId267" display="https://finance.yahoo.com/quote/AAPL251024C00180000/" xr:uid="{B8B0AC87-B204-4518-8787-A57E6A05BDC4}"/>
    <hyperlink ref="C234" r:id="rId268" display="https://finance.yahoo.com/quote/AAPL/options/?straddle=false&amp;strike=180&amp;type=all" xr:uid="{5A8D45C3-25AB-4745-A76A-F1226A63E85C}"/>
    <hyperlink ref="A235" r:id="rId269" display="https://finance.yahoo.com/quote/AAPL251024C00185000/" xr:uid="{7E3B304F-96AB-420C-8904-C3CD6290B5E2}"/>
    <hyperlink ref="C235" r:id="rId270" display="https://finance.yahoo.com/quote/AAPL/options/?straddle=false&amp;strike=185&amp;type=all" xr:uid="{FD8E9602-1160-4C01-A834-A48C0C55D35F}"/>
    <hyperlink ref="A236" r:id="rId271" display="https://finance.yahoo.com/quote/AAPL251024C00190000/" xr:uid="{26CDE365-C2B9-42BD-8F4A-18EDCC6126D9}"/>
    <hyperlink ref="C236" r:id="rId272" display="https://finance.yahoo.com/quote/AAPL/options/?straddle=false&amp;strike=190&amp;type=all" xr:uid="{457E9574-E3B9-4951-8E31-9DD99576D021}"/>
    <hyperlink ref="A237" r:id="rId273" display="https://finance.yahoo.com/quote/AAPL251024C00195000/" xr:uid="{A1BBE4C5-599C-43BA-9EBA-260F0254DFCA}"/>
    <hyperlink ref="C237" r:id="rId274" display="https://finance.yahoo.com/quote/AAPL/options/?straddle=false&amp;strike=195&amp;type=all" xr:uid="{9AD03279-5AB8-4662-B228-37722B13998A}"/>
    <hyperlink ref="A238" r:id="rId275" display="https://finance.yahoo.com/quote/AAPL251024C00200000/" xr:uid="{C68275CB-7D23-4111-8218-2652E5F1EFFC}"/>
    <hyperlink ref="C238" r:id="rId276" display="https://finance.yahoo.com/quote/AAPL/options/?straddle=false&amp;strike=200&amp;type=all" xr:uid="{C186A83D-899D-4F5E-8302-0C0D7915E954}"/>
    <hyperlink ref="A239" r:id="rId277" display="https://finance.yahoo.com/quote/AAPL251024C00205000/" xr:uid="{8E4C40F0-3898-4F68-B875-1FF722EDE279}"/>
    <hyperlink ref="C239" r:id="rId278" display="https://finance.yahoo.com/quote/AAPL/options/?straddle=false&amp;strike=205&amp;type=all" xr:uid="{FBF8A8A0-6CA6-436B-9A34-A5C3F67303E1}"/>
    <hyperlink ref="A240" r:id="rId279" display="https://finance.yahoo.com/quote/AAPL251024C00210000/" xr:uid="{F1677ECC-6B40-4F95-88ED-C3A226B0C224}"/>
    <hyperlink ref="C240" r:id="rId280" display="https://finance.yahoo.com/quote/AAPL/options/?straddle=false&amp;strike=210&amp;type=all" xr:uid="{28E7A2CD-5A50-4054-AF8C-B86E79256183}"/>
    <hyperlink ref="A241" r:id="rId281" display="https://finance.yahoo.com/quote/AAPL251024C00215000/" xr:uid="{16D67315-7A7C-4A92-ABD1-D5883208B925}"/>
    <hyperlink ref="C241" r:id="rId282" display="https://finance.yahoo.com/quote/AAPL/options/?straddle=false&amp;strike=215&amp;type=all" xr:uid="{7F2B6F78-DCBD-4988-8D12-727EC48E9945}"/>
    <hyperlink ref="A242" r:id="rId283" display="https://finance.yahoo.com/quote/AAPL251024C00220000/" xr:uid="{ED8A7947-9F61-4F3E-B9AB-EB0485307775}"/>
    <hyperlink ref="C242" r:id="rId284" display="https://finance.yahoo.com/quote/AAPL/options/?straddle=false&amp;strike=220&amp;type=all" xr:uid="{961864F8-81C8-4D83-9050-1E5963E5AB60}"/>
    <hyperlink ref="A243" r:id="rId285" display="https://finance.yahoo.com/quote/AAPL251024C00225000/" xr:uid="{DF301B0E-6547-45FD-944A-FC04FDF4DC12}"/>
    <hyperlink ref="C243" r:id="rId286" display="https://finance.yahoo.com/quote/AAPL/options/?straddle=false&amp;strike=225&amp;type=all" xr:uid="{6E104530-2E00-42CE-813F-384A6656A994}"/>
    <hyperlink ref="A244" r:id="rId287" display="https://finance.yahoo.com/quote/AAPL251024C00230000/" xr:uid="{E561F8C7-38EA-4AAC-9C67-A877A04AE852}"/>
    <hyperlink ref="C244" r:id="rId288" display="https://finance.yahoo.com/quote/AAPL/options/?straddle=false&amp;strike=230&amp;type=all" xr:uid="{8E5561F4-B558-45A2-A4BD-1DF3BD7A50FD}"/>
    <hyperlink ref="A245" r:id="rId289" display="https://finance.yahoo.com/quote/AAPL251024C00235000/" xr:uid="{C16C888C-8034-49F0-9B76-BFEECD2823AB}"/>
    <hyperlink ref="C245" r:id="rId290" display="https://finance.yahoo.com/quote/AAPL/options/?straddle=false&amp;strike=235&amp;type=all" xr:uid="{914A5FBC-3DDC-47BE-A37A-C0EA7F511962}"/>
    <hyperlink ref="A246" r:id="rId291" display="https://finance.yahoo.com/quote/AAPL251024C00240000/" xr:uid="{3225E6E9-D491-435A-B5B7-E1D2BC5C4C8A}"/>
    <hyperlink ref="C246" r:id="rId292" display="https://finance.yahoo.com/quote/AAPL/options/?straddle=false&amp;strike=240&amp;type=all" xr:uid="{C0639BA5-F678-4703-A6DE-DB4F3764E0D0}"/>
    <hyperlink ref="A247" r:id="rId293" display="https://finance.yahoo.com/quote/AAPL251024C00245000/" xr:uid="{5100C0FB-AF10-4E68-B40E-978C85FEB2E5}"/>
    <hyperlink ref="C247" r:id="rId294" display="https://finance.yahoo.com/quote/AAPL/options/?straddle=false&amp;strike=245&amp;type=all" xr:uid="{DF81B70E-D4B7-432F-BA80-486519560198}"/>
    <hyperlink ref="A248" r:id="rId295" display="https://finance.yahoo.com/quote/AAPL251024C00250000/" xr:uid="{DA2E8439-3B40-459D-ADBE-2E9479D4373F}"/>
    <hyperlink ref="C248" r:id="rId296" display="https://finance.yahoo.com/quote/AAPL/options/?straddle=false&amp;strike=250&amp;type=all" xr:uid="{D1DA8128-4367-46C0-8106-43373E570BF2}"/>
    <hyperlink ref="A249" r:id="rId297" display="https://finance.yahoo.com/quote/AAPL251024C00255000/" xr:uid="{D2F3C766-BFC3-484F-AF8D-FA599B84D960}"/>
    <hyperlink ref="C249" r:id="rId298" display="https://finance.yahoo.com/quote/AAPL/options/?straddle=false&amp;strike=255&amp;type=all" xr:uid="{251FB2B6-0DB7-48B7-9C5E-0A61C0D0CA44}"/>
    <hyperlink ref="A250" r:id="rId299" display="https://finance.yahoo.com/quote/AAPL251024C00260000/" xr:uid="{CB780C53-EA6E-4222-B7BE-B23640E6CDCD}"/>
    <hyperlink ref="C250" r:id="rId300" display="https://finance.yahoo.com/quote/AAPL/options/?straddle=false&amp;strike=260&amp;type=all" xr:uid="{73529A75-63E6-4E38-86FB-EFB035FDD193}"/>
    <hyperlink ref="A251" r:id="rId301" display="https://finance.yahoo.com/quote/AAPL251024C00265000/" xr:uid="{BF3B5DED-3FA8-47D9-8042-EF8648D1D83B}"/>
    <hyperlink ref="C251" r:id="rId302" display="https://finance.yahoo.com/quote/AAPL/options/?straddle=false&amp;strike=265&amp;type=all" xr:uid="{982CF346-F96C-480A-95AE-28BBE479205D}"/>
    <hyperlink ref="A252" r:id="rId303" display="https://finance.yahoo.com/quote/AAPL251024C00270000/" xr:uid="{B32DC81E-D3F3-43D3-8CD7-479D0F04331C}"/>
    <hyperlink ref="C252" r:id="rId304" display="https://finance.yahoo.com/quote/AAPL/options/?straddle=false&amp;strike=270&amp;type=all" xr:uid="{6B8E655C-DB30-4CE3-BC3D-29A932E6E0BB}"/>
    <hyperlink ref="A253" r:id="rId305" display="https://finance.yahoo.com/quote/AAPL251024C00275000/" xr:uid="{FAB0C4EC-FD72-4A36-A370-8EFBADCC6EE5}"/>
    <hyperlink ref="C253" r:id="rId306" display="https://finance.yahoo.com/quote/AAPL/options/?straddle=false&amp;strike=275&amp;type=all" xr:uid="{33DE2D9D-3619-466B-AE6F-F92916A998C2}"/>
    <hyperlink ref="A254" r:id="rId307" display="https://finance.yahoo.com/quote/AAPL251024C00280000/" xr:uid="{F03F4D3E-0682-40BA-AF6D-0FEC85C15215}"/>
    <hyperlink ref="C254" r:id="rId308" display="https://finance.yahoo.com/quote/AAPL/options/?straddle=false&amp;strike=280&amp;type=all" xr:uid="{C8434FBD-8885-4DA9-BBA6-02513A1931E3}"/>
    <hyperlink ref="A255" r:id="rId309" display="https://finance.yahoo.com/quote/AAPL251024C00285000/" xr:uid="{53324A60-B64F-42BA-8D52-747589F1FA44}"/>
    <hyperlink ref="C255" r:id="rId310" display="https://finance.yahoo.com/quote/AAPL/options/?straddle=false&amp;strike=285&amp;type=all" xr:uid="{7EFDD15E-5276-4045-9B17-3B4186437D54}"/>
    <hyperlink ref="A256" r:id="rId311" display="https://finance.yahoo.com/quote/AAPL251024C00290000/" xr:uid="{263D150B-6B8B-4A27-81BA-C35F56602D2C}"/>
    <hyperlink ref="C256" r:id="rId312" display="https://finance.yahoo.com/quote/AAPL/options/?straddle=false&amp;strike=290&amp;type=all" xr:uid="{691D81E8-19D3-472A-B243-4DAEA481DABB}"/>
    <hyperlink ref="A257" r:id="rId313" display="https://finance.yahoo.com/quote/AAPL251024C00295000/" xr:uid="{1041E768-0A31-4D70-BB8B-5756A3F48DFB}"/>
    <hyperlink ref="C257" r:id="rId314" display="https://finance.yahoo.com/quote/AAPL/options/?straddle=false&amp;strike=295&amp;type=all" xr:uid="{633FDA8F-E4FD-40E6-8FE2-DF3A6D5C71D6}"/>
    <hyperlink ref="A258" r:id="rId315" display="https://finance.yahoo.com/quote/AAPL251024C00300000/" xr:uid="{8B499B5D-79BD-4DA0-AB89-3AC72CFB2562}"/>
    <hyperlink ref="C258" r:id="rId316" display="https://finance.yahoo.com/quote/AAPL/options/?straddle=false&amp;strike=300&amp;type=all" xr:uid="{08DA2439-CBB6-4BAC-95F6-67BE01822F69}"/>
    <hyperlink ref="A259" r:id="rId317" display="https://finance.yahoo.com/quote/AAPL251024C00305000/" xr:uid="{BE50AE3F-811E-4E03-9229-9828C7B33B56}"/>
    <hyperlink ref="C259" r:id="rId318" display="https://finance.yahoo.com/quote/AAPL/options/?straddle=false&amp;strike=305&amp;type=all" xr:uid="{A586A312-7700-4325-BB7D-9A1BCACC08E6}"/>
    <hyperlink ref="A260" r:id="rId319" display="https://finance.yahoo.com/quote/AAPL251024C00310000/" xr:uid="{7DDC210C-13AF-4200-9DF7-E80DAFE3F86A}"/>
    <hyperlink ref="C260" r:id="rId320" display="https://finance.yahoo.com/quote/AAPL/options/?straddle=false&amp;strike=310&amp;type=all" xr:uid="{1573A58D-162F-4263-BA7B-2B39B41FC114}"/>
    <hyperlink ref="A261" r:id="rId321" display="https://finance.yahoo.com/quote/AAPL251024C00315000/" xr:uid="{95D57FFD-8F17-42B6-9494-A403D6860DE2}"/>
    <hyperlink ref="C261" r:id="rId322" display="https://finance.yahoo.com/quote/AAPL/options/?straddle=false&amp;strike=315&amp;type=all" xr:uid="{BF888B02-A45D-4DFC-A0CF-A6AE0EF63CEB}"/>
    <hyperlink ref="A262" r:id="rId323" display="https://finance.yahoo.com/quote/AAPL251024C00320000/" xr:uid="{84E726EA-4AF8-4C8F-8FFC-C9479E2D89B9}"/>
    <hyperlink ref="C262" r:id="rId324" display="https://finance.yahoo.com/quote/AAPL/options/?straddle=false&amp;strike=320&amp;type=all" xr:uid="{F6FED672-C681-4D5D-81F0-F27AEB1A4E32}"/>
    <hyperlink ref="A263" r:id="rId325" display="https://finance.yahoo.com/quote/AAPL251024C00325000/" xr:uid="{49FC7092-840D-4F01-ACBB-778DA7CC3767}"/>
    <hyperlink ref="C263" r:id="rId326" display="https://finance.yahoo.com/quote/AAPL/options/?straddle=false&amp;strike=325&amp;type=all" xr:uid="{2CF1C722-FC26-47B8-A10D-6310DAA15AAE}"/>
    <hyperlink ref="A264" r:id="rId327" display="https://finance.yahoo.com/quote/AAPL251024P00110000/" xr:uid="{921C7247-BB93-4E97-AD22-802C0544050F}"/>
    <hyperlink ref="C264" r:id="rId328" display="https://finance.yahoo.com/quote/AAPL/options/?straddle=false&amp;strike=110&amp;type=all" xr:uid="{57672A9F-385B-4E5F-B8F8-70EBE5D2C5DB}"/>
    <hyperlink ref="A265" r:id="rId329" display="https://finance.yahoo.com/quote/AAPL251024P00130000/" xr:uid="{5A69CA6F-D118-450F-83D0-ACEF96549C13}"/>
    <hyperlink ref="C265" r:id="rId330" display="https://finance.yahoo.com/quote/AAPL/options/?straddle=false&amp;strike=130&amp;type=all" xr:uid="{34197E1F-9203-4571-A56D-0C8C8CF75235}"/>
    <hyperlink ref="A266" r:id="rId331" display="https://finance.yahoo.com/quote/AAPL251024P00135000/" xr:uid="{4FE8C67B-59DE-41B1-A451-FF50C5F6029F}"/>
    <hyperlink ref="C266" r:id="rId332" display="https://finance.yahoo.com/quote/AAPL/options/?straddle=false&amp;strike=135&amp;type=all" xr:uid="{94C51F3F-50BA-404B-A6CC-57A36B0153A1}"/>
    <hyperlink ref="A267" r:id="rId333" display="https://finance.yahoo.com/quote/AAPL251024P00140000/" xr:uid="{0BBE4F49-07B2-45CB-A617-7F357E6BD4A6}"/>
    <hyperlink ref="C267" r:id="rId334" display="https://finance.yahoo.com/quote/AAPL/options/?straddle=false&amp;strike=140&amp;type=all" xr:uid="{7BCEF070-C381-4C68-A09A-320CC4DB4FF6}"/>
    <hyperlink ref="A268" r:id="rId335" display="https://finance.yahoo.com/quote/AAPL251024P00145000/" xr:uid="{6E508226-4280-4895-9035-4A92920D38A6}"/>
    <hyperlink ref="C268" r:id="rId336" display="https://finance.yahoo.com/quote/AAPL/options/?straddle=false&amp;strike=145&amp;type=all" xr:uid="{C7B68D3F-5BC8-46E1-BCA5-9EFFEF7C21A4}"/>
    <hyperlink ref="A269" r:id="rId337" display="https://finance.yahoo.com/quote/AAPL251024P00150000/" xr:uid="{FC9B3C91-2CCD-4357-8471-B214C6816B8B}"/>
    <hyperlink ref="C269" r:id="rId338" display="https://finance.yahoo.com/quote/AAPL/options/?straddle=false&amp;strike=150&amp;type=all" xr:uid="{22870FC2-189B-4E31-AAF0-80B039DCEF91}"/>
    <hyperlink ref="A270" r:id="rId339" display="https://finance.yahoo.com/quote/AAPL251024P00155000/" xr:uid="{7EEFE95D-7399-4BD7-8ABF-418012A4A78F}"/>
    <hyperlink ref="C270" r:id="rId340" display="https://finance.yahoo.com/quote/AAPL/options/?straddle=false&amp;strike=155&amp;type=all" xr:uid="{85E869AC-850C-445C-9A6E-62F5DDAC4785}"/>
    <hyperlink ref="A271" r:id="rId341" display="https://finance.yahoo.com/quote/AAPL251024P00160000/" xr:uid="{7361430E-C56D-4608-B4EA-FA22763B3D2A}"/>
    <hyperlink ref="C271" r:id="rId342" display="https://finance.yahoo.com/quote/AAPL/options/?straddle=false&amp;strike=160&amp;type=all" xr:uid="{E81D35FE-37A1-4AE2-8944-999135DE6DC5}"/>
    <hyperlink ref="A272" r:id="rId343" display="https://finance.yahoo.com/quote/AAPL251024P00165000/" xr:uid="{CAEE4E6A-5965-44D9-8253-8D144682A660}"/>
    <hyperlink ref="C272" r:id="rId344" display="https://finance.yahoo.com/quote/AAPL/options/?straddle=false&amp;strike=165&amp;type=all" xr:uid="{B999C6A7-44F6-4254-93CB-0B60655BF9DD}"/>
    <hyperlink ref="A273" r:id="rId345" display="https://finance.yahoo.com/quote/AAPL251024P00170000/" xr:uid="{E476A03F-89D0-4C5F-8D77-9D5F4B35EE65}"/>
    <hyperlink ref="C273" r:id="rId346" display="https://finance.yahoo.com/quote/AAPL/options/?straddle=false&amp;strike=170&amp;type=all" xr:uid="{FCE9C6CD-6EE7-47F6-A915-E375CB146FDA}"/>
    <hyperlink ref="A274" r:id="rId347" display="https://finance.yahoo.com/quote/AAPL251024P00175000/" xr:uid="{E8341479-B64A-452A-8210-D22D92467D4B}"/>
    <hyperlink ref="C274" r:id="rId348" display="https://finance.yahoo.com/quote/AAPL/options/?straddle=false&amp;strike=175&amp;type=all" xr:uid="{CA94A276-62E2-4AE7-89B9-D06A6B4283A8}"/>
    <hyperlink ref="A275" r:id="rId349" display="https://finance.yahoo.com/quote/AAPL251024P00180000/" xr:uid="{6B878B16-6C40-4533-A325-AF0F3ABDCDA7}"/>
    <hyperlink ref="C275" r:id="rId350" display="https://finance.yahoo.com/quote/AAPL/options/?straddle=false&amp;strike=180&amp;type=all" xr:uid="{60B7A0AD-A8E3-4B2F-B2C4-47F09830DB7F}"/>
    <hyperlink ref="A276" r:id="rId351" display="https://finance.yahoo.com/quote/AAPL251024P00185000/" xr:uid="{49261A1D-B365-4677-A6A1-8C8965DFB458}"/>
    <hyperlink ref="C276" r:id="rId352" display="https://finance.yahoo.com/quote/AAPL/options/?straddle=false&amp;strike=185&amp;type=all" xr:uid="{37FAF27A-DAB2-4DE3-AC05-2D81741340C6}"/>
    <hyperlink ref="A277" r:id="rId353" display="https://finance.yahoo.com/quote/AAPL251024P00190000/" xr:uid="{C3310E35-60A2-4D05-B7E0-5925C15746D3}"/>
    <hyperlink ref="C277" r:id="rId354" display="https://finance.yahoo.com/quote/AAPL/options/?straddle=false&amp;strike=190&amp;type=all" xr:uid="{D5A7F516-A7EE-48D9-8430-628526229E80}"/>
    <hyperlink ref="A278" r:id="rId355" display="https://finance.yahoo.com/quote/AAPL251024P00195000/" xr:uid="{9E60D265-FCC0-407B-8C29-9C02AC5A2794}"/>
    <hyperlink ref="C278" r:id="rId356" display="https://finance.yahoo.com/quote/AAPL/options/?straddle=false&amp;strike=195&amp;type=all" xr:uid="{EB47F075-EABF-4B1F-ADEA-0D8332836D7E}"/>
    <hyperlink ref="A279" r:id="rId357" display="https://finance.yahoo.com/quote/AAPL251024P00200000/" xr:uid="{50D0639C-1D85-409E-98F5-80EE746AB275}"/>
    <hyperlink ref="C279" r:id="rId358" display="https://finance.yahoo.com/quote/AAPL/options/?straddle=false&amp;strike=200&amp;type=all" xr:uid="{454C02F7-47E9-484F-A156-0A95F1DA824B}"/>
    <hyperlink ref="A280" r:id="rId359" display="https://finance.yahoo.com/quote/AAPL251024P00205000/" xr:uid="{0B9AA210-37FE-45C3-97D2-AD102C0C2EC5}"/>
    <hyperlink ref="C280" r:id="rId360" display="https://finance.yahoo.com/quote/AAPL/options/?straddle=false&amp;strike=205&amp;type=all" xr:uid="{68C7F651-35F5-4771-A107-28545308A07F}"/>
    <hyperlink ref="A281" r:id="rId361" display="https://finance.yahoo.com/quote/AAPL251024P00210000/" xr:uid="{0F5C8A26-93E6-49DC-8CD1-5222CF3B77E6}"/>
    <hyperlink ref="C281" r:id="rId362" display="https://finance.yahoo.com/quote/AAPL/options/?straddle=false&amp;strike=210&amp;type=all" xr:uid="{B9F569A8-4102-4857-9DC8-5FC11375BBFB}"/>
    <hyperlink ref="A282" r:id="rId363" display="https://finance.yahoo.com/quote/AAPL251024P00215000/" xr:uid="{3CC0DCE9-C36C-43C4-AC4E-7B6DC2C73138}"/>
    <hyperlink ref="C282" r:id="rId364" display="https://finance.yahoo.com/quote/AAPL/options/?straddle=false&amp;strike=215&amp;type=all" xr:uid="{AFC1EA57-5206-494F-B23F-697A45DFCAAA}"/>
    <hyperlink ref="A283" r:id="rId365" display="https://finance.yahoo.com/quote/AAPL251024P00220000/" xr:uid="{219F6982-4B2B-4741-9A44-1032838DA741}"/>
    <hyperlink ref="C283" r:id="rId366" display="https://finance.yahoo.com/quote/AAPL/options/?straddle=false&amp;strike=220&amp;type=all" xr:uid="{488CD379-007E-4EE4-B8B0-546856A176D0}"/>
    <hyperlink ref="A284" r:id="rId367" display="https://finance.yahoo.com/quote/AAPL251024P00225000/" xr:uid="{D1CD88AA-8E89-43DE-A043-74F83E1A2D7A}"/>
    <hyperlink ref="C284" r:id="rId368" display="https://finance.yahoo.com/quote/AAPL/options/?straddle=false&amp;strike=225&amp;type=all" xr:uid="{65EA22ED-0A35-4E5E-BD2D-A9175A3CA167}"/>
    <hyperlink ref="A285" r:id="rId369" display="https://finance.yahoo.com/quote/AAPL251024P00230000/" xr:uid="{A04876DA-307F-42BE-B28A-948ECEB3EF3E}"/>
    <hyperlink ref="C285" r:id="rId370" display="https://finance.yahoo.com/quote/AAPL/options/?straddle=false&amp;strike=230&amp;type=all" xr:uid="{8EF40BBF-3120-4C72-9874-F394E10B9A95}"/>
    <hyperlink ref="A286" r:id="rId371" display="https://finance.yahoo.com/quote/AAPL251024P00235000/" xr:uid="{8F78D418-1584-4813-B82B-8A47CCAC92F0}"/>
    <hyperlink ref="C286" r:id="rId372" display="https://finance.yahoo.com/quote/AAPL/options/?straddle=false&amp;strike=235&amp;type=all" xr:uid="{AE933E87-7DEA-4E03-A1CE-8DCE388232EF}"/>
    <hyperlink ref="A287" r:id="rId373" display="https://finance.yahoo.com/quote/AAPL251024P00240000/" xr:uid="{040D61E9-C0A8-44B2-B2FE-396DF8A3248E}"/>
    <hyperlink ref="C287" r:id="rId374" display="https://finance.yahoo.com/quote/AAPL/options/?straddle=false&amp;strike=240&amp;type=all" xr:uid="{6BE76FDD-B6F1-4911-ACFE-A93F34A2C0C0}"/>
    <hyperlink ref="A288" r:id="rId375" display="https://finance.yahoo.com/quote/AAPL251024P00245000/" xr:uid="{44193BBA-EBDB-43FA-93E7-ED024A264472}"/>
    <hyperlink ref="C288" r:id="rId376" display="https://finance.yahoo.com/quote/AAPL/options/?straddle=false&amp;strike=245&amp;type=all" xr:uid="{3E3AE623-8199-4905-B05F-DC37D578D7B3}"/>
    <hyperlink ref="A289" r:id="rId377" display="https://finance.yahoo.com/quote/AAPL251024P00250000/" xr:uid="{5C308EA6-060B-4F7A-84F3-435568104B20}"/>
    <hyperlink ref="C289" r:id="rId378" display="https://finance.yahoo.com/quote/AAPL/options/?straddle=false&amp;strike=250&amp;type=all" xr:uid="{1EAA5A0E-E4F3-44E5-9C26-6DF20C9F7944}"/>
    <hyperlink ref="A290" r:id="rId379" display="https://finance.yahoo.com/quote/AAPL251024P00255000/" xr:uid="{9CDBF969-9713-4139-BA96-8612FDAAD348}"/>
    <hyperlink ref="C290" r:id="rId380" display="https://finance.yahoo.com/quote/AAPL/options/?straddle=false&amp;strike=255&amp;type=all" xr:uid="{066685DE-3A94-4BEF-A7F4-75D10A7F5C2A}"/>
    <hyperlink ref="A291" r:id="rId381" display="https://finance.yahoo.com/quote/AAPL251024P00260000/" xr:uid="{0C32621B-35A5-4996-9C62-F764561B8AF9}"/>
    <hyperlink ref="C291" r:id="rId382" display="https://finance.yahoo.com/quote/AAPL/options/?straddle=false&amp;strike=260&amp;type=all" xr:uid="{FC362F60-354D-4D67-81BB-93DEFEE66870}"/>
    <hyperlink ref="A292" r:id="rId383" display="https://finance.yahoo.com/quote/AAPL251024P00265000/" xr:uid="{FE4AA311-4E53-40D5-9D2C-8E4704521660}"/>
    <hyperlink ref="C292" r:id="rId384" display="https://finance.yahoo.com/quote/AAPL/options/?straddle=false&amp;strike=265&amp;type=all" xr:uid="{AB39F1DF-5C4B-42C8-8341-0F18125F4655}"/>
    <hyperlink ref="A293" r:id="rId385" display="https://finance.yahoo.com/quote/AAPL251024P00270000/" xr:uid="{4DB20699-83C0-467C-AFA4-E9A8F8A4E15A}"/>
    <hyperlink ref="C293" r:id="rId386" display="https://finance.yahoo.com/quote/AAPL/options/?straddle=false&amp;strike=270&amp;type=all" xr:uid="{662FE233-2702-4CA1-9582-B10565DB8D49}"/>
    <hyperlink ref="A294" r:id="rId387" display="https://finance.yahoo.com/quote/AAPL251024P00275000/" xr:uid="{02686A56-F4DA-4377-8E64-597E16900837}"/>
    <hyperlink ref="C294" r:id="rId388" display="https://finance.yahoo.com/quote/AAPL/options/?straddle=false&amp;strike=275&amp;type=all" xr:uid="{AAD0733A-4D55-490F-AEFC-89FCE480B9FD}"/>
    <hyperlink ref="A295" r:id="rId389" display="https://finance.yahoo.com/quote/AAPL251024P00280000/" xr:uid="{4D9BE1CF-D1DB-49E1-956B-2E2CD5365061}"/>
    <hyperlink ref="C295" r:id="rId390" display="https://finance.yahoo.com/quote/AAPL/options/?straddle=false&amp;strike=280&amp;type=all" xr:uid="{8721DACE-CFB4-4332-802C-3EC4DB6F7265}"/>
    <hyperlink ref="A296" r:id="rId391" display="https://finance.yahoo.com/quote/AAPL251024P00290000/" xr:uid="{A201E022-F2E3-4EBE-90A9-F4D7FF373959}"/>
    <hyperlink ref="C296" r:id="rId392" display="https://finance.yahoo.com/quote/AAPL/options/?straddle=false&amp;strike=290&amp;type=all" xr:uid="{C86F32D2-B033-49FF-A56F-DEF79AC975E0}"/>
    <hyperlink ref="A297" r:id="rId393" display="https://finance.yahoo.com/quote/AAPL251024P00295000/" xr:uid="{D7CBC3F6-F8CA-4287-809D-E3D4D213BAB9}"/>
    <hyperlink ref="C297" r:id="rId394" display="https://finance.yahoo.com/quote/AAPL/options/?straddle=false&amp;strike=295&amp;type=all" xr:uid="{90059EDA-5B1D-4A45-8F29-916EB0352B59}"/>
    <hyperlink ref="A298" r:id="rId395" display="https://finance.yahoo.com/quote/AAPL251024P00300000/" xr:uid="{24C278F9-E42D-425A-B964-4FBA348761C5}"/>
    <hyperlink ref="C298" r:id="rId396" display="https://finance.yahoo.com/quote/AAPL/options/?straddle=false&amp;strike=300&amp;type=all" xr:uid="{A5DE12C1-7DAD-44AF-A657-E8A582A7FAC6}"/>
    <hyperlink ref="A299" r:id="rId397" display="https://finance.yahoo.com/quote/AAPL251024P00325000/" xr:uid="{0EAC7098-6324-419C-BC5F-DF8E7FD1BF72}"/>
    <hyperlink ref="C299" r:id="rId398" display="https://finance.yahoo.com/quote/AAPL/options/?straddle=false&amp;strike=325&amp;type=all" xr:uid="{BE894880-FCCC-466A-A2BC-630BA07C77F3}"/>
    <hyperlink ref="A300" r:id="rId399" display="https://finance.yahoo.com/quote/AAPL251031C00140000/" xr:uid="{685400E5-8FC0-4F4B-870E-038FA8119FC4}"/>
    <hyperlink ref="C300" r:id="rId400" display="https://finance.yahoo.com/quote/AAPL/options/?straddle=false&amp;strike=140&amp;type=all" xr:uid="{D796A04D-8E48-4A38-B115-4C5988BE3BB9}"/>
    <hyperlink ref="A301" r:id="rId401" display="https://finance.yahoo.com/quote/AAPL251031C00155000/" xr:uid="{6E6FA7B5-68C5-45AB-B95E-F9B3A1BB940B}"/>
    <hyperlink ref="C301" r:id="rId402" display="https://finance.yahoo.com/quote/AAPL/options/?straddle=false&amp;strike=155&amp;type=all" xr:uid="{EFA92E5E-D8FF-4B26-91CE-A253E5436F22}"/>
    <hyperlink ref="A302" r:id="rId403" display="https://finance.yahoo.com/quote/AAPL251031C00170000/" xr:uid="{FB5FBE93-7B9F-40B8-AB06-C81C4019F414}"/>
    <hyperlink ref="C302" r:id="rId404" display="https://finance.yahoo.com/quote/AAPL/options/?straddle=false&amp;strike=170&amp;type=all" xr:uid="{1F5C2F18-A3A0-47E1-9391-80A28C4BF89B}"/>
    <hyperlink ref="A303" r:id="rId405" display="https://finance.yahoo.com/quote/AAPL251031C00180000/" xr:uid="{B810355B-440B-4396-896F-CB3C40DB039F}"/>
    <hyperlink ref="C303" r:id="rId406" display="https://finance.yahoo.com/quote/AAPL/options/?straddle=false&amp;strike=180&amp;type=all" xr:uid="{4DC8A43B-649D-4FDF-BEB9-74B23F0D27F6}"/>
    <hyperlink ref="A304" r:id="rId407" display="https://finance.yahoo.com/quote/AAPL251031C00185000/" xr:uid="{F32FBC5D-022C-4644-8E58-5E1A4DB5735C}"/>
    <hyperlink ref="C304" r:id="rId408" display="https://finance.yahoo.com/quote/AAPL/options/?straddle=false&amp;strike=185&amp;type=all" xr:uid="{B524489A-7264-4C3D-83D4-02ECDF759757}"/>
    <hyperlink ref="A305" r:id="rId409" display="https://finance.yahoo.com/quote/AAPL251031C00190000/" xr:uid="{0EAEDB05-144A-4E91-99CB-A66D09051940}"/>
    <hyperlink ref="C305" r:id="rId410" display="https://finance.yahoo.com/quote/AAPL/options/?straddle=false&amp;strike=190&amp;type=all" xr:uid="{F6051AA7-6B43-4AC2-88B5-A3B63883A070}"/>
    <hyperlink ref="A306" r:id="rId411" display="https://finance.yahoo.com/quote/AAPL251031C00195000/" xr:uid="{1A5AB7C7-DD03-4F64-A314-ABB7A5CFDF9F}"/>
    <hyperlink ref="C306" r:id="rId412" display="https://finance.yahoo.com/quote/AAPL/options/?straddle=false&amp;strike=195&amp;type=all" xr:uid="{8BD9DC71-443C-449D-A78A-E6207643686A}"/>
    <hyperlink ref="A307" r:id="rId413" display="https://finance.yahoo.com/quote/AAPL251031C00200000/" xr:uid="{C0338F31-46E2-4A01-AFCB-55A08C02A3DA}"/>
    <hyperlink ref="C307" r:id="rId414" display="https://finance.yahoo.com/quote/AAPL/options/?straddle=false&amp;strike=200&amp;type=all" xr:uid="{2DC1F9AC-308F-4835-8603-28F6EA1DBCC6}"/>
    <hyperlink ref="A308" r:id="rId415" display="https://finance.yahoo.com/quote/AAPL251031C00205000/" xr:uid="{8DFFAAD9-F309-4064-A416-5DF0D84A183D}"/>
    <hyperlink ref="C308" r:id="rId416" display="https://finance.yahoo.com/quote/AAPL/options/?straddle=false&amp;strike=205&amp;type=all" xr:uid="{174A0D89-5104-4621-8922-7396E886D588}"/>
    <hyperlink ref="A309" r:id="rId417" display="https://finance.yahoo.com/quote/AAPL251031C00210000/" xr:uid="{F36E017F-F63B-471F-BDCD-661998075445}"/>
    <hyperlink ref="C309" r:id="rId418" display="https://finance.yahoo.com/quote/AAPL/options/?straddle=false&amp;strike=210&amp;type=all" xr:uid="{09E88B67-1FA0-4CA9-B5DC-D92DC00C9184}"/>
    <hyperlink ref="A310" r:id="rId419" display="https://finance.yahoo.com/quote/AAPL251031C00215000/" xr:uid="{EA813641-C6D2-4809-93D7-EEABA11591F8}"/>
    <hyperlink ref="C310" r:id="rId420" display="https://finance.yahoo.com/quote/AAPL/options/?straddle=false&amp;strike=215&amp;type=all" xr:uid="{5C31DB16-40DC-4498-9189-6A33DE881FC1}"/>
    <hyperlink ref="A311" r:id="rId421" display="https://finance.yahoo.com/quote/AAPL251031C00220000/" xr:uid="{296967CF-F0CF-4D6A-95BC-E8845CE30F71}"/>
    <hyperlink ref="C311" r:id="rId422" display="https://finance.yahoo.com/quote/AAPL/options/?straddle=false&amp;strike=220&amp;type=all" xr:uid="{BD2C54BD-ACF2-42AB-ADA8-028D4B750888}"/>
    <hyperlink ref="A312" r:id="rId423" display="https://finance.yahoo.com/quote/AAPL251031C00225000/" xr:uid="{3D601DEC-A8E1-404F-A159-123CEE2DC6ED}"/>
    <hyperlink ref="C312" r:id="rId424" display="https://finance.yahoo.com/quote/AAPL/options/?straddle=false&amp;strike=225&amp;type=all" xr:uid="{966E131E-0110-4DD0-9716-B63821792294}"/>
    <hyperlink ref="A313" r:id="rId425" display="https://finance.yahoo.com/quote/AAPL251031C00230000/" xr:uid="{B8928FB4-13E2-4290-B07E-1EDD9B17F4B4}"/>
    <hyperlink ref="C313" r:id="rId426" display="https://finance.yahoo.com/quote/AAPL/options/?straddle=false&amp;strike=230&amp;type=all" xr:uid="{0BDF20AB-1CA7-474E-A57A-87B1B6B36B16}"/>
    <hyperlink ref="A314" r:id="rId427" display="https://finance.yahoo.com/quote/AAPL251031C00235000/" xr:uid="{ECF2F3C1-CE44-4B66-AC7A-A799A3623285}"/>
    <hyperlink ref="C314" r:id="rId428" display="https://finance.yahoo.com/quote/AAPL/options/?straddle=false&amp;strike=235&amp;type=all" xr:uid="{354272B3-EA94-4280-90F7-7C77BB52CE82}"/>
    <hyperlink ref="A315" r:id="rId429" display="https://finance.yahoo.com/quote/AAPL251031C00240000/" xr:uid="{0B16AC3A-32B0-4A21-B2EF-A7531F6958BA}"/>
    <hyperlink ref="C315" r:id="rId430" display="https://finance.yahoo.com/quote/AAPL/options/?straddle=false&amp;strike=240&amp;type=all" xr:uid="{84E3EAC4-389F-42EB-91A9-FB988DB04163}"/>
    <hyperlink ref="A316" r:id="rId431" display="https://finance.yahoo.com/quote/AAPL251031C00245000/" xr:uid="{CF067D1C-44AB-4B3E-ADD7-E8EE9DFEA37D}"/>
    <hyperlink ref="C316" r:id="rId432" display="https://finance.yahoo.com/quote/AAPL/options/?straddle=false&amp;strike=245&amp;type=all" xr:uid="{F41B1190-78DB-4140-B973-19C7C2486484}"/>
    <hyperlink ref="A317" r:id="rId433" display="https://finance.yahoo.com/quote/AAPL251031C00250000/" xr:uid="{43781BC0-D6A8-4FB0-BB55-46DDF1333D89}"/>
    <hyperlink ref="C317" r:id="rId434" display="https://finance.yahoo.com/quote/AAPL/options/?straddle=false&amp;strike=250&amp;type=all" xr:uid="{F0F79CA6-DDFB-4A40-8964-3E68AE9369FB}"/>
    <hyperlink ref="A318" r:id="rId435" display="https://finance.yahoo.com/quote/AAPL251031C00255000/" xr:uid="{C0AB748E-7398-4223-8F1D-783D9CC82374}"/>
    <hyperlink ref="C318" r:id="rId436" display="https://finance.yahoo.com/quote/AAPL/options/?straddle=false&amp;strike=255&amp;type=all" xr:uid="{447290D9-A77E-4D1E-9EB6-1BD093CDBC6F}"/>
    <hyperlink ref="A319" r:id="rId437" display="https://finance.yahoo.com/quote/AAPL251031C00260000/" xr:uid="{61E78AFA-F244-468F-866D-8EEDE5776651}"/>
    <hyperlink ref="C319" r:id="rId438" display="https://finance.yahoo.com/quote/AAPL/options/?straddle=false&amp;strike=260&amp;type=all" xr:uid="{6CCB1B69-B8D6-470E-830B-25FD3FB2A8E4}"/>
    <hyperlink ref="A320" r:id="rId439" display="https://finance.yahoo.com/quote/AAPL251031C00265000/" xr:uid="{F373F723-807C-41BB-A260-81547FBD44D6}"/>
    <hyperlink ref="C320" r:id="rId440" display="https://finance.yahoo.com/quote/AAPL/options/?straddle=false&amp;strike=265&amp;type=all" xr:uid="{F97D3CF7-6168-41E0-908A-E618FCF17682}"/>
    <hyperlink ref="A321" r:id="rId441" display="https://finance.yahoo.com/quote/AAPL251031C00270000/" xr:uid="{DA85D90B-7DFD-4EE2-9D67-E91859D0721C}"/>
    <hyperlink ref="C321" r:id="rId442" display="https://finance.yahoo.com/quote/AAPL/options/?straddle=false&amp;strike=270&amp;type=all" xr:uid="{572EA0BF-3163-4797-AD0A-471762A7F515}"/>
    <hyperlink ref="A322" r:id="rId443" display="https://finance.yahoo.com/quote/AAPL251031C00275000/" xr:uid="{4ABDBD1F-1ED0-4CB5-A019-20BB1AF50C59}"/>
    <hyperlink ref="C322" r:id="rId444" display="https://finance.yahoo.com/quote/AAPL/options/?straddle=false&amp;strike=275&amp;type=all" xr:uid="{4EF0CD35-15DA-49AC-A201-B2A2DD91FC8C}"/>
    <hyperlink ref="A323" r:id="rId445" display="https://finance.yahoo.com/quote/AAPL251031C00280000/" xr:uid="{9ED8CCB4-E034-474B-B96C-0F330B3BF8B4}"/>
    <hyperlink ref="C323" r:id="rId446" display="https://finance.yahoo.com/quote/AAPL/options/?straddle=false&amp;strike=280&amp;type=all" xr:uid="{B397EB35-87EC-4BA5-92C0-8EC332CB15E7}"/>
    <hyperlink ref="A324" r:id="rId447" display="https://finance.yahoo.com/quote/AAPL251031C00285000/" xr:uid="{D79AA1D1-6D6B-4952-9679-D63564ED6565}"/>
    <hyperlink ref="C324" r:id="rId448" display="https://finance.yahoo.com/quote/AAPL/options/?straddle=false&amp;strike=285&amp;type=all" xr:uid="{3F3C5868-B1AB-4D0E-B703-18F35A4E62E7}"/>
    <hyperlink ref="A325" r:id="rId449" display="https://finance.yahoo.com/quote/AAPL251031C00290000/" xr:uid="{89266D3B-22E4-417D-AB8F-AFD3B97AD4F6}"/>
    <hyperlink ref="C325" r:id="rId450" display="https://finance.yahoo.com/quote/AAPL/options/?straddle=false&amp;strike=290&amp;type=all" xr:uid="{5F3A502C-3647-4739-B5CB-B5C9E1ED8110}"/>
    <hyperlink ref="A326" r:id="rId451" display="https://finance.yahoo.com/quote/AAPL251031C00295000/" xr:uid="{C5EE7A26-DAF5-4B31-BABF-5B5925863A39}"/>
    <hyperlink ref="C326" r:id="rId452" display="https://finance.yahoo.com/quote/AAPL/options/?straddle=false&amp;strike=295&amp;type=all" xr:uid="{97F611E8-30B0-458F-997F-D7D65E2A1289}"/>
    <hyperlink ref="A327" r:id="rId453" display="https://finance.yahoo.com/quote/AAPL251031C00300000/" xr:uid="{7C3A008F-FF40-42F2-A1E9-FB4E28AAAEFF}"/>
    <hyperlink ref="C327" r:id="rId454" display="https://finance.yahoo.com/quote/AAPL/options/?straddle=false&amp;strike=300&amp;type=all" xr:uid="{7A756073-5BBA-41D2-AA0A-4F02846439F1}"/>
    <hyperlink ref="A328" r:id="rId455" display="https://finance.yahoo.com/quote/AAPL251031C00305000/" xr:uid="{957A451D-DEA1-483C-8572-0C5A29158EF2}"/>
    <hyperlink ref="C328" r:id="rId456" display="https://finance.yahoo.com/quote/AAPL/options/?straddle=false&amp;strike=305&amp;type=all" xr:uid="{FF2EE36E-AE4D-412A-9FE8-D5A9C52BEC12}"/>
    <hyperlink ref="A329" r:id="rId457" display="https://finance.yahoo.com/quote/AAPL251031C00310000/" xr:uid="{0AE43825-E791-4DDE-AAA2-62F24B462CAC}"/>
    <hyperlink ref="C329" r:id="rId458" display="https://finance.yahoo.com/quote/AAPL/options/?straddle=false&amp;strike=310&amp;type=all" xr:uid="{BA260B1C-B28C-48A8-82EC-9D5D2E3EC02F}"/>
    <hyperlink ref="A330" r:id="rId459" display="https://finance.yahoo.com/quote/AAPL251031C00315000/" xr:uid="{E61E3955-696C-4430-8FAB-6B309F1E9189}"/>
    <hyperlink ref="C330" r:id="rId460" display="https://finance.yahoo.com/quote/AAPL/options/?straddle=false&amp;strike=315&amp;type=all" xr:uid="{EA04AC51-E75F-475E-9C23-C30F9762CB8A}"/>
    <hyperlink ref="A331" r:id="rId461" display="https://finance.yahoo.com/quote/AAPL251031C00320000/" xr:uid="{DC58E41F-E323-4F2B-8A61-937CE058CCCB}"/>
    <hyperlink ref="C331" r:id="rId462" display="https://finance.yahoo.com/quote/AAPL/options/?straddle=false&amp;strike=320&amp;type=all" xr:uid="{D333BCAA-DF1A-4DBE-BB5D-025B6BFD48F5}"/>
    <hyperlink ref="A332" r:id="rId463" display="https://finance.yahoo.com/quote/AAPL251031C00325000/" xr:uid="{76640EBF-BA92-48CF-AB60-AEC0D63B971A}"/>
    <hyperlink ref="C332" r:id="rId464" display="https://finance.yahoo.com/quote/AAPL/options/?straddle=false&amp;strike=325&amp;type=all" xr:uid="{275F9459-E952-4B9B-9A80-BD5E160FA9E1}"/>
    <hyperlink ref="A333" r:id="rId465" display="https://finance.yahoo.com/quote/AAPL251031P00110000/" xr:uid="{D941F201-EA25-4210-AB37-E5FCC831CA7A}"/>
    <hyperlink ref="C333" r:id="rId466" display="https://finance.yahoo.com/quote/AAPL/options/?straddle=false&amp;strike=110&amp;type=all" xr:uid="{3970F2C7-35B4-40B2-A8D1-9689EA480B6B}"/>
    <hyperlink ref="A334" r:id="rId467" display="https://finance.yahoo.com/quote/AAPL251031P00120000/" xr:uid="{D4D532F0-FE29-44DB-A5EE-84D8D0419F4A}"/>
    <hyperlink ref="C334" r:id="rId468" display="https://finance.yahoo.com/quote/AAPL/options/?straddle=false&amp;strike=120&amp;type=all" xr:uid="{488249ED-C765-4652-BCE4-1B4EDE379629}"/>
    <hyperlink ref="A335" r:id="rId469" display="https://finance.yahoo.com/quote/AAPL251031P00130000/" xr:uid="{0418604E-158A-4F0F-857F-85B25358D1C6}"/>
    <hyperlink ref="C335" r:id="rId470" display="https://finance.yahoo.com/quote/AAPL/options/?straddle=false&amp;strike=130&amp;type=all" xr:uid="{F9843CD8-3F60-4D9F-9F3B-D38DA712D71F}"/>
    <hyperlink ref="A336" r:id="rId471" display="https://finance.yahoo.com/quote/AAPL251031P00135000/" xr:uid="{D5337D34-9C9B-422B-B348-E50F444DC4A0}"/>
    <hyperlink ref="C336" r:id="rId472" display="https://finance.yahoo.com/quote/AAPL/options/?straddle=false&amp;strike=135&amp;type=all" xr:uid="{546BD639-DA9C-4CD2-8C8D-ECAD5713640F}"/>
    <hyperlink ref="A337" r:id="rId473" display="https://finance.yahoo.com/quote/AAPL251031P00140000/" xr:uid="{10EDCAE8-DA7F-4612-A514-8350EC8F9C67}"/>
    <hyperlink ref="C337" r:id="rId474" display="https://finance.yahoo.com/quote/AAPL/options/?straddle=false&amp;strike=140&amp;type=all" xr:uid="{5E1113B6-5B65-4994-93AF-B356237B0623}"/>
    <hyperlink ref="A338" r:id="rId475" display="https://finance.yahoo.com/quote/AAPL251031P00145000/" xr:uid="{3EE50C1D-EE94-49E1-9FD6-28BABB74E8D8}"/>
    <hyperlink ref="C338" r:id="rId476" display="https://finance.yahoo.com/quote/AAPL/options/?straddle=false&amp;strike=145&amp;type=all" xr:uid="{BA2D639D-E2D4-414E-B09A-BF969B1AE938}"/>
    <hyperlink ref="A339" r:id="rId477" display="https://finance.yahoo.com/quote/AAPL251031P00150000/" xr:uid="{58127B2A-BBEA-4705-916C-F577AB69AEB9}"/>
    <hyperlink ref="C339" r:id="rId478" display="https://finance.yahoo.com/quote/AAPL/options/?straddle=false&amp;strike=150&amp;type=all" xr:uid="{0B5D9189-E64F-4321-9912-D9625FE2A864}"/>
    <hyperlink ref="A340" r:id="rId479" display="https://finance.yahoo.com/quote/AAPL251031P00155000/" xr:uid="{18443EAD-E59F-4216-AF08-B02BF25A702E}"/>
    <hyperlink ref="C340" r:id="rId480" display="https://finance.yahoo.com/quote/AAPL/options/?straddle=false&amp;strike=155&amp;type=all" xr:uid="{9D8A8A3F-4957-4E3F-85A8-2E062BE8D1DC}"/>
    <hyperlink ref="A341" r:id="rId481" display="https://finance.yahoo.com/quote/AAPL251031P00160000/" xr:uid="{B3B490D2-6F4F-43DA-B6DF-E6B3A00B07A3}"/>
    <hyperlink ref="C341" r:id="rId482" display="https://finance.yahoo.com/quote/AAPL/options/?straddle=false&amp;strike=160&amp;type=all" xr:uid="{479631EC-2868-4E62-B824-2252ADAAC6E1}"/>
    <hyperlink ref="A342" r:id="rId483" display="https://finance.yahoo.com/quote/AAPL251031P00165000/" xr:uid="{2C156A43-42E0-4B7D-BF17-29C2C2A566EA}"/>
    <hyperlink ref="C342" r:id="rId484" display="https://finance.yahoo.com/quote/AAPL/options/?straddle=false&amp;strike=165&amp;type=all" xr:uid="{D9E59A7D-E945-41BA-9CEA-39B7BBD0D7D8}"/>
    <hyperlink ref="A343" r:id="rId485" display="https://finance.yahoo.com/quote/AAPL251031P00170000/" xr:uid="{F13057B6-CA04-4D9B-A77A-CE66E6B4D657}"/>
    <hyperlink ref="C343" r:id="rId486" display="https://finance.yahoo.com/quote/AAPL/options/?straddle=false&amp;strike=170&amp;type=all" xr:uid="{842F20FB-400E-4AFC-879B-2499F298F673}"/>
    <hyperlink ref="A344" r:id="rId487" display="https://finance.yahoo.com/quote/AAPL251031P00175000/" xr:uid="{B20CE033-972F-4A1E-8AD8-5BFB0B937881}"/>
    <hyperlink ref="C344" r:id="rId488" display="https://finance.yahoo.com/quote/AAPL/options/?straddle=false&amp;strike=175&amp;type=all" xr:uid="{510B18D4-81E5-4F72-8A2D-3C2C7753152F}"/>
    <hyperlink ref="A345" r:id="rId489" display="https://finance.yahoo.com/quote/AAPL251031P00180000/" xr:uid="{23C27457-972F-47DA-A33D-FBAB00DAEDC1}"/>
    <hyperlink ref="C345" r:id="rId490" display="https://finance.yahoo.com/quote/AAPL/options/?straddle=false&amp;strike=180&amp;type=all" xr:uid="{D4295FB2-734F-40D2-8EDC-8793E04F56C3}"/>
    <hyperlink ref="A346" r:id="rId491" display="https://finance.yahoo.com/quote/AAPL251031P00185000/" xr:uid="{A9B3EFB9-6CEA-416C-BEC8-5AC7635A925C}"/>
    <hyperlink ref="C346" r:id="rId492" display="https://finance.yahoo.com/quote/AAPL/options/?straddle=false&amp;strike=185&amp;type=all" xr:uid="{1CF87630-4180-4B33-981A-7ED867BB9432}"/>
    <hyperlink ref="A347" r:id="rId493" display="https://finance.yahoo.com/quote/AAPL251031P00190000/" xr:uid="{8438E66B-8E6A-44A3-92A6-AD6F67959F89}"/>
    <hyperlink ref="C347" r:id="rId494" display="https://finance.yahoo.com/quote/AAPL/options/?straddle=false&amp;strike=190&amp;type=all" xr:uid="{6208A6E4-8ECE-41B7-9B7F-EC4C47A235DE}"/>
    <hyperlink ref="A348" r:id="rId495" display="https://finance.yahoo.com/quote/AAPL251031P00195000/" xr:uid="{20E868C4-05DC-42DF-A477-98940401AA7F}"/>
    <hyperlink ref="C348" r:id="rId496" display="https://finance.yahoo.com/quote/AAPL/options/?straddle=false&amp;strike=195&amp;type=all" xr:uid="{C8CAA184-8292-4070-9A0D-36762A136621}"/>
    <hyperlink ref="A349" r:id="rId497" display="https://finance.yahoo.com/quote/AAPL251031P00200000/" xr:uid="{2DADE46B-DB76-4BBF-A405-EF3C718AD40B}"/>
    <hyperlink ref="C349" r:id="rId498" display="https://finance.yahoo.com/quote/AAPL/options/?straddle=false&amp;strike=200&amp;type=all" xr:uid="{A485EEBF-B479-40B1-BB0F-D4735046CA5A}"/>
    <hyperlink ref="A350" r:id="rId499" display="https://finance.yahoo.com/quote/AAPL251031P00205000/" xr:uid="{EC204E46-378F-46C3-8069-102251A89157}"/>
    <hyperlink ref="C350" r:id="rId500" display="https://finance.yahoo.com/quote/AAPL/options/?straddle=false&amp;strike=205&amp;type=all" xr:uid="{5DDF0165-91BE-4488-B55B-109B00DBFAF3}"/>
    <hyperlink ref="A351" r:id="rId501" display="https://finance.yahoo.com/quote/AAPL251031P00210000/" xr:uid="{BB66C7C4-043C-4742-9292-801FF005A043}"/>
    <hyperlink ref="C351" r:id="rId502" display="https://finance.yahoo.com/quote/AAPL/options/?straddle=false&amp;strike=210&amp;type=all" xr:uid="{AAD187DE-6C55-48A6-82F0-F95E2CAB51A9}"/>
    <hyperlink ref="A352" r:id="rId503" display="https://finance.yahoo.com/quote/AAPL251031P00215000/" xr:uid="{59E03680-C325-40C9-98C3-BD3DE3F20F1A}"/>
    <hyperlink ref="C352" r:id="rId504" display="https://finance.yahoo.com/quote/AAPL/options/?straddle=false&amp;strike=215&amp;type=all" xr:uid="{A8CDA02C-2289-42BE-860A-7BE93596377A}"/>
    <hyperlink ref="A353" r:id="rId505" display="https://finance.yahoo.com/quote/AAPL251031P00220000/" xr:uid="{6DF4CEAF-488B-4E35-8FEF-605D99EE7C19}"/>
    <hyperlink ref="C353" r:id="rId506" display="https://finance.yahoo.com/quote/AAPL/options/?straddle=false&amp;strike=220&amp;type=all" xr:uid="{8A9B9471-8DA1-4CB1-8DEA-28345FAB4ED0}"/>
    <hyperlink ref="A354" r:id="rId507" display="https://finance.yahoo.com/quote/AAPL251031P00225000/" xr:uid="{079053B4-63A3-4A12-82CC-74D33BD6033C}"/>
    <hyperlink ref="C354" r:id="rId508" display="https://finance.yahoo.com/quote/AAPL/options/?straddle=false&amp;strike=225&amp;type=all" xr:uid="{72A256AE-51EF-4B7A-B0F4-1B8B6546E70B}"/>
    <hyperlink ref="A355" r:id="rId509" display="https://finance.yahoo.com/quote/AAPL251031P00230000/" xr:uid="{B51B545B-D4DE-4207-99CC-5116FE52AB8E}"/>
    <hyperlink ref="C355" r:id="rId510" display="https://finance.yahoo.com/quote/AAPL/options/?straddle=false&amp;strike=230&amp;type=all" xr:uid="{C83CCF81-18B8-4079-8252-CE1F9443C198}"/>
    <hyperlink ref="A356" r:id="rId511" display="https://finance.yahoo.com/quote/AAPL251031P00235000/" xr:uid="{D8F07369-414B-408D-90EB-F8BA4B8E2D80}"/>
    <hyperlink ref="C356" r:id="rId512" display="https://finance.yahoo.com/quote/AAPL/options/?straddle=false&amp;strike=235&amp;type=all" xr:uid="{E4422077-AACA-4599-9727-8920170DE5D9}"/>
    <hyperlink ref="A357" r:id="rId513" display="https://finance.yahoo.com/quote/AAPL251031P00240000/" xr:uid="{49AE0B70-3174-42E1-8A7E-66F4F3AC17B4}"/>
    <hyperlink ref="C357" r:id="rId514" display="https://finance.yahoo.com/quote/AAPL/options/?straddle=false&amp;strike=240&amp;type=all" xr:uid="{A91ABD0F-4CA2-49F1-B328-387D67EF7351}"/>
    <hyperlink ref="A358" r:id="rId515" display="https://finance.yahoo.com/quote/AAPL251031P00245000/" xr:uid="{983956B1-22CB-49D4-A008-A7134919A655}"/>
    <hyperlink ref="C358" r:id="rId516" display="https://finance.yahoo.com/quote/AAPL/options/?straddle=false&amp;strike=245&amp;type=all" xr:uid="{A0E239A2-71E5-4279-ABB9-FD7E3DF963DA}"/>
    <hyperlink ref="A359" r:id="rId517" display="https://finance.yahoo.com/quote/AAPL251031P00250000/" xr:uid="{7F604135-1F37-4F06-90FA-1F7867CB0B47}"/>
    <hyperlink ref="C359" r:id="rId518" display="https://finance.yahoo.com/quote/AAPL/options/?straddle=false&amp;strike=250&amp;type=all" xr:uid="{6E2E49B8-BCCD-4F0C-AE0D-AB31DA7C39C7}"/>
    <hyperlink ref="A360" r:id="rId519" display="https://finance.yahoo.com/quote/AAPL251031P00255000/" xr:uid="{D51B6621-FC04-4F58-91FD-A311A7950088}"/>
    <hyperlink ref="C360" r:id="rId520" display="https://finance.yahoo.com/quote/AAPL/options/?straddle=false&amp;strike=255&amp;type=all" xr:uid="{EDCABF87-6162-4A09-A175-3FCAA9605BEA}"/>
    <hyperlink ref="A361" r:id="rId521" display="https://finance.yahoo.com/quote/AAPL251031P00260000/" xr:uid="{E6752B7D-47A2-4147-9B20-E63E79F3B54E}"/>
    <hyperlink ref="C361" r:id="rId522" display="https://finance.yahoo.com/quote/AAPL/options/?straddle=false&amp;strike=260&amp;type=all" xr:uid="{C539D778-E354-4F78-A311-3D4781440232}"/>
    <hyperlink ref="A362" r:id="rId523" display="https://finance.yahoo.com/quote/AAPL251031P00265000/" xr:uid="{EB8CA9BF-A2A7-4F03-B6C9-94DB3B98AAE7}"/>
    <hyperlink ref="C362" r:id="rId524" display="https://finance.yahoo.com/quote/AAPL/options/?straddle=false&amp;strike=265&amp;type=all" xr:uid="{A885A23D-E6C0-49C9-8091-6DE09CF29179}"/>
    <hyperlink ref="A363" r:id="rId525" display="https://finance.yahoo.com/quote/AAPL251031P00270000/" xr:uid="{6C258EFC-578D-4EAE-8DCF-838B14FDFCCC}"/>
    <hyperlink ref="C363" r:id="rId526" display="https://finance.yahoo.com/quote/AAPL/options/?straddle=false&amp;strike=270&amp;type=all" xr:uid="{0D4B3A2C-0303-4B12-974E-F536ACAF2260}"/>
    <hyperlink ref="A364" r:id="rId527" display="https://finance.yahoo.com/quote/AAPL251031P00275000/" xr:uid="{2BF5C813-3939-4721-91B1-3546E590582C}"/>
    <hyperlink ref="C364" r:id="rId528" display="https://finance.yahoo.com/quote/AAPL/options/?straddle=false&amp;strike=275&amp;type=all" xr:uid="{CA40A80B-1E6C-47DC-8755-CC5D85809932}"/>
    <hyperlink ref="A365" r:id="rId529" display="https://finance.yahoo.com/quote/AAPL251031P00280000/" xr:uid="{082E4D09-FFF1-408B-BE4D-F0CCC8EF83AE}"/>
    <hyperlink ref="C365" r:id="rId530" display="https://finance.yahoo.com/quote/AAPL/options/?straddle=false&amp;strike=280&amp;type=all" xr:uid="{E94F58B9-AA3C-43CD-862F-E794F401D9F5}"/>
    <hyperlink ref="A366" r:id="rId531" display="https://finance.yahoo.com/quote/AAPL251031P00285000/" xr:uid="{69A1B240-DF19-498F-A78F-96B883E9EE7E}"/>
    <hyperlink ref="C366" r:id="rId532" display="https://finance.yahoo.com/quote/AAPL/options/?straddle=false&amp;strike=285&amp;type=all" xr:uid="{3CB1BD4A-38C5-4841-9E37-D5F1C5559A58}"/>
    <hyperlink ref="A367" r:id="rId533" display="https://finance.yahoo.com/quote/AAPL251031P00290000/" xr:uid="{40B62215-5220-401C-BF1A-1CA0E687608E}"/>
    <hyperlink ref="C367" r:id="rId534" display="https://finance.yahoo.com/quote/AAPL/options/?straddle=false&amp;strike=290&amp;type=all" xr:uid="{3A7EB24A-1246-4A99-8DEB-FA1A24F21CA6}"/>
    <hyperlink ref="A368" r:id="rId535" display="https://finance.yahoo.com/quote/AAPL251031P00295000/" xr:uid="{1ED6E112-6463-4F0A-B13A-062994F10C0C}"/>
    <hyperlink ref="C368" r:id="rId536" display="https://finance.yahoo.com/quote/AAPL/options/?straddle=false&amp;strike=295&amp;type=all" xr:uid="{2E2AD681-DF34-4B53-8187-5F8115FD85C7}"/>
    <hyperlink ref="A369" r:id="rId537" display="https://finance.yahoo.com/quote/AAPL251031P00300000/" xr:uid="{9F038DC0-545A-4A85-8BB2-3BD7C6B6DE19}"/>
    <hyperlink ref="C369" r:id="rId538" display="https://finance.yahoo.com/quote/AAPL/options/?straddle=false&amp;strike=300&amp;type=all" xr:uid="{188F6945-EB7A-4280-8992-BAFCF186AE65}"/>
    <hyperlink ref="A370" r:id="rId539" display="https://finance.yahoo.com/quote/AAPL251031P00310000/" xr:uid="{C2BC9876-37AB-42C1-A3F9-3205796EBEFC}"/>
    <hyperlink ref="C370" r:id="rId540" display="https://finance.yahoo.com/quote/AAPL/options/?straddle=false&amp;strike=310&amp;type=all" xr:uid="{1B872AA4-92A3-4D09-8EE6-56BDC2ED7CE1}"/>
    <hyperlink ref="A371" r:id="rId541" display="https://finance.yahoo.com/quote/AAPL251031P00315000/" xr:uid="{969F6AD0-4D0C-4D6A-9CA0-291C2CDF4147}"/>
    <hyperlink ref="C371" r:id="rId542" display="https://finance.yahoo.com/quote/AAPL/options/?straddle=false&amp;strike=315&amp;type=all" xr:uid="{E15CC3E8-62CF-480B-B316-9FE65233C4CD}"/>
    <hyperlink ref="A372" r:id="rId543" display="https://finance.yahoo.com/quote/AAPL251107C00120000/" xr:uid="{C9C2C355-C7B4-41F5-94E6-DA560DFC0D05}"/>
    <hyperlink ref="C372" r:id="rId544" display="https://finance.yahoo.com/quote/AAPL/options/?straddle=false&amp;strike=120&amp;type=all" xr:uid="{E429DD60-8B87-43C7-B1E5-3549DAB883D0}"/>
    <hyperlink ref="A373" r:id="rId545" display="https://finance.yahoo.com/quote/AAPL251107C00200000/" xr:uid="{37C23577-513C-4D05-AA4A-E060F1A139D8}"/>
    <hyperlink ref="C373" r:id="rId546" display="https://finance.yahoo.com/quote/AAPL/options/?straddle=false&amp;strike=200&amp;type=all" xr:uid="{35920AF4-36F4-4969-AD58-5367E49C0C93}"/>
    <hyperlink ref="A374" r:id="rId547" display="https://finance.yahoo.com/quote/AAPL251107C00215000/" xr:uid="{E6FD42F8-3C05-4531-8F0B-C57AF4193E6F}"/>
    <hyperlink ref="C374" r:id="rId548" display="https://finance.yahoo.com/quote/AAPL/options/?straddle=false&amp;strike=215&amp;type=all" xr:uid="{E320E0C2-3341-46BA-96C6-4F605426B63B}"/>
    <hyperlink ref="A375" r:id="rId549" display="https://finance.yahoo.com/quote/AAPL251107C00220000/" xr:uid="{ABD62BCC-6CF0-43AC-BFFB-DC0F40D28F6D}"/>
    <hyperlink ref="C375" r:id="rId550" display="https://finance.yahoo.com/quote/AAPL/options/?straddle=false&amp;strike=220&amp;type=all" xr:uid="{4486C9ED-304B-48AB-9606-4A5D488D2A5A}"/>
    <hyperlink ref="A376" r:id="rId551" display="https://finance.yahoo.com/quote/AAPL251107C00225000/" xr:uid="{F0DC1711-F628-4D11-912B-8DE4EAD8903A}"/>
    <hyperlink ref="C376" r:id="rId552" display="https://finance.yahoo.com/quote/AAPL/options/?straddle=false&amp;strike=225&amp;type=all" xr:uid="{E94CD521-33D8-47C3-BA1E-9AA576D8D23B}"/>
    <hyperlink ref="A377" r:id="rId553" display="https://finance.yahoo.com/quote/AAPL251107C00230000/" xr:uid="{504F6086-4D44-420A-95E4-0DD8B171B45C}"/>
    <hyperlink ref="C377" r:id="rId554" display="https://finance.yahoo.com/quote/AAPL/options/?straddle=false&amp;strike=230&amp;type=all" xr:uid="{5DDB5C13-B7B7-4365-B04A-B83D093AFFA6}"/>
    <hyperlink ref="A378" r:id="rId555" display="https://finance.yahoo.com/quote/AAPL251107C00235000/" xr:uid="{FE304D12-7903-44D8-9873-CDAE87C6F3DF}"/>
    <hyperlink ref="C378" r:id="rId556" display="https://finance.yahoo.com/quote/AAPL/options/?straddle=false&amp;strike=235&amp;type=all" xr:uid="{E8E09E36-984F-43BD-A50A-CBBBD33B4E5A}"/>
    <hyperlink ref="A379" r:id="rId557" display="https://finance.yahoo.com/quote/AAPL251107C00240000/" xr:uid="{8CBFD5F5-7EFA-4528-81FE-17413FF41CD7}"/>
    <hyperlink ref="C379" r:id="rId558" display="https://finance.yahoo.com/quote/AAPL/options/?straddle=false&amp;strike=240&amp;type=all" xr:uid="{6B9A9806-8628-4784-B246-1B6827E14AE5}"/>
    <hyperlink ref="A380" r:id="rId559" display="https://finance.yahoo.com/quote/AAPL251107C00245000/" xr:uid="{3F8B41FB-57C2-4972-B9AD-E7B55E8A8785}"/>
    <hyperlink ref="C380" r:id="rId560" display="https://finance.yahoo.com/quote/AAPL/options/?straddle=false&amp;strike=245&amp;type=all" xr:uid="{D6425F85-3635-45E3-A1E1-51B5AFC83C11}"/>
    <hyperlink ref="A381" r:id="rId561" display="https://finance.yahoo.com/quote/AAPL251107C00250000/" xr:uid="{266C1D70-A402-4A3D-BE97-52F83978F2FC}"/>
    <hyperlink ref="C381" r:id="rId562" display="https://finance.yahoo.com/quote/AAPL/options/?straddle=false&amp;strike=250&amp;type=all" xr:uid="{215CB7F8-2F12-463D-B139-471B5CDECBA1}"/>
    <hyperlink ref="A382" r:id="rId563" display="https://finance.yahoo.com/quote/AAPL251107C00255000/" xr:uid="{C5D2040D-3FD1-49DA-81B0-FD3DAC93B91F}"/>
    <hyperlink ref="C382" r:id="rId564" display="https://finance.yahoo.com/quote/AAPL/options/?straddle=false&amp;strike=255&amp;type=all" xr:uid="{69B97D40-1CD5-4877-8303-4DEDBABAF749}"/>
    <hyperlink ref="A383" r:id="rId565" display="https://finance.yahoo.com/quote/AAPL251107C00260000/" xr:uid="{A1BD8EF3-A52D-449C-876D-122DC71122B6}"/>
    <hyperlink ref="C383" r:id="rId566" display="https://finance.yahoo.com/quote/AAPL/options/?straddle=false&amp;strike=260&amp;type=all" xr:uid="{B919E90D-9D10-471C-AAB8-674B28B835D2}"/>
    <hyperlink ref="A384" r:id="rId567" display="https://finance.yahoo.com/quote/AAPL251107C00265000/" xr:uid="{D6B54B57-85CE-4C5A-BA53-CD6C68DB182E}"/>
    <hyperlink ref="C384" r:id="rId568" display="https://finance.yahoo.com/quote/AAPL/options/?straddle=false&amp;strike=265&amp;type=all" xr:uid="{2EF29166-1650-4D06-A405-C077C0ED3225}"/>
    <hyperlink ref="A385" r:id="rId569" display="https://finance.yahoo.com/quote/AAPL251107C00270000/" xr:uid="{53DA899D-B0AB-4779-BDD3-7377D27AAD4F}"/>
    <hyperlink ref="C385" r:id="rId570" display="https://finance.yahoo.com/quote/AAPL/options/?straddle=false&amp;strike=270&amp;type=all" xr:uid="{7D1D2218-2D45-4310-858B-8FCF3B3C9861}"/>
    <hyperlink ref="A386" r:id="rId571" display="https://finance.yahoo.com/quote/AAPL251107C00275000/" xr:uid="{B0C9EF3C-0462-4CA9-A805-1D9E20630983}"/>
    <hyperlink ref="C386" r:id="rId572" display="https://finance.yahoo.com/quote/AAPL/options/?straddle=false&amp;strike=275&amp;type=all" xr:uid="{9818EC68-C508-40BC-B9A7-2A4EBFEF3A3A}"/>
    <hyperlink ref="A387" r:id="rId573" display="https://finance.yahoo.com/quote/AAPL251107C00280000/" xr:uid="{CC2D9522-0A56-40E8-862E-620C68A420A3}"/>
    <hyperlink ref="C387" r:id="rId574" display="https://finance.yahoo.com/quote/AAPL/options/?straddle=false&amp;strike=280&amp;type=all" xr:uid="{4B9870AE-4940-4EBA-B266-56E0998BA730}"/>
    <hyperlink ref="A388" r:id="rId575" display="https://finance.yahoo.com/quote/AAPL251107C00285000/" xr:uid="{C8E796A6-DF79-4F70-A47B-BB45469F7939}"/>
    <hyperlink ref="C388" r:id="rId576" display="https://finance.yahoo.com/quote/AAPL/options/?straddle=false&amp;strike=285&amp;type=all" xr:uid="{DD330D86-9A48-440F-8428-5538B37C46C7}"/>
    <hyperlink ref="A389" r:id="rId577" display="https://finance.yahoo.com/quote/AAPL251107C00290000/" xr:uid="{B8D79F0A-2FED-4773-B731-9590ABFD040E}"/>
    <hyperlink ref="C389" r:id="rId578" display="https://finance.yahoo.com/quote/AAPL/options/?straddle=false&amp;strike=290&amp;type=all" xr:uid="{22B1A2EA-1C23-474C-9E2B-07A5464270E6}"/>
    <hyperlink ref="A390" r:id="rId579" display="https://finance.yahoo.com/quote/AAPL251107C00295000/" xr:uid="{3ECCDD88-00F6-4081-96C6-82E18C13AA1F}"/>
    <hyperlink ref="C390" r:id="rId580" display="https://finance.yahoo.com/quote/AAPL/options/?straddle=false&amp;strike=295&amp;type=all" xr:uid="{ED356A1F-EDE2-40AC-BA0C-97EBC56B6228}"/>
    <hyperlink ref="A391" r:id="rId581" display="https://finance.yahoo.com/quote/AAPL251107C00300000/" xr:uid="{AF066FC0-53C5-46D4-9180-C56E7D7065B8}"/>
    <hyperlink ref="C391" r:id="rId582" display="https://finance.yahoo.com/quote/AAPL/options/?straddle=false&amp;strike=300&amp;type=all" xr:uid="{16D6340F-E07B-46C6-B8B7-283451959483}"/>
    <hyperlink ref="A392" r:id="rId583" display="https://finance.yahoo.com/quote/AAPL251107C00305000/" xr:uid="{7BB9D228-CCCE-4A80-86AA-3399B99D882C}"/>
    <hyperlink ref="C392" r:id="rId584" display="https://finance.yahoo.com/quote/AAPL/options/?straddle=false&amp;strike=305&amp;type=all" xr:uid="{2C75EF73-D79F-4DFE-9C53-268251546594}"/>
    <hyperlink ref="A393" r:id="rId585" display="https://finance.yahoo.com/quote/AAPL251107C00320000/" xr:uid="{03333480-DB61-4E77-A570-BA5C3CE4F30C}"/>
    <hyperlink ref="C393" r:id="rId586" display="https://finance.yahoo.com/quote/AAPL/options/?straddle=false&amp;strike=320&amp;type=all" xr:uid="{06940277-3953-4A35-9520-E7E75B943088}"/>
    <hyperlink ref="A394" r:id="rId587" display="https://finance.yahoo.com/quote/AAPL251107C00325000/" xr:uid="{166F58EB-DD4C-478F-B541-12D38E63A276}"/>
    <hyperlink ref="C394" r:id="rId588" display="https://finance.yahoo.com/quote/AAPL/options/?straddle=false&amp;strike=325&amp;type=all" xr:uid="{E1B41B72-07DE-4104-8364-A03DBB0DEC51}"/>
    <hyperlink ref="A395" r:id="rId589" display="https://finance.yahoo.com/quote/AAPL251107P00180000/" xr:uid="{A0BE5FF9-6B7C-4C4E-ABC5-EAB144AF4F11}"/>
    <hyperlink ref="C395" r:id="rId590" display="https://finance.yahoo.com/quote/AAPL/options/?straddle=false&amp;strike=180&amp;type=all" xr:uid="{A412704C-2781-4711-BFF3-0BDF11682FF9}"/>
    <hyperlink ref="A396" r:id="rId591" display="https://finance.yahoo.com/quote/AAPL251107P00185000/" xr:uid="{9CF90AF5-1BA2-412D-B47B-8D08FA599488}"/>
    <hyperlink ref="C396" r:id="rId592" display="https://finance.yahoo.com/quote/AAPL/options/?straddle=false&amp;strike=185&amp;type=all" xr:uid="{62FFE9E0-4C85-4D78-8CB9-E894DAD3812F}"/>
    <hyperlink ref="A397" r:id="rId593" display="https://finance.yahoo.com/quote/AAPL251107P00190000/" xr:uid="{327D271F-440A-4C4B-BE40-B80A9844E578}"/>
    <hyperlink ref="C397" r:id="rId594" display="https://finance.yahoo.com/quote/AAPL/options/?straddle=false&amp;strike=190&amp;type=all" xr:uid="{CE6896E9-8067-49F7-9FCB-59E8FCC9AB29}"/>
    <hyperlink ref="A398" r:id="rId595" display="https://finance.yahoo.com/quote/AAPL251107P00195000/" xr:uid="{70233375-3650-4896-A2C9-FECA7B152898}"/>
    <hyperlink ref="C398" r:id="rId596" display="https://finance.yahoo.com/quote/AAPL/options/?straddle=false&amp;strike=195&amp;type=all" xr:uid="{C47BBD3C-F77B-492E-8A67-89CB7EF512CC}"/>
    <hyperlink ref="A399" r:id="rId597" display="https://finance.yahoo.com/quote/AAPL251107P00200000/" xr:uid="{6D904798-0DDC-4555-A6B3-FD467862ADC5}"/>
    <hyperlink ref="C399" r:id="rId598" display="https://finance.yahoo.com/quote/AAPL/options/?straddle=false&amp;strike=200&amp;type=all" xr:uid="{5244406A-A45F-4BC5-94E3-FF2831F9A236}"/>
    <hyperlink ref="A400" r:id="rId599" display="https://finance.yahoo.com/quote/AAPL251107P00205000/" xr:uid="{6A37E5CD-0B69-49ED-89BB-7842B91D2F2D}"/>
    <hyperlink ref="C400" r:id="rId600" display="https://finance.yahoo.com/quote/AAPL/options/?straddle=false&amp;strike=205&amp;type=all" xr:uid="{C6DBD2A0-4A8C-4073-9B7D-3EDE9D0762F9}"/>
    <hyperlink ref="A401" r:id="rId601" display="https://finance.yahoo.com/quote/AAPL251107P00210000/" xr:uid="{5588C07E-16D4-4A7E-860F-6621090B4610}"/>
    <hyperlink ref="C401" r:id="rId602" display="https://finance.yahoo.com/quote/AAPL/options/?straddle=false&amp;strike=210&amp;type=all" xr:uid="{1CE5E7D9-9D3D-45C7-AA2F-37C9BF86643B}"/>
    <hyperlink ref="A402" r:id="rId603" display="https://finance.yahoo.com/quote/AAPL251107P00215000/" xr:uid="{41F66C29-EE9D-47FB-829B-F620DA448E74}"/>
    <hyperlink ref="C402" r:id="rId604" display="https://finance.yahoo.com/quote/AAPL/options/?straddle=false&amp;strike=215&amp;type=all" xr:uid="{87F2F49C-D8D0-4D07-91FD-6BC1A6D9B548}"/>
    <hyperlink ref="A403" r:id="rId605" display="https://finance.yahoo.com/quote/AAPL251107P00220000/" xr:uid="{6B8D88F4-50DD-4C8A-A100-2D53157AF979}"/>
    <hyperlink ref="C403" r:id="rId606" display="https://finance.yahoo.com/quote/AAPL/options/?straddle=false&amp;strike=220&amp;type=all" xr:uid="{C5BC7EC5-9564-42CB-8BFB-36170CAA39BF}"/>
    <hyperlink ref="A404" r:id="rId607" display="https://finance.yahoo.com/quote/AAPL251107P00225000/" xr:uid="{F5975E76-4C7E-4081-8FC7-6C016599351A}"/>
    <hyperlink ref="C404" r:id="rId608" display="https://finance.yahoo.com/quote/AAPL/options/?straddle=false&amp;strike=225&amp;type=all" xr:uid="{02F4D0CE-BC70-4B0A-8DBE-1FA21A815391}"/>
    <hyperlink ref="A405" r:id="rId609" display="https://finance.yahoo.com/quote/AAPL251107P00230000/" xr:uid="{A2D13C02-7F0B-484D-8E13-23066AFFAA3E}"/>
    <hyperlink ref="C405" r:id="rId610" display="https://finance.yahoo.com/quote/AAPL/options/?straddle=false&amp;strike=230&amp;type=all" xr:uid="{1D150816-6EEC-4BF7-AA03-1F071B2DA1E5}"/>
    <hyperlink ref="A406" r:id="rId611" display="https://finance.yahoo.com/quote/AAPL251107P00235000/" xr:uid="{34D39E31-9271-44AD-8553-AC0D7173CE5B}"/>
    <hyperlink ref="C406" r:id="rId612" display="https://finance.yahoo.com/quote/AAPL/options/?straddle=false&amp;strike=235&amp;type=all" xr:uid="{E0F3C438-4900-4CF2-AAB0-778A14614145}"/>
    <hyperlink ref="A407" r:id="rId613" display="https://finance.yahoo.com/quote/AAPL251107P00240000/" xr:uid="{96597C06-66CB-4A7E-9744-926AE3909557}"/>
    <hyperlink ref="C407" r:id="rId614" display="https://finance.yahoo.com/quote/AAPL/options/?straddle=false&amp;strike=240&amp;type=all" xr:uid="{E02B8F64-B6E3-41F1-871D-899ADBE73BA9}"/>
    <hyperlink ref="A408" r:id="rId615" display="https://finance.yahoo.com/quote/AAPL251107P00245000/" xr:uid="{D23670C3-00E6-4A89-9B3D-DF409FE083E7}"/>
    <hyperlink ref="C408" r:id="rId616" display="https://finance.yahoo.com/quote/AAPL/options/?straddle=false&amp;strike=245&amp;type=all" xr:uid="{ADCA0FE6-AB14-4CAE-9682-FBE6E167E7E0}"/>
    <hyperlink ref="A409" r:id="rId617" display="https://finance.yahoo.com/quote/AAPL251107P00250000/" xr:uid="{1DB9C6A8-4628-4B0E-BD39-CD9284015AC4}"/>
    <hyperlink ref="C409" r:id="rId618" display="https://finance.yahoo.com/quote/AAPL/options/?straddle=false&amp;strike=250&amp;type=all" xr:uid="{0402FCF2-D72E-458B-A348-CB7F00FC8113}"/>
    <hyperlink ref="A410" r:id="rId619" display="https://finance.yahoo.com/quote/AAPL251107P00255000/" xr:uid="{6F5101B1-3B86-477E-824B-0C0BFD44E45E}"/>
    <hyperlink ref="C410" r:id="rId620" display="https://finance.yahoo.com/quote/AAPL/options/?straddle=false&amp;strike=255&amp;type=all" xr:uid="{6DB58898-168F-42FF-83F3-EB1CF6BC651B}"/>
    <hyperlink ref="A411" r:id="rId621" display="https://finance.yahoo.com/quote/AAPL251107P00260000/" xr:uid="{A3AAA04F-583E-4E9F-95F1-F6F8857FAD8C}"/>
    <hyperlink ref="C411" r:id="rId622" display="https://finance.yahoo.com/quote/AAPL/options/?straddle=false&amp;strike=260&amp;type=all" xr:uid="{36D06E6D-F76E-4219-9ACA-83E5842048FC}"/>
    <hyperlink ref="A412" r:id="rId623" display="https://finance.yahoo.com/quote/AAPL251107P00265000/" xr:uid="{DFFA608D-8526-4CFC-8998-EFE7FFC8FB8D}"/>
    <hyperlink ref="C412" r:id="rId624" display="https://finance.yahoo.com/quote/AAPL/options/?straddle=false&amp;strike=265&amp;type=all" xr:uid="{F942B26F-5504-4994-942E-86C1F9817C0C}"/>
    <hyperlink ref="A413" r:id="rId625" display="https://finance.yahoo.com/quote/AAPL251121C00100000/" xr:uid="{73E178D5-F7F0-41CC-9C64-FF0D74481805}"/>
    <hyperlink ref="C413" r:id="rId626" display="https://finance.yahoo.com/quote/AAPL/options/?straddle=false&amp;strike=100&amp;type=all" xr:uid="{3D2C3001-18B2-4827-8A65-F59405482E4B}"/>
    <hyperlink ref="A414" r:id="rId627" display="https://finance.yahoo.com/quote/AAPL251121C00105000/" xr:uid="{08876169-9613-4D36-B2BD-E405DE7D1D21}"/>
    <hyperlink ref="C414" r:id="rId628" display="https://finance.yahoo.com/quote/AAPL/options/?straddle=false&amp;strike=105&amp;type=all" xr:uid="{7B9294C1-8480-476F-8212-E9819225F182}"/>
    <hyperlink ref="A415" r:id="rId629" display="https://finance.yahoo.com/quote/AAPL251121C00110000/" xr:uid="{BA3CC644-24C7-4624-9F02-D48B0EBE0170}"/>
    <hyperlink ref="C415" r:id="rId630" display="https://finance.yahoo.com/quote/AAPL/options/?straddle=false&amp;strike=110&amp;type=all" xr:uid="{F7C5F535-7244-40A7-8A2B-026B8E4E6F26}"/>
    <hyperlink ref="A416" r:id="rId631" display="https://finance.yahoo.com/quote/AAPL251121C00115000/" xr:uid="{D0D00F09-87C8-4F8E-871E-7624E8003EE6}"/>
    <hyperlink ref="C416" r:id="rId632" display="https://finance.yahoo.com/quote/AAPL/options/?straddle=false&amp;strike=115&amp;type=all" xr:uid="{D609B71A-FE4F-4B72-865E-3F2C7480D4CA}"/>
    <hyperlink ref="A417" r:id="rId633" display="https://finance.yahoo.com/quote/AAPL251121C00120000/" xr:uid="{5BDCFD60-E6EE-4DDC-99C2-D6164872292B}"/>
    <hyperlink ref="C417" r:id="rId634" display="https://finance.yahoo.com/quote/AAPL/options/?straddle=false&amp;strike=120&amp;type=all" xr:uid="{070B9E91-21B0-4F7A-8BF3-4C7C42770B2A}"/>
    <hyperlink ref="A418" r:id="rId635" display="https://finance.yahoo.com/quote/AAPL251121C00125000/" xr:uid="{839BC1BF-8A79-4BCE-9C07-D9AA02159E42}"/>
    <hyperlink ref="C418" r:id="rId636" display="https://finance.yahoo.com/quote/AAPL/options/?straddle=false&amp;strike=125&amp;type=all" xr:uid="{476E3E2A-74E3-445D-BF6C-8EA7AB6A0DB3}"/>
    <hyperlink ref="A419" r:id="rId637" display="https://finance.yahoo.com/quote/AAPL251121C00130000/" xr:uid="{75DB712C-3206-4D05-B708-2F8F8BDBB790}"/>
    <hyperlink ref="C419" r:id="rId638" display="https://finance.yahoo.com/quote/AAPL/options/?straddle=false&amp;strike=130&amp;type=all" xr:uid="{95EE5EEE-F397-4AC1-BFE7-2A7763170064}"/>
    <hyperlink ref="A420" r:id="rId639" display="https://finance.yahoo.com/quote/AAPL251121C00135000/" xr:uid="{BAC7FA62-BE5C-4F0B-9830-0482FCF5B636}"/>
    <hyperlink ref="C420" r:id="rId640" display="https://finance.yahoo.com/quote/AAPL/options/?straddle=false&amp;strike=135&amp;type=all" xr:uid="{802DA46E-AE81-4DF8-981C-05325D79C5A4}"/>
    <hyperlink ref="A421" r:id="rId641" display="https://finance.yahoo.com/quote/AAPL251121C00140000/" xr:uid="{2054E3F9-DD2A-47E9-BF89-41EF7FE02C42}"/>
    <hyperlink ref="C421" r:id="rId642" display="https://finance.yahoo.com/quote/AAPL/options/?straddle=false&amp;strike=140&amp;type=all" xr:uid="{96DE046C-9219-46E7-B38F-7078892DC495}"/>
    <hyperlink ref="A422" r:id="rId643" display="https://finance.yahoo.com/quote/AAPL251121C00145000/" xr:uid="{F6C8806E-4E83-4F6B-8F9F-7B2B9EFF39BB}"/>
    <hyperlink ref="C422" r:id="rId644" display="https://finance.yahoo.com/quote/AAPL/options/?straddle=false&amp;strike=145&amp;type=all" xr:uid="{CDFA9267-C0D6-4AC2-AFA7-1A2419C90494}"/>
    <hyperlink ref="A423" r:id="rId645" display="https://finance.yahoo.com/quote/AAPL251121C00150000/" xr:uid="{F70BBE47-1DFF-4A7F-9F51-1AE02377A687}"/>
    <hyperlink ref="C423" r:id="rId646" display="https://finance.yahoo.com/quote/AAPL/options/?straddle=false&amp;strike=150&amp;type=all" xr:uid="{84CD3678-6D60-44DE-9904-FFC3DABA6769}"/>
    <hyperlink ref="A424" r:id="rId647" display="https://finance.yahoo.com/quote/AAPL251121C00155000/" xr:uid="{83A17DE0-65E5-4C19-97AD-B42EA06ED801}"/>
    <hyperlink ref="C424" r:id="rId648" display="https://finance.yahoo.com/quote/AAPL/options/?straddle=false&amp;strike=155&amp;type=all" xr:uid="{FCFCDC73-C227-4434-8E71-81EA2F4BADCD}"/>
    <hyperlink ref="A425" r:id="rId649" display="https://finance.yahoo.com/quote/AAPL251121C00160000/" xr:uid="{1EB76A7E-FEDF-42B7-988B-9897F2CF39F5}"/>
    <hyperlink ref="C425" r:id="rId650" display="https://finance.yahoo.com/quote/AAPL/options/?straddle=false&amp;strike=160&amp;type=all" xr:uid="{9D11E128-CB7F-43C7-84EA-6C2DFE0C916B}"/>
    <hyperlink ref="A426" r:id="rId651" display="https://finance.yahoo.com/quote/AAPL251121C00165000/" xr:uid="{E03B7F9D-A16C-4AA1-95EA-7C229CB7FE91}"/>
    <hyperlink ref="C426" r:id="rId652" display="https://finance.yahoo.com/quote/AAPL/options/?straddle=false&amp;strike=165&amp;type=all" xr:uid="{906EE8DC-5E53-4A91-AC77-9CF11FE078FA}"/>
    <hyperlink ref="A427" r:id="rId653" display="https://finance.yahoo.com/quote/AAPL251121C00170000/" xr:uid="{4347A080-8E75-43FE-9358-5B3CB9C8F18C}"/>
    <hyperlink ref="C427" r:id="rId654" display="https://finance.yahoo.com/quote/AAPL/options/?straddle=false&amp;strike=170&amp;type=all" xr:uid="{C979CFD7-8A9B-4FF8-8274-2F74E2A30494}"/>
    <hyperlink ref="A428" r:id="rId655" display="https://finance.yahoo.com/quote/AAPL251121C00175000/" xr:uid="{03975F15-BC35-4421-ABA9-683ABFCF664E}"/>
    <hyperlink ref="C428" r:id="rId656" display="https://finance.yahoo.com/quote/AAPL/options/?straddle=false&amp;strike=175&amp;type=all" xr:uid="{94D11922-4258-47DE-83FF-CA56024506B9}"/>
    <hyperlink ref="A429" r:id="rId657" display="https://finance.yahoo.com/quote/AAPL251121C00180000/" xr:uid="{6C0D1871-2087-494F-AA55-FB579001DFC1}"/>
    <hyperlink ref="C429" r:id="rId658" display="https://finance.yahoo.com/quote/AAPL/options/?straddle=false&amp;strike=180&amp;type=all" xr:uid="{A7666021-54DB-4D3E-983E-2F22482F32DB}"/>
    <hyperlink ref="A430" r:id="rId659" display="https://finance.yahoo.com/quote/AAPL251121C00185000/" xr:uid="{2B56C8A5-B1BE-4213-A1DE-B252C8C18AD8}"/>
    <hyperlink ref="C430" r:id="rId660" display="https://finance.yahoo.com/quote/AAPL/options/?straddle=false&amp;strike=185&amp;type=all" xr:uid="{C12803F9-99AC-493C-A5F4-5B64D3C562C0}"/>
    <hyperlink ref="A431" r:id="rId661" display="https://finance.yahoo.com/quote/AAPL251121C00190000/" xr:uid="{1BCD5382-D417-4001-8170-FC19D07421F1}"/>
    <hyperlink ref="C431" r:id="rId662" display="https://finance.yahoo.com/quote/AAPL/options/?straddle=false&amp;strike=190&amp;type=all" xr:uid="{640AA052-DE3D-46E9-867F-5E1F652F12D6}"/>
    <hyperlink ref="A432" r:id="rId663" display="https://finance.yahoo.com/quote/AAPL251121C00195000/" xr:uid="{88AED987-3D48-4FAF-ADC4-BD5951F56231}"/>
    <hyperlink ref="C432" r:id="rId664" display="https://finance.yahoo.com/quote/AAPL/options/?straddle=false&amp;strike=195&amp;type=all" xr:uid="{52AE110F-6612-4C9B-A41A-C67D89AB5DC7}"/>
    <hyperlink ref="A433" r:id="rId665" display="https://finance.yahoo.com/quote/AAPL251121C00200000/" xr:uid="{937D3438-C550-46F0-AFD1-2091418C6C11}"/>
    <hyperlink ref="C433" r:id="rId666" display="https://finance.yahoo.com/quote/AAPL/options/?straddle=false&amp;strike=200&amp;type=all" xr:uid="{FF322847-9D09-4379-B22D-55756C027312}"/>
    <hyperlink ref="A434" r:id="rId667" display="https://finance.yahoo.com/quote/AAPL251121C00205000/" xr:uid="{6547F1B3-4115-42E9-A2B5-5D965ADA84D7}"/>
    <hyperlink ref="C434" r:id="rId668" display="https://finance.yahoo.com/quote/AAPL/options/?straddle=false&amp;strike=205&amp;type=all" xr:uid="{0C060A23-5894-4FE8-B126-F351F8C6A3C9}"/>
    <hyperlink ref="A435" r:id="rId669" display="https://finance.yahoo.com/quote/AAPL251121C00210000/" xr:uid="{3F076FDE-5BA6-46CD-958D-B2D68795068E}"/>
    <hyperlink ref="C435" r:id="rId670" display="https://finance.yahoo.com/quote/AAPL/options/?straddle=false&amp;strike=210&amp;type=all" xr:uid="{E0C14421-A554-420D-AC00-F5B29F1A156E}"/>
    <hyperlink ref="A436" r:id="rId671" display="https://finance.yahoo.com/quote/AAPL251121C00215000/" xr:uid="{F84A700B-2BF7-4DA0-A549-D42053E41D4A}"/>
    <hyperlink ref="C436" r:id="rId672" display="https://finance.yahoo.com/quote/AAPL/options/?straddle=false&amp;strike=215&amp;type=all" xr:uid="{02BC66D4-E632-43F9-A4BC-B0B0B683723C}"/>
    <hyperlink ref="A437" r:id="rId673" display="https://finance.yahoo.com/quote/AAPL251121C00220000/" xr:uid="{05C85C67-E818-4106-8A97-86EC7273743F}"/>
    <hyperlink ref="C437" r:id="rId674" display="https://finance.yahoo.com/quote/AAPL/options/?straddle=false&amp;strike=220&amp;type=all" xr:uid="{BC624253-4BD7-48B6-8E60-E8FC3DE3C2AF}"/>
    <hyperlink ref="A438" r:id="rId675" display="https://finance.yahoo.com/quote/AAPL251121C00225000/" xr:uid="{0258EA52-4F9D-43E1-BC79-B61B2E69B6E1}"/>
    <hyperlink ref="C438" r:id="rId676" display="https://finance.yahoo.com/quote/AAPL/options/?straddle=false&amp;strike=225&amp;type=all" xr:uid="{7C37B8B3-65D8-494F-8FBE-0E60BBE4EBF4}"/>
    <hyperlink ref="A439" r:id="rId677" display="https://finance.yahoo.com/quote/AAPL251121C00230000/" xr:uid="{872F234E-717F-4AAA-8D83-1AA2E5B58B35}"/>
    <hyperlink ref="C439" r:id="rId678" display="https://finance.yahoo.com/quote/AAPL/options/?straddle=false&amp;strike=230&amp;type=all" xr:uid="{E2032AFB-83E6-469D-B593-50E03661BEEA}"/>
    <hyperlink ref="A440" r:id="rId679" display="https://finance.yahoo.com/quote/AAPL251121C00235000/" xr:uid="{ACC3E1F0-4A26-4A0E-B6A5-2986FC5DB1AA}"/>
    <hyperlink ref="C440" r:id="rId680" display="https://finance.yahoo.com/quote/AAPL/options/?straddle=false&amp;strike=235&amp;type=all" xr:uid="{08334435-7EC7-44AE-8592-12D502D5B863}"/>
    <hyperlink ref="A441" r:id="rId681" display="https://finance.yahoo.com/quote/AAPL251121C00240000/" xr:uid="{52B3F26E-12B5-443C-B727-3348C022F6F2}"/>
    <hyperlink ref="C441" r:id="rId682" display="https://finance.yahoo.com/quote/AAPL/options/?straddle=false&amp;strike=240&amp;type=all" xr:uid="{3675A44C-B622-4C5C-89F7-47AD4601EE44}"/>
    <hyperlink ref="A442" r:id="rId683" display="https://finance.yahoo.com/quote/AAPL251121C00245000/" xr:uid="{82611E1F-FC34-4E45-9ABD-CE3190B76E3B}"/>
    <hyperlink ref="C442" r:id="rId684" display="https://finance.yahoo.com/quote/AAPL/options/?straddle=false&amp;strike=245&amp;type=all" xr:uid="{DC506E08-BA08-47A4-8D65-B8844C2A5D87}"/>
    <hyperlink ref="A443" r:id="rId685" display="https://finance.yahoo.com/quote/AAPL251121C00250000/" xr:uid="{8C0AA6E6-90AB-4DFD-BF0B-9F75AA47B553}"/>
    <hyperlink ref="C443" r:id="rId686" display="https://finance.yahoo.com/quote/AAPL/options/?straddle=false&amp;strike=250&amp;type=all" xr:uid="{6768F2EA-A251-4811-9CDA-4F72C8C07255}"/>
    <hyperlink ref="A444" r:id="rId687" display="https://finance.yahoo.com/quote/AAPL251121C00255000/" xr:uid="{C3DD6042-90B8-4A87-8FFF-FB9A146D4E88}"/>
    <hyperlink ref="C444" r:id="rId688" display="https://finance.yahoo.com/quote/AAPL/options/?straddle=false&amp;strike=255&amp;type=all" xr:uid="{A2C032C2-6F06-4111-8E7C-51BC3A96D3F7}"/>
    <hyperlink ref="A445" r:id="rId689" display="https://finance.yahoo.com/quote/AAPL251121C00260000/" xr:uid="{CC7EF532-F49D-42EC-9616-D1952836CCD3}"/>
    <hyperlink ref="C445" r:id="rId690" display="https://finance.yahoo.com/quote/AAPL/options/?straddle=false&amp;strike=260&amp;type=all" xr:uid="{4DF8BA66-7AD1-4575-97C9-408BEE1CF3B6}"/>
    <hyperlink ref="A446" r:id="rId691" display="https://finance.yahoo.com/quote/AAPL251121C00265000/" xr:uid="{E383654C-5675-4A72-B015-4E08E301E772}"/>
    <hyperlink ref="C446" r:id="rId692" display="https://finance.yahoo.com/quote/AAPL/options/?straddle=false&amp;strike=265&amp;type=all" xr:uid="{50E0AE6D-C35A-441E-BC58-1D587D377E94}"/>
    <hyperlink ref="A447" r:id="rId693" display="https://finance.yahoo.com/quote/AAPL251121C00270000/" xr:uid="{AC68EE55-05CE-4D9F-B8BC-7131CB36A5FC}"/>
    <hyperlink ref="C447" r:id="rId694" display="https://finance.yahoo.com/quote/AAPL/options/?straddle=false&amp;strike=270&amp;type=all" xr:uid="{8434720B-7DD6-4ADF-990C-60BC69751891}"/>
    <hyperlink ref="A448" r:id="rId695" display="https://finance.yahoo.com/quote/AAPL251121C00275000/" xr:uid="{F31087F7-CE23-42D1-9CDD-F5BAE290D9C5}"/>
    <hyperlink ref="C448" r:id="rId696" display="https://finance.yahoo.com/quote/AAPL/options/?straddle=false&amp;strike=275&amp;type=all" xr:uid="{F353A7E6-B080-419C-9F11-A631FCE218B7}"/>
    <hyperlink ref="A449" r:id="rId697" display="https://finance.yahoo.com/quote/AAPL251121C00280000/" xr:uid="{0589D7E8-955B-46D9-94F9-F75C5DBE92B8}"/>
    <hyperlink ref="C449" r:id="rId698" display="https://finance.yahoo.com/quote/AAPL/options/?straddle=false&amp;strike=280&amp;type=all" xr:uid="{D0005722-8BC9-4584-833D-4F46750EFAB6}"/>
    <hyperlink ref="A450" r:id="rId699" display="https://finance.yahoo.com/quote/AAPL251121C00285000/" xr:uid="{6B0DFA8C-8B95-4E43-B2F7-99EED90F3175}"/>
    <hyperlink ref="C450" r:id="rId700" display="https://finance.yahoo.com/quote/AAPL/options/?straddle=false&amp;strike=285&amp;type=all" xr:uid="{0A5034F7-CD38-4D1E-A514-A0CEE7B069D1}"/>
    <hyperlink ref="A451" r:id="rId701" display="https://finance.yahoo.com/quote/AAPL251121C00290000/" xr:uid="{DA07918F-0914-462F-8A1A-B9D3C556CE02}"/>
    <hyperlink ref="C451" r:id="rId702" display="https://finance.yahoo.com/quote/AAPL/options/?straddle=false&amp;strike=290&amp;type=all" xr:uid="{BBF65AF7-93B8-4A10-89FD-99E3921F44E3}"/>
    <hyperlink ref="A452" r:id="rId703" display="https://finance.yahoo.com/quote/AAPL251121C00295000/" xr:uid="{20C46D52-CF19-48AC-9DC0-D862E6BEAB62}"/>
    <hyperlink ref="C452" r:id="rId704" display="https://finance.yahoo.com/quote/AAPL/options/?straddle=false&amp;strike=295&amp;type=all" xr:uid="{EA8EE9E0-D17D-499B-A053-E340BAF415C3}"/>
    <hyperlink ref="A453" r:id="rId705" display="https://finance.yahoo.com/quote/AAPL251121C00300000/" xr:uid="{71EF6BDA-4B63-47AC-8901-1AA1F3BB5353}"/>
    <hyperlink ref="C453" r:id="rId706" display="https://finance.yahoo.com/quote/AAPL/options/?straddle=false&amp;strike=300&amp;type=all" xr:uid="{0A0667A7-0A73-4543-88F8-E9FEC91AF845}"/>
    <hyperlink ref="A454" r:id="rId707" display="https://finance.yahoo.com/quote/AAPL251121C00305000/" xr:uid="{AB660952-1EB9-4EA6-9FFE-AF8309D9FD19}"/>
    <hyperlink ref="C454" r:id="rId708" display="https://finance.yahoo.com/quote/AAPL/options/?straddle=false&amp;strike=305&amp;type=all" xr:uid="{AAF2A3CA-2C3B-483C-98EF-3AD530DC5205}"/>
    <hyperlink ref="A455" r:id="rId709" display="https://finance.yahoo.com/quote/AAPL251121C00310000/" xr:uid="{50AC1588-89D1-4D3E-850E-226FB5257205}"/>
    <hyperlink ref="C455" r:id="rId710" display="https://finance.yahoo.com/quote/AAPL/options/?straddle=false&amp;strike=310&amp;type=all" xr:uid="{5FD12D06-D6CB-47E9-A433-FC191934A40A}"/>
    <hyperlink ref="A456" r:id="rId711" display="https://finance.yahoo.com/quote/AAPL251121C00315000/" xr:uid="{07B4CDC6-C064-47E1-832A-3F1AD36BE210}"/>
    <hyperlink ref="C456" r:id="rId712" display="https://finance.yahoo.com/quote/AAPL/options/?straddle=false&amp;strike=315&amp;type=all" xr:uid="{3E988E52-827C-4DE6-93E1-DEF593C71D04}"/>
    <hyperlink ref="A457" r:id="rId713" display="https://finance.yahoo.com/quote/AAPL251121C00320000/" xr:uid="{D2594547-E64C-4549-9447-3098703DFD8A}"/>
    <hyperlink ref="C457" r:id="rId714" display="https://finance.yahoo.com/quote/AAPL/options/?straddle=false&amp;strike=320&amp;type=all" xr:uid="{AC8FB038-5CFE-4B34-97F2-D58EF7EA7FA8}"/>
    <hyperlink ref="A458" r:id="rId715" display="https://finance.yahoo.com/quote/AAPL251121C00325000/" xr:uid="{A1D3D114-B401-417A-B6C1-ACD5500FD0FD}"/>
    <hyperlink ref="C458" r:id="rId716" display="https://finance.yahoo.com/quote/AAPL/options/?straddle=false&amp;strike=325&amp;type=all" xr:uid="{C109F94F-0EB5-41C3-9C5C-317B646D79BA}"/>
    <hyperlink ref="A459" r:id="rId717" display="https://finance.yahoo.com/quote/AAPL251121C00330000/" xr:uid="{5C8BB632-BFF8-4103-9529-C2DA9F559696}"/>
    <hyperlink ref="C459" r:id="rId718" display="https://finance.yahoo.com/quote/AAPL/options/?straddle=false&amp;strike=330&amp;type=all" xr:uid="{A63D6D4F-F2B5-43DE-8B63-5A0FB2AF18C8}"/>
    <hyperlink ref="A460" r:id="rId719" display="https://finance.yahoo.com/quote/AAPL251121C00335000/" xr:uid="{DDB6E5BF-CBEC-4259-AACE-7666F4147B98}"/>
    <hyperlink ref="C460" r:id="rId720" display="https://finance.yahoo.com/quote/AAPL/options/?straddle=false&amp;strike=335&amp;type=all" xr:uid="{B0E6C651-ACFB-413A-8D54-3FC7AE7E417F}"/>
    <hyperlink ref="A461" r:id="rId721" display="https://finance.yahoo.com/quote/AAPL251121C00340000/" xr:uid="{D2FA0A18-39A7-48DE-9154-B8FB49EB30D9}"/>
    <hyperlink ref="C461" r:id="rId722" display="https://finance.yahoo.com/quote/AAPL/options/?straddle=false&amp;strike=340&amp;type=all" xr:uid="{89F8133B-4129-4055-9E8E-6CE753644F21}"/>
    <hyperlink ref="A462" r:id="rId723" display="https://finance.yahoo.com/quote/AAPL251121C00345000/" xr:uid="{C794A349-0F02-4469-892A-3A16C452A7CE}"/>
    <hyperlink ref="C462" r:id="rId724" display="https://finance.yahoo.com/quote/AAPL/options/?straddle=false&amp;strike=345&amp;type=all" xr:uid="{32ABC994-C8CB-430F-A4EC-42D2AC3C916B}"/>
    <hyperlink ref="A463" r:id="rId725" display="https://finance.yahoo.com/quote/AAPL251121C00350000/" xr:uid="{6F482D96-D119-4828-AFE7-1FF46CD4221F}"/>
    <hyperlink ref="C463" r:id="rId726" display="https://finance.yahoo.com/quote/AAPL/options/?straddle=false&amp;strike=350&amp;type=all" xr:uid="{AB10207D-5A4E-436B-9781-2CBB10779764}"/>
    <hyperlink ref="A464" r:id="rId727" display="https://finance.yahoo.com/quote/AAPL251121P00100000/" xr:uid="{B23DEC27-27B0-4CAB-8DD7-77D99448E1D6}"/>
    <hyperlink ref="C464" r:id="rId728" display="https://finance.yahoo.com/quote/AAPL/options/?straddle=false&amp;strike=100&amp;type=all" xr:uid="{DBA81DB0-49F3-447A-91B8-C8A908FB174C}"/>
    <hyperlink ref="A465" r:id="rId729" display="https://finance.yahoo.com/quote/AAPL251121P00105000/" xr:uid="{CDED07DE-20B8-4442-B453-D640DF429C28}"/>
    <hyperlink ref="C465" r:id="rId730" display="https://finance.yahoo.com/quote/AAPL/options/?straddle=false&amp;strike=105&amp;type=all" xr:uid="{367D8A18-16B3-40F2-8060-229DD3DDED54}"/>
    <hyperlink ref="A466" r:id="rId731" display="https://finance.yahoo.com/quote/AAPL251121P00110000/" xr:uid="{96DB7523-C809-4910-A718-D1912EC1497C}"/>
    <hyperlink ref="C466" r:id="rId732" display="https://finance.yahoo.com/quote/AAPL/options/?straddle=false&amp;strike=110&amp;type=all" xr:uid="{DBEAD67F-8851-4588-BBF0-CA0D176151A4}"/>
    <hyperlink ref="A467" r:id="rId733" display="https://finance.yahoo.com/quote/AAPL251121P00115000/" xr:uid="{21B9D001-0E35-46BF-A477-403FA8D02418}"/>
    <hyperlink ref="C467" r:id="rId734" display="https://finance.yahoo.com/quote/AAPL/options/?straddle=false&amp;strike=115&amp;type=all" xr:uid="{D9FBC6E6-AC86-460A-B25B-CB561190B141}"/>
    <hyperlink ref="A468" r:id="rId735" display="https://finance.yahoo.com/quote/AAPL251121P00120000/" xr:uid="{56BAC642-65B0-4CC1-9614-9D0FF8C601EF}"/>
    <hyperlink ref="C468" r:id="rId736" display="https://finance.yahoo.com/quote/AAPL/options/?straddle=false&amp;strike=120&amp;type=all" xr:uid="{356541BD-552B-4482-B791-772EF6AE8810}"/>
    <hyperlink ref="A469" r:id="rId737" display="https://finance.yahoo.com/quote/AAPL251121P00125000/" xr:uid="{7741BCF8-57C0-4693-B4FB-E12449003AB0}"/>
    <hyperlink ref="C469" r:id="rId738" display="https://finance.yahoo.com/quote/AAPL/options/?straddle=false&amp;strike=125&amp;type=all" xr:uid="{03E72B76-26BE-44D8-9E0F-CBB371756A3B}"/>
    <hyperlink ref="A470" r:id="rId739" display="https://finance.yahoo.com/quote/AAPL251121P00130000/" xr:uid="{7F34AB4F-0377-41AD-B4E8-52A56D7EDC75}"/>
    <hyperlink ref="C470" r:id="rId740" display="https://finance.yahoo.com/quote/AAPL/options/?straddle=false&amp;strike=130&amp;type=all" xr:uid="{7DF1D3A6-14B8-4744-9D66-FA9199FC2392}"/>
    <hyperlink ref="A471" r:id="rId741" display="https://finance.yahoo.com/quote/AAPL251121P00135000/" xr:uid="{FF0249C7-22D0-4215-AA5D-75CBE44814E2}"/>
    <hyperlink ref="C471" r:id="rId742" display="https://finance.yahoo.com/quote/AAPL/options/?straddle=false&amp;strike=135&amp;type=all" xr:uid="{2B931CAD-87FB-4857-A4DE-4CA2D884CF55}"/>
    <hyperlink ref="A472" r:id="rId743" display="https://finance.yahoo.com/quote/AAPL251121P00140000/" xr:uid="{9F5E3F5E-18DB-4682-BF31-E284EEFCE470}"/>
    <hyperlink ref="C472" r:id="rId744" display="https://finance.yahoo.com/quote/AAPL/options/?straddle=false&amp;strike=140&amp;type=all" xr:uid="{A4B84C78-1F42-49EA-B232-7278DBD30862}"/>
    <hyperlink ref="A473" r:id="rId745" display="https://finance.yahoo.com/quote/AAPL251121P00145000/" xr:uid="{23541CB7-7C50-43E3-B51E-74E0EB6F2E9B}"/>
    <hyperlink ref="C473" r:id="rId746" display="https://finance.yahoo.com/quote/AAPL/options/?straddle=false&amp;strike=145&amp;type=all" xr:uid="{1E61CF7F-9945-47D6-91D0-B3A444526270}"/>
    <hyperlink ref="A474" r:id="rId747" display="https://finance.yahoo.com/quote/AAPL251121P00150000/" xr:uid="{38E54BEA-115B-4A63-BEF6-D3C050F19D54}"/>
    <hyperlink ref="C474" r:id="rId748" display="https://finance.yahoo.com/quote/AAPL/options/?straddle=false&amp;strike=150&amp;type=all" xr:uid="{361CDA7A-65D9-4B8E-8F2B-0B01E60A42A6}"/>
    <hyperlink ref="A475" r:id="rId749" display="https://finance.yahoo.com/quote/AAPL251121P00155000/" xr:uid="{38CFAD18-5280-4BDD-A0A2-B7BF21DD797A}"/>
    <hyperlink ref="C475" r:id="rId750" display="https://finance.yahoo.com/quote/AAPL/options/?straddle=false&amp;strike=155&amp;type=all" xr:uid="{4E05DF0F-046A-4A47-8836-8B939FABEF33}"/>
    <hyperlink ref="A476" r:id="rId751" display="https://finance.yahoo.com/quote/AAPL251121P00160000/" xr:uid="{AEDDE285-D0F4-4953-802C-8B364491B183}"/>
    <hyperlink ref="C476" r:id="rId752" display="https://finance.yahoo.com/quote/AAPL/options/?straddle=false&amp;strike=160&amp;type=all" xr:uid="{914A38FC-0CBF-4058-A22A-A9E6E54C0B73}"/>
    <hyperlink ref="A477" r:id="rId753" display="https://finance.yahoo.com/quote/AAPL251121P00165000/" xr:uid="{D74ED562-9FB9-4B56-B987-22999FA7DC5B}"/>
    <hyperlink ref="C477" r:id="rId754" display="https://finance.yahoo.com/quote/AAPL/options/?straddle=false&amp;strike=165&amp;type=all" xr:uid="{09E14C71-776A-4E78-A8B3-2C683FAE398A}"/>
    <hyperlink ref="A478" r:id="rId755" display="https://finance.yahoo.com/quote/AAPL251121P00170000/" xr:uid="{853F5D70-644A-4426-8FF2-1EFC78C66E2A}"/>
    <hyperlink ref="C478" r:id="rId756" display="https://finance.yahoo.com/quote/AAPL/options/?straddle=false&amp;strike=170&amp;type=all" xr:uid="{B3D3E9DE-6F12-400B-8030-15E332784372}"/>
    <hyperlink ref="A479" r:id="rId757" display="https://finance.yahoo.com/quote/AAPL251121P00175000/" xr:uid="{2C691F9E-CF94-4154-B281-A125F2E623A9}"/>
    <hyperlink ref="C479" r:id="rId758" display="https://finance.yahoo.com/quote/AAPL/options/?straddle=false&amp;strike=175&amp;type=all" xr:uid="{F984E302-5151-48B3-817F-B860C6D9C665}"/>
    <hyperlink ref="A480" r:id="rId759" display="https://finance.yahoo.com/quote/AAPL251121P00180000/" xr:uid="{B5A0C4AB-AFA7-4E2F-B3FE-8EF66E88346F}"/>
    <hyperlink ref="C480" r:id="rId760" display="https://finance.yahoo.com/quote/AAPL/options/?straddle=false&amp;strike=180&amp;type=all" xr:uid="{D4D8766E-0F76-4C8F-9E15-C8A27D7037FE}"/>
    <hyperlink ref="A481" r:id="rId761" display="https://finance.yahoo.com/quote/AAPL251121P00185000/" xr:uid="{0BD3E604-EA23-4D3B-8F85-04E179476A14}"/>
    <hyperlink ref="C481" r:id="rId762" display="https://finance.yahoo.com/quote/AAPL/options/?straddle=false&amp;strike=185&amp;type=all" xr:uid="{1E9E7162-FF95-4E47-98DA-600DE46BCCD9}"/>
    <hyperlink ref="A482" r:id="rId763" display="https://finance.yahoo.com/quote/AAPL251121P00190000/" xr:uid="{374A9AAC-6C12-4842-8077-3522DD4D097A}"/>
    <hyperlink ref="C482" r:id="rId764" display="https://finance.yahoo.com/quote/AAPL/options/?straddle=false&amp;strike=190&amp;type=all" xr:uid="{CC543492-1557-4712-BAEA-F2254D694703}"/>
    <hyperlink ref="A483" r:id="rId765" display="https://finance.yahoo.com/quote/AAPL251121P00195000/" xr:uid="{658E0083-8784-4E92-AAB3-8894717E9DA7}"/>
    <hyperlink ref="C483" r:id="rId766" display="https://finance.yahoo.com/quote/AAPL/options/?straddle=false&amp;strike=195&amp;type=all" xr:uid="{9C6F2F6A-3756-45CD-81FE-9B18D65F1C90}"/>
    <hyperlink ref="A484" r:id="rId767" display="https://finance.yahoo.com/quote/AAPL251121P00200000/" xr:uid="{185B23D9-CEC5-45F7-B993-F2F3B8388135}"/>
    <hyperlink ref="C484" r:id="rId768" display="https://finance.yahoo.com/quote/AAPL/options/?straddle=false&amp;strike=200&amp;type=all" xr:uid="{B2620FC7-4A60-4AD2-A05E-8EC5B2672B6A}"/>
    <hyperlink ref="A485" r:id="rId769" display="https://finance.yahoo.com/quote/AAPL251121P00205000/" xr:uid="{69C8950E-4002-49B5-8FC0-7352271925C4}"/>
    <hyperlink ref="C485" r:id="rId770" display="https://finance.yahoo.com/quote/AAPL/options/?straddle=false&amp;strike=205&amp;type=all" xr:uid="{1A219F2A-FC9E-4316-B40D-515EC1798DB4}"/>
    <hyperlink ref="A486" r:id="rId771" display="https://finance.yahoo.com/quote/AAPL251121P00210000/" xr:uid="{9CE0DDAE-DA07-4275-B56E-9B24FEDA60AB}"/>
    <hyperlink ref="C486" r:id="rId772" display="https://finance.yahoo.com/quote/AAPL/options/?straddle=false&amp;strike=210&amp;type=all" xr:uid="{571D3C6B-5ED3-40D5-BA9C-BE2AD6CA64C2}"/>
    <hyperlink ref="A487" r:id="rId773" display="https://finance.yahoo.com/quote/AAPL251121P00215000/" xr:uid="{ACBD57EA-FF91-4D1A-8569-35F3EA8DA640}"/>
    <hyperlink ref="C487" r:id="rId774" display="https://finance.yahoo.com/quote/AAPL/options/?straddle=false&amp;strike=215&amp;type=all" xr:uid="{16419AC6-AF09-4B45-BD4C-3649403290A7}"/>
    <hyperlink ref="A488" r:id="rId775" display="https://finance.yahoo.com/quote/AAPL251121P00220000/" xr:uid="{ABACA689-C8EA-4098-9695-4E613F3C4CC7}"/>
    <hyperlink ref="C488" r:id="rId776" display="https://finance.yahoo.com/quote/AAPL/options/?straddle=false&amp;strike=220&amp;type=all" xr:uid="{01C46442-4920-44DB-B997-71D213528393}"/>
    <hyperlink ref="A489" r:id="rId777" display="https://finance.yahoo.com/quote/AAPL251121P00225000/" xr:uid="{95CE0A3D-C8B3-4A8F-8B87-71CB0AE73489}"/>
    <hyperlink ref="C489" r:id="rId778" display="https://finance.yahoo.com/quote/AAPL/options/?straddle=false&amp;strike=225&amp;type=all" xr:uid="{4A1157AA-177C-4C0D-9C32-1158763007A4}"/>
    <hyperlink ref="A490" r:id="rId779" display="https://finance.yahoo.com/quote/AAPL251121P00230000/" xr:uid="{341F81AC-C80A-483A-B922-801322E77E47}"/>
    <hyperlink ref="C490" r:id="rId780" display="https://finance.yahoo.com/quote/AAPL/options/?straddle=false&amp;strike=230&amp;type=all" xr:uid="{C4236AE0-951C-41B5-9EC3-6F1EB4F9EFE1}"/>
    <hyperlink ref="A491" r:id="rId781" display="https://finance.yahoo.com/quote/AAPL251121P00235000/" xr:uid="{439021F0-0FBB-44E9-A33E-1BF458630B2C}"/>
    <hyperlink ref="C491" r:id="rId782" display="https://finance.yahoo.com/quote/AAPL/options/?straddle=false&amp;strike=235&amp;type=all" xr:uid="{C7A9E096-4BF1-4FA2-A74B-C8B1F1FD78DC}"/>
    <hyperlink ref="A492" r:id="rId783" display="https://finance.yahoo.com/quote/AAPL251121P00240000/" xr:uid="{764B429B-8110-45AE-A520-34FB9F36E2FB}"/>
    <hyperlink ref="C492" r:id="rId784" display="https://finance.yahoo.com/quote/AAPL/options/?straddle=false&amp;strike=240&amp;type=all" xr:uid="{68D22819-F1AF-4A2C-8CFF-272A46DCB730}"/>
    <hyperlink ref="A493" r:id="rId785" display="https://finance.yahoo.com/quote/AAPL251121P00245000/" xr:uid="{802D7971-6939-408E-842C-D82D73765961}"/>
    <hyperlink ref="C493" r:id="rId786" display="https://finance.yahoo.com/quote/AAPL/options/?straddle=false&amp;strike=245&amp;type=all" xr:uid="{B4F25CFD-35E3-426A-84D4-431539573037}"/>
    <hyperlink ref="A494" r:id="rId787" display="https://finance.yahoo.com/quote/AAPL251121P00250000/" xr:uid="{442AA44C-2DAB-4727-8519-387EC43ED7C3}"/>
    <hyperlink ref="C494" r:id="rId788" display="https://finance.yahoo.com/quote/AAPL/options/?straddle=false&amp;strike=250&amp;type=all" xr:uid="{A54F6E63-D1B8-4344-9E1C-46BF3E07DDB5}"/>
    <hyperlink ref="A495" r:id="rId789" display="https://finance.yahoo.com/quote/AAPL251121P00255000/" xr:uid="{4942647C-71EB-4E29-B80E-1FF4E1C7A489}"/>
    <hyperlink ref="C495" r:id="rId790" display="https://finance.yahoo.com/quote/AAPL/options/?straddle=false&amp;strike=255&amp;type=all" xr:uid="{898CF078-E67B-426E-8AA0-08604C1EDA2B}"/>
    <hyperlink ref="A496" r:id="rId791" display="https://finance.yahoo.com/quote/AAPL251121P00260000/" xr:uid="{526B68D7-9C6A-410D-B1E0-2C1E05A14E6C}"/>
    <hyperlink ref="C496" r:id="rId792" display="https://finance.yahoo.com/quote/AAPL/options/?straddle=false&amp;strike=260&amp;type=all" xr:uid="{745B5354-F6A9-484D-87D1-4D60B6168A5A}"/>
    <hyperlink ref="A497" r:id="rId793" display="https://finance.yahoo.com/quote/AAPL251121P00265000/" xr:uid="{57DC7715-1599-4B26-B3E0-9C804E85547B}"/>
    <hyperlink ref="C497" r:id="rId794" display="https://finance.yahoo.com/quote/AAPL/options/?straddle=false&amp;strike=265&amp;type=all" xr:uid="{2A2552D6-7631-48CA-8EE6-00CADB865048}"/>
    <hyperlink ref="A498" r:id="rId795" display="https://finance.yahoo.com/quote/AAPL251121P00270000/" xr:uid="{D4DF09E7-5F02-4863-ADB9-2E3BCC2A0C1F}"/>
    <hyperlink ref="C498" r:id="rId796" display="https://finance.yahoo.com/quote/AAPL/options/?straddle=false&amp;strike=270&amp;type=all" xr:uid="{6F010776-FD51-4376-BE97-2849272DBF57}"/>
    <hyperlink ref="A499" r:id="rId797" display="https://finance.yahoo.com/quote/AAPL251121P00275000/" xr:uid="{170800FE-F642-42FD-B9CC-BE467D63CD00}"/>
    <hyperlink ref="C499" r:id="rId798" display="https://finance.yahoo.com/quote/AAPL/options/?straddle=false&amp;strike=275&amp;type=all" xr:uid="{2FFFD136-C940-4758-80C7-242CE55DDF1C}"/>
    <hyperlink ref="A500" r:id="rId799" display="https://finance.yahoo.com/quote/AAPL251121P00280000/" xr:uid="{1FF48493-4475-4382-9321-227AD2F553F9}"/>
    <hyperlink ref="C500" r:id="rId800" display="https://finance.yahoo.com/quote/AAPL/options/?straddle=false&amp;strike=280&amp;type=all" xr:uid="{A3BBE3A8-0FC8-4A9B-8A41-304A73AD1D2B}"/>
    <hyperlink ref="A501" r:id="rId801" display="https://finance.yahoo.com/quote/AAPL251121P00285000/" xr:uid="{E07157A7-9EDC-4EFD-B6C6-A02F0F1EA148}"/>
    <hyperlink ref="C501" r:id="rId802" display="https://finance.yahoo.com/quote/AAPL/options/?straddle=false&amp;strike=285&amp;type=all" xr:uid="{4F625766-E70A-4358-9F50-AEB0E97808D6}"/>
    <hyperlink ref="A502" r:id="rId803" display="https://finance.yahoo.com/quote/AAPL251121P00290000/" xr:uid="{BB1B7739-90EF-44D0-B1C1-6F8E0B9B8CDA}"/>
    <hyperlink ref="C502" r:id="rId804" display="https://finance.yahoo.com/quote/AAPL/options/?straddle=false&amp;strike=290&amp;type=all" xr:uid="{A477693A-0FB8-4FFE-9248-F6A4CC85AED8}"/>
    <hyperlink ref="A503" r:id="rId805" display="https://finance.yahoo.com/quote/AAPL251121P00300000/" xr:uid="{B0C7F4AA-630A-433D-8187-033CD87E684F}"/>
    <hyperlink ref="C503" r:id="rId806" display="https://finance.yahoo.com/quote/AAPL/options/?straddle=false&amp;strike=300&amp;type=all" xr:uid="{216CF287-1D54-4B14-9ACF-AEBACE1E5654}"/>
    <hyperlink ref="A504" r:id="rId807" display="https://finance.yahoo.com/quote/AAPL251121P00305000/" xr:uid="{6902F3E3-D1C7-432F-8919-DBD0696BD961}"/>
    <hyperlink ref="C504" r:id="rId808" display="https://finance.yahoo.com/quote/AAPL/options/?straddle=false&amp;strike=305&amp;type=all" xr:uid="{25C36475-FB8A-47F3-8696-6E36803C0EB3}"/>
    <hyperlink ref="A505" r:id="rId809" display="https://finance.yahoo.com/quote/AAPL251121P00315000/" xr:uid="{9881FBE9-7F11-46AD-AEF8-4C4A714093D6}"/>
    <hyperlink ref="C505" r:id="rId810" display="https://finance.yahoo.com/quote/AAPL/options/?straddle=false&amp;strike=315&amp;type=all" xr:uid="{CA776D01-11A5-4A9E-BC00-25B1A32E7C17}"/>
    <hyperlink ref="A506" r:id="rId811" display="https://finance.yahoo.com/quote/AAPL251121P00325000/" xr:uid="{74EBC192-5099-4C33-A44A-A1BA4E3F8DA3}"/>
    <hyperlink ref="C506" r:id="rId812" display="https://finance.yahoo.com/quote/AAPL/options/?straddle=false&amp;strike=325&amp;type=all" xr:uid="{9147671B-595C-4540-93D2-ECD6FEC1E8A6}"/>
    <hyperlink ref="A507" r:id="rId813" display="https://finance.yahoo.com/quote/AAPL251121P00335000/" xr:uid="{4FCF07CA-4AC5-46A6-BE2D-C8E9F15C4636}"/>
    <hyperlink ref="C507" r:id="rId814" display="https://finance.yahoo.com/quote/AAPL/options/?straddle=false&amp;strike=335&amp;type=all" xr:uid="{E3A5AE47-D306-4E99-8D24-60EB686A8EF0}"/>
    <hyperlink ref="A508" r:id="rId815" display="https://finance.yahoo.com/quote/AAPL251121P00345000/" xr:uid="{EEAF33C4-0913-40A8-A2FE-532701F894BE}"/>
    <hyperlink ref="C508" r:id="rId816" display="https://finance.yahoo.com/quote/AAPL/options/?straddle=false&amp;strike=345&amp;type=all" xr:uid="{25E5EA89-B60E-4626-9DDD-E4EFDF5EF353}"/>
    <hyperlink ref="A509" r:id="rId817" display="https://finance.yahoo.com/quote/AAPL260116C00005000/" xr:uid="{61B4417D-F110-469C-9797-97AC8597CB7C}"/>
    <hyperlink ref="C509" r:id="rId818" display="https://finance.yahoo.com/quote/AAPL/options/?straddle=false&amp;strike=5&amp;type=all" xr:uid="{A83CA0C6-3196-4AB2-B75C-8103B2B6E141}"/>
    <hyperlink ref="A510" r:id="rId819" display="https://finance.yahoo.com/quote/AAPL260116C00010000/" xr:uid="{3D28CDD7-0BC1-40AC-8138-8B1C27172F74}"/>
    <hyperlink ref="C510" r:id="rId820" display="https://finance.yahoo.com/quote/AAPL/options/?straddle=false&amp;strike=10&amp;type=all" xr:uid="{BD0C235F-9C18-4921-B344-213DF0631D4A}"/>
    <hyperlink ref="A511" r:id="rId821" display="https://finance.yahoo.com/quote/AAPL260116C00015000/" xr:uid="{95C07E22-BE71-453C-BE0C-3A044F2BCE0B}"/>
    <hyperlink ref="C511" r:id="rId822" display="https://finance.yahoo.com/quote/AAPL/options/?straddle=false&amp;strike=15&amp;type=all" xr:uid="{D822064A-BCE6-4B22-AF7D-4DAD92E4A614}"/>
    <hyperlink ref="A512" r:id="rId823" display="https://finance.yahoo.com/quote/AAPL260116C00020000/" xr:uid="{9FAC6199-C6EC-47CE-A671-05D3573FA010}"/>
    <hyperlink ref="C512" r:id="rId824" display="https://finance.yahoo.com/quote/AAPL/options/?straddle=false&amp;strike=20&amp;type=all" xr:uid="{6705FF3C-478C-464B-AFF7-F727E1A978E1}"/>
    <hyperlink ref="A513" r:id="rId825" display="https://finance.yahoo.com/quote/AAPL260116C00025000/" xr:uid="{BD075FB9-F702-475C-805C-C9542F313937}"/>
    <hyperlink ref="C513" r:id="rId826" display="https://finance.yahoo.com/quote/AAPL/options/?straddle=false&amp;strike=25&amp;type=all" xr:uid="{B844DB57-A5C6-49F2-B88D-B1F56B7FFF39}"/>
    <hyperlink ref="A514" r:id="rId827" display="https://finance.yahoo.com/quote/AAPL260116C00030000/" xr:uid="{C329C9DD-3DF3-4831-84A5-328D8405977F}"/>
    <hyperlink ref="C514" r:id="rId828" display="https://finance.yahoo.com/quote/AAPL/options/?straddle=false&amp;strike=30&amp;type=all" xr:uid="{8D0209F3-5C77-4353-8EC1-4C92B4D820EB}"/>
    <hyperlink ref="A515" r:id="rId829" display="https://finance.yahoo.com/quote/AAPL260116C00035000/" xr:uid="{E396F996-BA55-4F95-8C5E-7F1E66E13752}"/>
    <hyperlink ref="C515" r:id="rId830" display="https://finance.yahoo.com/quote/AAPL/options/?straddle=false&amp;strike=35&amp;type=all" xr:uid="{2FE214C2-6B7D-41E3-94C1-B018390AE13A}"/>
    <hyperlink ref="A516" r:id="rId831" display="https://finance.yahoo.com/quote/AAPL260116C00040000/" xr:uid="{E5A8A864-FE97-43A7-8D18-6B71274C5554}"/>
    <hyperlink ref="C516" r:id="rId832" display="https://finance.yahoo.com/quote/AAPL/options/?straddle=false&amp;strike=40&amp;type=all" xr:uid="{06773F8B-50B1-493F-9D1C-10373F9F4B38}"/>
    <hyperlink ref="A517" r:id="rId833" display="https://finance.yahoo.com/quote/AAPL260116C00045000/" xr:uid="{47EAA789-4B64-4240-A04D-33781D49F23C}"/>
    <hyperlink ref="C517" r:id="rId834" display="https://finance.yahoo.com/quote/AAPL/options/?straddle=false&amp;strike=45&amp;type=all" xr:uid="{6103482F-01F2-4D46-BFA7-937453BF4C14}"/>
    <hyperlink ref="A518" r:id="rId835" display="https://finance.yahoo.com/quote/AAPL260116C00050000/" xr:uid="{1BF3CEA9-7AC8-4C0D-A525-87D290AD8716}"/>
    <hyperlink ref="C518" r:id="rId836" display="https://finance.yahoo.com/quote/AAPL/options/?straddle=false&amp;strike=50&amp;type=all" xr:uid="{58D715CE-4103-4D01-A2FD-10ECBDAF198E}"/>
    <hyperlink ref="A519" r:id="rId837" display="https://finance.yahoo.com/quote/AAPL260116C00055000/" xr:uid="{07AB49DA-225F-4C6E-AD80-865810321D3E}"/>
    <hyperlink ref="C519" r:id="rId838" display="https://finance.yahoo.com/quote/AAPL/options/?straddle=false&amp;strike=55&amp;type=all" xr:uid="{7B48941A-9B9F-43EE-868B-7529F1B8C0B5}"/>
    <hyperlink ref="A520" r:id="rId839" display="https://finance.yahoo.com/quote/AAPL260116C00060000/" xr:uid="{71C6F859-5FD1-451A-87FF-0CC203D6D648}"/>
    <hyperlink ref="C520" r:id="rId840" display="https://finance.yahoo.com/quote/AAPL/options/?straddle=false&amp;strike=60&amp;type=all" xr:uid="{3DA8B5C5-C97F-400A-A070-1A21D7B9DA5D}"/>
    <hyperlink ref="A521" r:id="rId841" display="https://finance.yahoo.com/quote/AAPL260116C00065000/" xr:uid="{A12A22E8-B3B8-425A-AEDE-4FCAF11292FA}"/>
    <hyperlink ref="C521" r:id="rId842" display="https://finance.yahoo.com/quote/AAPL/options/?straddle=false&amp;strike=65&amp;type=all" xr:uid="{49E5A3F0-0C78-425D-8D50-E81805B16692}"/>
    <hyperlink ref="A522" r:id="rId843" display="https://finance.yahoo.com/quote/AAPL260116C00070000/" xr:uid="{A032BD3C-EB97-499E-A2CB-EA317B6024B2}"/>
    <hyperlink ref="C522" r:id="rId844" display="https://finance.yahoo.com/quote/AAPL/options/?straddle=false&amp;strike=70&amp;type=all" xr:uid="{249B42F5-F017-4C33-A6B9-59A34A3BA052}"/>
    <hyperlink ref="A523" r:id="rId845" display="https://finance.yahoo.com/quote/AAPL260116C00075000/" xr:uid="{CB4A4DBD-5E94-4AB3-A66C-0F443F639A10}"/>
    <hyperlink ref="C523" r:id="rId846" display="https://finance.yahoo.com/quote/AAPL/options/?straddle=false&amp;strike=75&amp;type=all" xr:uid="{A71BAB02-9048-4C10-8485-882F2047E732}"/>
    <hyperlink ref="A524" r:id="rId847" display="https://finance.yahoo.com/quote/AAPL260116C00080000/" xr:uid="{39D1DE75-F8E1-4226-9B48-8E026F922D45}"/>
    <hyperlink ref="C524" r:id="rId848" display="https://finance.yahoo.com/quote/AAPL/options/?straddle=false&amp;strike=80&amp;type=all" xr:uid="{5A8204C8-AFB0-48B9-B6E1-B545BC2F74FB}"/>
    <hyperlink ref="A525" r:id="rId849" display="https://finance.yahoo.com/quote/AAPL260116C00085000/" xr:uid="{C2B2B5DA-0296-4195-9C28-4832C204CECB}"/>
    <hyperlink ref="C525" r:id="rId850" display="https://finance.yahoo.com/quote/AAPL/options/?straddle=false&amp;strike=85&amp;type=all" xr:uid="{4E82FBC8-15D8-46F5-9739-28EEA5CE307E}"/>
    <hyperlink ref="A526" r:id="rId851" display="https://finance.yahoo.com/quote/AAPL260116C00090000/" xr:uid="{72F35E1B-D464-4ABF-8ADC-4AB716704064}"/>
    <hyperlink ref="C526" r:id="rId852" display="https://finance.yahoo.com/quote/AAPL/options/?straddle=false&amp;strike=90&amp;type=all" xr:uid="{B2B11123-6FC0-4A46-B9C9-DF001B21B235}"/>
    <hyperlink ref="A527" r:id="rId853" display="https://finance.yahoo.com/quote/AAPL260116C00095000/" xr:uid="{09F184AE-52B3-42A3-BF5D-C938339D37D8}"/>
    <hyperlink ref="C527" r:id="rId854" display="https://finance.yahoo.com/quote/AAPL/options/?straddle=false&amp;strike=95&amp;type=all" xr:uid="{B978BBDA-563F-4BAB-B204-525BD1B47D0B}"/>
    <hyperlink ref="A528" r:id="rId855" display="https://finance.yahoo.com/quote/AAPL260116C00100000/" xr:uid="{C994745C-E5B5-436C-87BE-7DF4D5CA4573}"/>
    <hyperlink ref="C528" r:id="rId856" display="https://finance.yahoo.com/quote/AAPL/options/?straddle=false&amp;strike=100&amp;type=all" xr:uid="{5839B9DA-912D-4EE8-947F-55F18847BBB8}"/>
    <hyperlink ref="A529" r:id="rId857" display="https://finance.yahoo.com/quote/AAPL260116C00105000/" xr:uid="{3B0B71F8-43E8-42B2-9D73-83B3EF4E131C}"/>
    <hyperlink ref="C529" r:id="rId858" display="https://finance.yahoo.com/quote/AAPL/options/?straddle=false&amp;strike=105&amp;type=all" xr:uid="{4A02802B-C8D4-4109-A612-2115D453519F}"/>
    <hyperlink ref="A530" r:id="rId859" display="https://finance.yahoo.com/quote/AAPL260116C00110000/" xr:uid="{D7C88B6B-6DC4-4929-B3BC-50753E4FC4E3}"/>
    <hyperlink ref="C530" r:id="rId860" display="https://finance.yahoo.com/quote/AAPL/options/?straddle=false&amp;strike=110&amp;type=all" xr:uid="{602F7590-5F47-4987-8066-FE998D8B517C}"/>
    <hyperlink ref="A531" r:id="rId861" display="https://finance.yahoo.com/quote/AAPL260116C00115000/" xr:uid="{0D5275EE-8C76-4346-8D15-1C63FAD283E5}"/>
    <hyperlink ref="C531" r:id="rId862" display="https://finance.yahoo.com/quote/AAPL/options/?straddle=false&amp;strike=115&amp;type=all" xr:uid="{053917D1-84D7-4A18-877C-D7C618E73EA1}"/>
    <hyperlink ref="A532" r:id="rId863" display="https://finance.yahoo.com/quote/AAPL260116C00120000/" xr:uid="{A6627176-0541-40B6-AC90-E76E0ECB2A77}"/>
    <hyperlink ref="C532" r:id="rId864" display="https://finance.yahoo.com/quote/AAPL/options/?straddle=false&amp;strike=120&amp;type=all" xr:uid="{EC6B51E2-DD11-4222-B462-0A4120C2FE27}"/>
    <hyperlink ref="A533" r:id="rId865" display="https://finance.yahoo.com/quote/AAPL260116C00125000/" xr:uid="{FB3734D6-0292-44EA-8F67-94F4E3F83925}"/>
    <hyperlink ref="C533" r:id="rId866" display="https://finance.yahoo.com/quote/AAPL/options/?straddle=false&amp;strike=125&amp;type=all" xr:uid="{195370AD-823B-4425-86F1-92AD4797DAB9}"/>
    <hyperlink ref="A534" r:id="rId867" display="https://finance.yahoo.com/quote/AAPL260116C00130000/" xr:uid="{4993C253-E502-46E0-BEE4-3F3A378818EE}"/>
    <hyperlink ref="C534" r:id="rId868" display="https://finance.yahoo.com/quote/AAPL/options/?straddle=false&amp;strike=130&amp;type=all" xr:uid="{95A23D03-B290-4FBE-A5A7-92DE248AC52B}"/>
    <hyperlink ref="A535" r:id="rId869" display="https://finance.yahoo.com/quote/AAPL260116C00135000/" xr:uid="{539B6459-6E1F-437A-B39A-34D01B4320CA}"/>
    <hyperlink ref="C535" r:id="rId870" display="https://finance.yahoo.com/quote/AAPL/options/?straddle=false&amp;strike=135&amp;type=all" xr:uid="{4738F1D5-517F-42D0-BB04-DF0D388880FC}"/>
    <hyperlink ref="A536" r:id="rId871" display="https://finance.yahoo.com/quote/AAPL260116C00140000/" xr:uid="{DAB83DB2-D47A-4EF2-B05E-280165E797A1}"/>
    <hyperlink ref="C536" r:id="rId872" display="https://finance.yahoo.com/quote/AAPL/options/?straddle=false&amp;strike=140&amp;type=all" xr:uid="{4D0A4AF2-3EE2-4873-9C1D-84BE21DE8DAD}"/>
    <hyperlink ref="A537" r:id="rId873" display="https://finance.yahoo.com/quote/AAPL260116C00145000/" xr:uid="{C56119B6-8B73-4486-B65F-9D3A778CFC6C}"/>
    <hyperlink ref="C537" r:id="rId874" display="https://finance.yahoo.com/quote/AAPL/options/?straddle=false&amp;strike=145&amp;type=all" xr:uid="{DE8F1026-B4C3-4536-9EC4-C85568461DEA}"/>
    <hyperlink ref="A538" r:id="rId875" display="https://finance.yahoo.com/quote/AAPL260116C00150000/" xr:uid="{DEB00A92-9111-4168-9242-AF3E0F0A2908}"/>
    <hyperlink ref="C538" r:id="rId876" display="https://finance.yahoo.com/quote/AAPL/options/?straddle=false&amp;strike=150&amp;type=all" xr:uid="{CFC7A9D1-78C8-4C1B-9E96-1E04242A685F}"/>
    <hyperlink ref="A539" r:id="rId877" display="https://finance.yahoo.com/quote/AAPL260116C00155000/" xr:uid="{44864FAE-547D-4312-B99F-4E6D92FDD4D8}"/>
    <hyperlink ref="C539" r:id="rId878" display="https://finance.yahoo.com/quote/AAPL/options/?straddle=false&amp;strike=155&amp;type=all" xr:uid="{4F6EC532-B81A-4AC5-9795-5540D639F682}"/>
    <hyperlink ref="A540" r:id="rId879" display="https://finance.yahoo.com/quote/AAPL260116C00160000/" xr:uid="{B8E790A8-2A95-4C63-AC60-D9A0F2741176}"/>
    <hyperlink ref="C540" r:id="rId880" display="https://finance.yahoo.com/quote/AAPL/options/?straddle=false&amp;strike=160&amp;type=all" xr:uid="{7C26484B-1F88-4027-BE3E-42A681D2D3D4}"/>
    <hyperlink ref="A541" r:id="rId881" display="https://finance.yahoo.com/quote/AAPL260116C00165000/" xr:uid="{4A0D90A4-1DF7-4FC5-9E73-3A62E4EEE21E}"/>
    <hyperlink ref="C541" r:id="rId882" display="https://finance.yahoo.com/quote/AAPL/options/?straddle=false&amp;strike=165&amp;type=all" xr:uid="{C3D41D44-FD24-4BE6-91B1-E316BA54BC12}"/>
    <hyperlink ref="A542" r:id="rId883" display="https://finance.yahoo.com/quote/AAPL260116C00170000/" xr:uid="{71FB7D81-626A-45C0-A5E1-F0197ABE52CE}"/>
    <hyperlink ref="C542" r:id="rId884" display="https://finance.yahoo.com/quote/AAPL/options/?straddle=false&amp;strike=170&amp;type=all" xr:uid="{9B0D3EAC-F12F-4CF4-B911-BD35A65985C6}"/>
    <hyperlink ref="A543" r:id="rId885" display="https://finance.yahoo.com/quote/AAPL260116C00175000/" xr:uid="{755A4AE4-7FBB-4A73-8C1C-5F8252F77D64}"/>
    <hyperlink ref="C543" r:id="rId886" display="https://finance.yahoo.com/quote/AAPL/options/?straddle=false&amp;strike=175&amp;type=all" xr:uid="{A807555C-0D79-4A08-9408-CC5CF23565F8}"/>
    <hyperlink ref="A544" r:id="rId887" display="https://finance.yahoo.com/quote/AAPL260116C00180000/" xr:uid="{A1AF3919-9990-422D-A58B-D298C98A8B0D}"/>
    <hyperlink ref="C544" r:id="rId888" display="https://finance.yahoo.com/quote/AAPL/options/?straddle=false&amp;strike=180&amp;type=all" xr:uid="{9BCF729A-65F5-4D67-94E7-F2868765CCC9}"/>
    <hyperlink ref="A545" r:id="rId889" display="https://finance.yahoo.com/quote/AAPL260116C00185000/" xr:uid="{D273E359-60CE-4A94-A4A7-411A6B07E47E}"/>
    <hyperlink ref="C545" r:id="rId890" display="https://finance.yahoo.com/quote/AAPL/options/?straddle=false&amp;strike=185&amp;type=all" xr:uid="{D9F71E5A-429C-42F8-8C3E-BD22CC6BAE60}"/>
    <hyperlink ref="A546" r:id="rId891" display="https://finance.yahoo.com/quote/AAPL260116C00190000/" xr:uid="{D1B55E4C-008F-459E-8FF3-3FEF7229456D}"/>
    <hyperlink ref="C546" r:id="rId892" display="https://finance.yahoo.com/quote/AAPL/options/?straddle=false&amp;strike=190&amp;type=all" xr:uid="{2BF2498A-B5AB-4C0F-B505-80AF069EE3F0}"/>
    <hyperlink ref="A547" r:id="rId893" display="https://finance.yahoo.com/quote/AAPL260116C00195000/" xr:uid="{A45D8870-FEF4-44CE-8F8F-7B64CC1B6B68}"/>
    <hyperlink ref="C547" r:id="rId894" display="https://finance.yahoo.com/quote/AAPL/options/?straddle=false&amp;strike=195&amp;type=all" xr:uid="{A40D70BF-2854-4F05-B26C-43BE82F70894}"/>
    <hyperlink ref="A548" r:id="rId895" display="https://finance.yahoo.com/quote/AAPL260116C00200000/" xr:uid="{FDF4E959-F621-4ECD-8E57-E3D5488C8051}"/>
    <hyperlink ref="C548" r:id="rId896" display="https://finance.yahoo.com/quote/AAPL/options/?straddle=false&amp;strike=200&amp;type=all" xr:uid="{BC74E536-D6CD-4760-8CA4-754D8A063E21}"/>
    <hyperlink ref="A549" r:id="rId897" display="https://finance.yahoo.com/quote/AAPL260116C00205000/" xr:uid="{AE2C2C16-7C5C-4B1C-B727-EB001E87804D}"/>
    <hyperlink ref="C549" r:id="rId898" display="https://finance.yahoo.com/quote/AAPL/options/?straddle=false&amp;strike=205&amp;type=all" xr:uid="{AC9141B5-CB3A-458B-96B4-9AEBE7DC325B}"/>
    <hyperlink ref="A550" r:id="rId899" display="https://finance.yahoo.com/quote/AAPL260116C00210000/" xr:uid="{4FEB5F8A-5F20-4B3A-ADA5-6A87E9E807AB}"/>
    <hyperlink ref="C550" r:id="rId900" display="https://finance.yahoo.com/quote/AAPL/options/?straddle=false&amp;strike=210&amp;type=all" xr:uid="{2131F984-445D-453D-8C6C-93596993FB0F}"/>
    <hyperlink ref="A551" r:id="rId901" display="https://finance.yahoo.com/quote/AAPL260116C00215000/" xr:uid="{4DEB851D-7F84-4868-B855-04288DA7CD36}"/>
    <hyperlink ref="C551" r:id="rId902" display="https://finance.yahoo.com/quote/AAPL/options/?straddle=false&amp;strike=215&amp;type=all" xr:uid="{EC081224-6D2F-4515-A198-A14FD1305697}"/>
    <hyperlink ref="A552" r:id="rId903" display="https://finance.yahoo.com/quote/AAPL260116C00220000/" xr:uid="{FF703FC1-2135-4CAA-8253-BD98DCC629A3}"/>
    <hyperlink ref="C552" r:id="rId904" display="https://finance.yahoo.com/quote/AAPL/options/?straddle=false&amp;strike=220&amp;type=all" xr:uid="{1D49C67F-DDC0-4301-97DA-71066EBC99E2}"/>
    <hyperlink ref="A553" r:id="rId905" display="https://finance.yahoo.com/quote/AAPL260116C00225000/" xr:uid="{94737200-41A9-489E-9FB6-42C85DFB8EDB}"/>
    <hyperlink ref="C553" r:id="rId906" display="https://finance.yahoo.com/quote/AAPL/options/?straddle=false&amp;strike=225&amp;type=all" xr:uid="{162E444D-1E49-405F-87CB-E7C3766FF5E4}"/>
    <hyperlink ref="A554" r:id="rId907" display="https://finance.yahoo.com/quote/AAPL260116C00230000/" xr:uid="{6837C77D-93E1-479E-A81A-7FD13B870B08}"/>
    <hyperlink ref="C554" r:id="rId908" display="https://finance.yahoo.com/quote/AAPL/options/?straddle=false&amp;strike=230&amp;type=all" xr:uid="{49759BD1-CCE4-4C03-9A02-9B1B0EBEE96C}"/>
    <hyperlink ref="A555" r:id="rId909" display="https://finance.yahoo.com/quote/AAPL260116C00235000/" xr:uid="{771BE8E5-7A8E-4077-8BAF-34EA040F3BF2}"/>
    <hyperlink ref="C555" r:id="rId910" display="https://finance.yahoo.com/quote/AAPL/options/?straddle=false&amp;strike=235&amp;type=all" xr:uid="{79153E8D-9371-4DEF-B41E-A3285493BE28}"/>
    <hyperlink ref="A556" r:id="rId911" display="https://finance.yahoo.com/quote/AAPL260116C00240000/" xr:uid="{772C849A-0203-4994-962D-0E00DA8FA952}"/>
    <hyperlink ref="C556" r:id="rId912" display="https://finance.yahoo.com/quote/AAPL/options/?straddle=false&amp;strike=240&amp;type=all" xr:uid="{6E216FD8-10F6-4F57-A01E-F5FD685AFA50}"/>
    <hyperlink ref="A557" r:id="rId913" display="https://finance.yahoo.com/quote/AAPL260116C00245000/" xr:uid="{25C6974B-4303-4CC9-BEEC-66625121D2C8}"/>
    <hyperlink ref="C557" r:id="rId914" display="https://finance.yahoo.com/quote/AAPL/options/?straddle=false&amp;strike=245&amp;type=all" xr:uid="{79642041-F6F3-4DEA-979F-A191F625E4D6}"/>
    <hyperlink ref="A558" r:id="rId915" display="https://finance.yahoo.com/quote/AAPL260116C00250000/" xr:uid="{CAF15928-51AD-4EBF-82F2-A366A743933F}"/>
    <hyperlink ref="C558" r:id="rId916" display="https://finance.yahoo.com/quote/AAPL/options/?straddle=false&amp;strike=250&amp;type=all" xr:uid="{D6BA3FF5-9899-4DE7-BD6A-321F83F98F06}"/>
    <hyperlink ref="A559" r:id="rId917" display="https://finance.yahoo.com/quote/AAPL260116C00255000/" xr:uid="{2DC410CF-A441-487C-9002-F2CF6692E186}"/>
    <hyperlink ref="C559" r:id="rId918" display="https://finance.yahoo.com/quote/AAPL/options/?straddle=false&amp;strike=255&amp;type=all" xr:uid="{4F029001-E595-4D03-B974-8A78D2CDADE3}"/>
    <hyperlink ref="A560" r:id="rId919" display="https://finance.yahoo.com/quote/AAPL260116C00260000/" xr:uid="{63BD029B-FDEC-4159-BE25-6879E81BE25F}"/>
    <hyperlink ref="C560" r:id="rId920" display="https://finance.yahoo.com/quote/AAPL/options/?straddle=false&amp;strike=260&amp;type=all" xr:uid="{482BF678-5C55-41E5-959A-DAB87C950009}"/>
    <hyperlink ref="A561" r:id="rId921" display="https://finance.yahoo.com/quote/AAPL260116C00265000/" xr:uid="{826CF20F-F376-4064-8222-4AA659D5E673}"/>
    <hyperlink ref="C561" r:id="rId922" display="https://finance.yahoo.com/quote/AAPL/options/?straddle=false&amp;strike=265&amp;type=all" xr:uid="{435371B9-D77A-469A-BE22-677CCD9AACD8}"/>
    <hyperlink ref="A562" r:id="rId923" display="https://finance.yahoo.com/quote/AAPL260116C00270000/" xr:uid="{5C04E319-E729-4C5E-BF99-86D0F9A8C443}"/>
    <hyperlink ref="C562" r:id="rId924" display="https://finance.yahoo.com/quote/AAPL/options/?straddle=false&amp;strike=270&amp;type=all" xr:uid="{2F9F8BF9-9A8D-4308-827A-6D7F5911D2DB}"/>
    <hyperlink ref="A563" r:id="rId925" display="https://finance.yahoo.com/quote/AAPL260116C00275000/" xr:uid="{F1AB71DC-791B-4F2C-B4F9-1EA2B22DA222}"/>
    <hyperlink ref="C563" r:id="rId926" display="https://finance.yahoo.com/quote/AAPL/options/?straddle=false&amp;strike=275&amp;type=all" xr:uid="{61D66FFF-7608-4AA1-8912-7C2BBC4922B0}"/>
    <hyperlink ref="A564" r:id="rId927" display="https://finance.yahoo.com/quote/AAPL260116C00280000/" xr:uid="{A5E5B2EA-8AB9-42C3-928B-F97AE57F7ECA}"/>
    <hyperlink ref="C564" r:id="rId928" display="https://finance.yahoo.com/quote/AAPL/options/?straddle=false&amp;strike=280&amp;type=all" xr:uid="{FF4CF578-D930-4531-8B1C-712EC34E9EA1}"/>
    <hyperlink ref="A565" r:id="rId929" display="https://finance.yahoo.com/quote/AAPL260116C00285000/" xr:uid="{54C6E618-3BD6-4B57-B08C-05E9530788DC}"/>
    <hyperlink ref="C565" r:id="rId930" display="https://finance.yahoo.com/quote/AAPL/options/?straddle=false&amp;strike=285&amp;type=all" xr:uid="{D77BA640-1879-4798-AB8E-0140ADB86AFD}"/>
    <hyperlink ref="A566" r:id="rId931" display="https://finance.yahoo.com/quote/AAPL260116C00290000/" xr:uid="{80FE84C6-D30C-47A8-954B-E7232F67D292}"/>
    <hyperlink ref="C566" r:id="rId932" display="https://finance.yahoo.com/quote/AAPL/options/?straddle=false&amp;strike=290&amp;type=all" xr:uid="{5758CA84-CC4C-4BC8-9C9D-7B0E6D55EC5B}"/>
    <hyperlink ref="A567" r:id="rId933" display="https://finance.yahoo.com/quote/AAPL260116C00295000/" xr:uid="{60DFF9A2-0A21-4EF9-A5EC-8F0A848FA40A}"/>
    <hyperlink ref="C567" r:id="rId934" display="https://finance.yahoo.com/quote/AAPL/options/?straddle=false&amp;strike=295&amp;type=all" xr:uid="{0D6418C5-8787-4EB1-8D09-B7900FFEF704}"/>
    <hyperlink ref="A568" r:id="rId935" display="https://finance.yahoo.com/quote/AAPL260116C00300000/" xr:uid="{B9D8DE15-4208-417B-AC83-F266595AE683}"/>
    <hyperlink ref="C568" r:id="rId936" display="https://finance.yahoo.com/quote/AAPL/options/?straddle=false&amp;strike=300&amp;type=all" xr:uid="{7728E638-1646-4911-BE2F-65EA46EE51D0}"/>
    <hyperlink ref="A569" r:id="rId937" display="https://finance.yahoo.com/quote/AAPL260116C00305000/" xr:uid="{B5A86B75-8322-486A-A8BA-965A4A7356BF}"/>
    <hyperlink ref="C569" r:id="rId938" display="https://finance.yahoo.com/quote/AAPL/options/?straddle=false&amp;strike=305&amp;type=all" xr:uid="{9FF2E35E-34C2-4A09-8E65-89CDB3A403CC}"/>
    <hyperlink ref="A570" r:id="rId939" display="https://finance.yahoo.com/quote/AAPL260116C00310000/" xr:uid="{47B96C14-23C3-4F2E-9163-3BB140D407A6}"/>
    <hyperlink ref="C570" r:id="rId940" display="https://finance.yahoo.com/quote/AAPL/options/?straddle=false&amp;strike=310&amp;type=all" xr:uid="{FA2D5049-D70F-4051-B929-C9033F20916D}"/>
    <hyperlink ref="A571" r:id="rId941" display="https://finance.yahoo.com/quote/AAPL260116C00315000/" xr:uid="{FD2601D4-5B44-43C6-9AE0-B63E5765EF95}"/>
    <hyperlink ref="C571" r:id="rId942" display="https://finance.yahoo.com/quote/AAPL/options/?straddle=false&amp;strike=315&amp;type=all" xr:uid="{C0BB0FB3-5C85-41A7-8CCE-1CCF3A51CF51}"/>
    <hyperlink ref="A572" r:id="rId943" display="https://finance.yahoo.com/quote/AAPL260116C00320000/" xr:uid="{F34DF2D6-B955-4147-93DA-A6C70604648C}"/>
    <hyperlink ref="C572" r:id="rId944" display="https://finance.yahoo.com/quote/AAPL/options/?straddle=false&amp;strike=320&amp;type=all" xr:uid="{60E4ABB4-490B-4804-AEF2-B01BDB3A1267}"/>
    <hyperlink ref="A573" r:id="rId945" display="https://finance.yahoo.com/quote/AAPL260116C00330000/" xr:uid="{38E380AC-04E8-46F3-927E-980921D03CB0}"/>
    <hyperlink ref="C573" r:id="rId946" display="https://finance.yahoo.com/quote/AAPL/options/?straddle=false&amp;strike=330&amp;type=all" xr:uid="{F399C9EF-94EE-4154-94DB-29F058EE2A88}"/>
    <hyperlink ref="A574" r:id="rId947" display="https://finance.yahoo.com/quote/AAPL260116C00340000/" xr:uid="{E057E053-2968-43E4-9384-15838FAE6978}"/>
    <hyperlink ref="C574" r:id="rId948" display="https://finance.yahoo.com/quote/AAPL/options/?straddle=false&amp;strike=340&amp;type=all" xr:uid="{AAC901DF-6430-48E1-81E2-FA34A34135DC}"/>
    <hyperlink ref="A575" r:id="rId949" display="https://finance.yahoo.com/quote/AAPL260116C00350000/" xr:uid="{A5F8CAE0-2039-409C-87F2-22DE3FBC87A3}"/>
    <hyperlink ref="C575" r:id="rId950" display="https://finance.yahoo.com/quote/AAPL/options/?straddle=false&amp;strike=350&amp;type=all" xr:uid="{E135D558-E820-4436-A45B-74B48AB52387}"/>
    <hyperlink ref="A576" r:id="rId951" display="https://finance.yahoo.com/quote/AAPL260116C00360000/" xr:uid="{6EEF5295-6E18-4658-A3E8-3E045D75A4B6}"/>
    <hyperlink ref="C576" r:id="rId952" display="https://finance.yahoo.com/quote/AAPL/options/?straddle=false&amp;strike=360&amp;type=all" xr:uid="{51ED58FF-621C-48B4-A4C3-6CAECD7922D0}"/>
    <hyperlink ref="A577" r:id="rId953" display="https://finance.yahoo.com/quote/AAPL260116C00370000/" xr:uid="{745F4BE7-B6BF-4223-8C8A-DDC35E50C995}"/>
    <hyperlink ref="C577" r:id="rId954" display="https://finance.yahoo.com/quote/AAPL/options/?straddle=false&amp;strike=370&amp;type=all" xr:uid="{2D189B2A-4BF7-4320-B06A-5031DE26F4BD}"/>
    <hyperlink ref="A578" r:id="rId955" display="https://finance.yahoo.com/quote/AAPL260116C00380000/" xr:uid="{DDF4CFBC-33BD-4BB8-9299-76DB0E87F0B4}"/>
    <hyperlink ref="C578" r:id="rId956" display="https://finance.yahoo.com/quote/AAPL/options/?straddle=false&amp;strike=380&amp;type=all" xr:uid="{D454D4EF-F673-4599-8879-97BB6B5629E0}"/>
    <hyperlink ref="A579" r:id="rId957" display="https://finance.yahoo.com/quote/AAPL260116C00390000/" xr:uid="{FC507B76-B79E-4665-A7D2-092ED58E7B47}"/>
    <hyperlink ref="C579" r:id="rId958" display="https://finance.yahoo.com/quote/AAPL/options/?straddle=false&amp;strike=390&amp;type=all" xr:uid="{C233EA26-61BD-49BE-8B0F-F9E1FB1E7CFD}"/>
    <hyperlink ref="A580" r:id="rId959" display="https://finance.yahoo.com/quote/AAPL260116P00005000/" xr:uid="{4F7A3D44-9067-4ECB-8E8D-00C4E2D82C80}"/>
    <hyperlink ref="C580" r:id="rId960" display="https://finance.yahoo.com/quote/AAPL/options/?straddle=false&amp;strike=5&amp;type=all" xr:uid="{F24BA8A4-AA47-4050-B770-7485FA85D287}"/>
    <hyperlink ref="A581" r:id="rId961" display="https://finance.yahoo.com/quote/AAPL260116P00010000/" xr:uid="{940B26F2-4551-428C-A65C-5989CF7A7022}"/>
    <hyperlink ref="C581" r:id="rId962" display="https://finance.yahoo.com/quote/AAPL/options/?straddle=false&amp;strike=10&amp;type=all" xr:uid="{96D238F9-EF3D-4495-B324-4FE07413A73A}"/>
    <hyperlink ref="A582" r:id="rId963" display="https://finance.yahoo.com/quote/AAPL260116P00015000/" xr:uid="{760251D0-A9DB-4865-828A-D67FB4AE09AC}"/>
    <hyperlink ref="C582" r:id="rId964" display="https://finance.yahoo.com/quote/AAPL/options/?straddle=false&amp;strike=15&amp;type=all" xr:uid="{73147C83-73A8-4319-A7FE-71052AEB352D}"/>
    <hyperlink ref="A583" r:id="rId965" display="https://finance.yahoo.com/quote/AAPL260116P00020000/" xr:uid="{E94547D7-87B0-49FF-BCE6-BCA1E6D0C95C}"/>
    <hyperlink ref="C583" r:id="rId966" display="https://finance.yahoo.com/quote/AAPL/options/?straddle=false&amp;strike=20&amp;type=all" xr:uid="{176F1E47-607B-45B0-9390-AC3A9031BCF4}"/>
    <hyperlink ref="A584" r:id="rId967" display="https://finance.yahoo.com/quote/AAPL260116P00025000/" xr:uid="{14FCAA40-4E46-4527-A228-B1B2CC0BC966}"/>
    <hyperlink ref="C584" r:id="rId968" display="https://finance.yahoo.com/quote/AAPL/options/?straddle=false&amp;strike=25&amp;type=all" xr:uid="{483E41F2-A2CB-45AD-BF20-E765B045D90A}"/>
    <hyperlink ref="A585" r:id="rId969" display="https://finance.yahoo.com/quote/AAPL260116P00030000/" xr:uid="{51FCBF17-1EC0-41EF-A6C4-52B7EA2D9672}"/>
    <hyperlink ref="C585" r:id="rId970" display="https://finance.yahoo.com/quote/AAPL/options/?straddle=false&amp;strike=30&amp;type=all" xr:uid="{BC87AE0C-7656-4069-B6E2-DE08DADBB37C}"/>
    <hyperlink ref="A586" r:id="rId971" display="https://finance.yahoo.com/quote/AAPL260116P00035000/" xr:uid="{076C3342-D45B-4B77-AF4E-13B0B05030DE}"/>
    <hyperlink ref="C586" r:id="rId972" display="https://finance.yahoo.com/quote/AAPL/options/?straddle=false&amp;strike=35&amp;type=all" xr:uid="{FD821E27-BE27-46C3-A8D1-E7784E2C2E30}"/>
    <hyperlink ref="A587" r:id="rId973" display="https://finance.yahoo.com/quote/AAPL260116P00040000/" xr:uid="{454FE1A9-E984-4FB9-B5AE-FAB61425B2F2}"/>
    <hyperlink ref="C587" r:id="rId974" display="https://finance.yahoo.com/quote/AAPL/options/?straddle=false&amp;strike=40&amp;type=all" xr:uid="{440F6F47-D7B0-4A4F-B3D9-7D84DDE8ADAD}"/>
    <hyperlink ref="A588" r:id="rId975" display="https://finance.yahoo.com/quote/AAPL260116P00045000/" xr:uid="{742FB545-8F37-4208-BB3E-E6A66CEE951E}"/>
    <hyperlink ref="C588" r:id="rId976" display="https://finance.yahoo.com/quote/AAPL/options/?straddle=false&amp;strike=45&amp;type=all" xr:uid="{CAE889F4-7391-4106-97C0-542AF10EE03F}"/>
    <hyperlink ref="A589" r:id="rId977" display="https://finance.yahoo.com/quote/AAPL260116P00050000/" xr:uid="{545736C5-EEBA-4FC9-881D-10B50AD0C95A}"/>
    <hyperlink ref="C589" r:id="rId978" display="https://finance.yahoo.com/quote/AAPL/options/?straddle=false&amp;strike=50&amp;type=all" xr:uid="{C329BFA0-291C-42EF-A130-60C8D65D75AD}"/>
    <hyperlink ref="A590" r:id="rId979" display="https://finance.yahoo.com/quote/AAPL260116P00055000/" xr:uid="{71AF820E-AF70-4E48-98DC-B665D19E4090}"/>
    <hyperlink ref="C590" r:id="rId980" display="https://finance.yahoo.com/quote/AAPL/options/?straddle=false&amp;strike=55&amp;type=all" xr:uid="{15898969-7A0C-497C-A3E5-552DFAB38A5C}"/>
    <hyperlink ref="A591" r:id="rId981" display="https://finance.yahoo.com/quote/AAPL260116P00060000/" xr:uid="{F32E04C3-458D-4B9E-8BC8-F56D33BCA79A}"/>
    <hyperlink ref="C591" r:id="rId982" display="https://finance.yahoo.com/quote/AAPL/options/?straddle=false&amp;strike=60&amp;type=all" xr:uid="{08FAA336-0A06-42B0-82E3-027F1334BCDA}"/>
    <hyperlink ref="A592" r:id="rId983" display="https://finance.yahoo.com/quote/AAPL260116P00065000/" xr:uid="{4A0C7E09-7C92-4CE6-A5AB-7A04B5EAB4D2}"/>
    <hyperlink ref="C592" r:id="rId984" display="https://finance.yahoo.com/quote/AAPL/options/?straddle=false&amp;strike=65&amp;type=all" xr:uid="{51D9A85C-1B6D-4B98-8514-6753E0969088}"/>
    <hyperlink ref="A593" r:id="rId985" display="https://finance.yahoo.com/quote/AAPL260116P00070000/" xr:uid="{9F1A4845-AE8B-451B-A612-2DD177671317}"/>
    <hyperlink ref="C593" r:id="rId986" display="https://finance.yahoo.com/quote/AAPL/options/?straddle=false&amp;strike=70&amp;type=all" xr:uid="{C8F0F415-688E-48F2-AFF7-0EABB9FDC252}"/>
    <hyperlink ref="A594" r:id="rId987" display="https://finance.yahoo.com/quote/AAPL260116P00075000/" xr:uid="{AB781332-0570-442C-AFC0-12AC7EC023A8}"/>
    <hyperlink ref="C594" r:id="rId988" display="https://finance.yahoo.com/quote/AAPL/options/?straddle=false&amp;strike=75&amp;type=all" xr:uid="{9264F100-67FE-445C-9ED4-05232C0CF4FA}"/>
    <hyperlink ref="A595" r:id="rId989" display="https://finance.yahoo.com/quote/AAPL260116P00080000/" xr:uid="{8AEAEF75-B96C-42B0-B964-814192D35CB6}"/>
    <hyperlink ref="C595" r:id="rId990" display="https://finance.yahoo.com/quote/AAPL/options/?straddle=false&amp;strike=80&amp;type=all" xr:uid="{25995239-3E1A-4B31-A90B-B8D753A8F3DC}"/>
    <hyperlink ref="A596" r:id="rId991" display="https://finance.yahoo.com/quote/AAPL260116P00085000/" xr:uid="{689389A4-FDBA-4D88-B60E-3AC3667B509C}"/>
    <hyperlink ref="C596" r:id="rId992" display="https://finance.yahoo.com/quote/AAPL/options/?straddle=false&amp;strike=85&amp;type=all" xr:uid="{98E0068C-B15D-44FF-974A-A4E944C8C296}"/>
    <hyperlink ref="A597" r:id="rId993" display="https://finance.yahoo.com/quote/AAPL260116P00090000/" xr:uid="{18588795-982B-48F0-A532-ABA24EAB0E32}"/>
    <hyperlink ref="C597" r:id="rId994" display="https://finance.yahoo.com/quote/AAPL/options/?straddle=false&amp;strike=90&amp;type=all" xr:uid="{1961A94D-A790-4028-9D85-7C2BED17419A}"/>
    <hyperlink ref="A598" r:id="rId995" display="https://finance.yahoo.com/quote/AAPL260116P00095000/" xr:uid="{3671C5E9-15BE-4058-85D0-74B25038747F}"/>
    <hyperlink ref="C598" r:id="rId996" display="https://finance.yahoo.com/quote/AAPL/options/?straddle=false&amp;strike=95&amp;type=all" xr:uid="{25962352-07D3-418C-9281-2ECBADB6EC38}"/>
    <hyperlink ref="A599" r:id="rId997" display="https://finance.yahoo.com/quote/AAPL260116P00100000/" xr:uid="{ED569322-56AC-4A72-950E-1C5869C51A0E}"/>
    <hyperlink ref="C599" r:id="rId998" display="https://finance.yahoo.com/quote/AAPL/options/?straddle=false&amp;strike=100&amp;type=all" xr:uid="{7CA4C630-D426-4935-9701-87C4BC72AF53}"/>
    <hyperlink ref="A600" r:id="rId999" display="https://finance.yahoo.com/quote/AAPL260116P00105000/" xr:uid="{E8736669-70AC-42A7-AFED-29B4EC478347}"/>
    <hyperlink ref="C600" r:id="rId1000" display="https://finance.yahoo.com/quote/AAPL/options/?straddle=false&amp;strike=105&amp;type=all" xr:uid="{8CB54965-EA3E-4798-8D11-68062A07B36F}"/>
    <hyperlink ref="A601" r:id="rId1001" display="https://finance.yahoo.com/quote/AAPL260116P00110000/" xr:uid="{01E2AE64-0AE5-4BC9-BAAD-86E30767C613}"/>
    <hyperlink ref="C601" r:id="rId1002" display="https://finance.yahoo.com/quote/AAPL/options/?straddle=false&amp;strike=110&amp;type=all" xr:uid="{03533FA4-F8B7-4751-A359-529F5A3BB5D5}"/>
    <hyperlink ref="A602" r:id="rId1003" display="https://finance.yahoo.com/quote/AAPL260116P00115000/" xr:uid="{84330C3C-3F2B-4773-8CF0-F6B07BB60ACA}"/>
    <hyperlink ref="C602" r:id="rId1004" display="https://finance.yahoo.com/quote/AAPL/options/?straddle=false&amp;strike=115&amp;type=all" xr:uid="{1967A916-1DE4-41DD-BD94-CF07D37CF773}"/>
    <hyperlink ref="A603" r:id="rId1005" display="https://finance.yahoo.com/quote/AAPL260116P00120000/" xr:uid="{DBC88A0A-B521-4E60-8A23-2D0BBB625BBE}"/>
    <hyperlink ref="C603" r:id="rId1006" display="https://finance.yahoo.com/quote/AAPL/options/?straddle=false&amp;strike=120&amp;type=all" xr:uid="{5A48A3F9-18DB-44B3-8354-B595BE607A70}"/>
    <hyperlink ref="A604" r:id="rId1007" display="https://finance.yahoo.com/quote/AAPL260116P00125000/" xr:uid="{13C9D650-1989-4452-BA98-1BCAC965D7CE}"/>
    <hyperlink ref="C604" r:id="rId1008" display="https://finance.yahoo.com/quote/AAPL/options/?straddle=false&amp;strike=125&amp;type=all" xr:uid="{EA0D7330-34BF-4C69-8FC5-41429BA61F25}"/>
    <hyperlink ref="A605" r:id="rId1009" display="https://finance.yahoo.com/quote/AAPL260116P00130000/" xr:uid="{0A40F90A-4DBD-47C4-9C15-1B308A76C41C}"/>
    <hyperlink ref="C605" r:id="rId1010" display="https://finance.yahoo.com/quote/AAPL/options/?straddle=false&amp;strike=130&amp;type=all" xr:uid="{3CDCEADC-A7F7-4E76-A189-99BB747D36B1}"/>
    <hyperlink ref="A606" r:id="rId1011" display="https://finance.yahoo.com/quote/AAPL260116P00135000/" xr:uid="{5A464D3C-3F58-47D5-943B-D4EFA0A0A0B2}"/>
    <hyperlink ref="C606" r:id="rId1012" display="https://finance.yahoo.com/quote/AAPL/options/?straddle=false&amp;strike=135&amp;type=all" xr:uid="{0D32AB8C-10D7-4679-B408-B43A05D5412B}"/>
    <hyperlink ref="A607" r:id="rId1013" display="https://finance.yahoo.com/quote/AAPL260116P00140000/" xr:uid="{B08B75F0-351C-4553-9DC6-915ECE41AC46}"/>
    <hyperlink ref="C607" r:id="rId1014" display="https://finance.yahoo.com/quote/AAPL/options/?straddle=false&amp;strike=140&amp;type=all" xr:uid="{2686E9AA-9FA6-4579-B140-B69FEB811CA9}"/>
    <hyperlink ref="A608" r:id="rId1015" display="https://finance.yahoo.com/quote/AAPL260116P00145000/" xr:uid="{DAAF1981-60D6-4E9C-9C62-7920B5266052}"/>
    <hyperlink ref="C608" r:id="rId1016" display="https://finance.yahoo.com/quote/AAPL/options/?straddle=false&amp;strike=145&amp;type=all" xr:uid="{269E0544-B997-4B25-90E3-0AEE100D91F6}"/>
    <hyperlink ref="A609" r:id="rId1017" display="https://finance.yahoo.com/quote/AAPL260116P00150000/" xr:uid="{5F1D3B44-9DD4-46AB-8E3D-34AB571F7D00}"/>
    <hyperlink ref="C609" r:id="rId1018" display="https://finance.yahoo.com/quote/AAPL/options/?straddle=false&amp;strike=150&amp;type=all" xr:uid="{1B6CE8F7-8237-4042-8E9F-631AD56E68EE}"/>
    <hyperlink ref="A610" r:id="rId1019" display="https://finance.yahoo.com/quote/AAPL260116P00155000/" xr:uid="{B7ED6463-5216-4AC0-AD69-9082B1CC3032}"/>
    <hyperlink ref="C610" r:id="rId1020" display="https://finance.yahoo.com/quote/AAPL/options/?straddle=false&amp;strike=155&amp;type=all" xr:uid="{8FD3825B-EFC7-4A49-836B-017F5A8D9CBB}"/>
    <hyperlink ref="A611" r:id="rId1021" display="https://finance.yahoo.com/quote/AAPL260116P00160000/" xr:uid="{E898CAE4-7380-425A-B923-28A468819D46}"/>
    <hyperlink ref="C611" r:id="rId1022" display="https://finance.yahoo.com/quote/AAPL/options/?straddle=false&amp;strike=160&amp;type=all" xr:uid="{1AFB47E3-6908-44D5-B6F0-5280DC3FFFAA}"/>
    <hyperlink ref="A612" r:id="rId1023" display="https://finance.yahoo.com/quote/AAPL260116P00165000/" xr:uid="{9A8E2B8F-C9D1-48EE-A15A-3966CFEC4B00}"/>
    <hyperlink ref="C612" r:id="rId1024" display="https://finance.yahoo.com/quote/AAPL/options/?straddle=false&amp;strike=165&amp;type=all" xr:uid="{AEF83A86-BC89-4CFB-B0B0-3B7A60AD9A31}"/>
    <hyperlink ref="A613" r:id="rId1025" display="https://finance.yahoo.com/quote/AAPL260116P00170000/" xr:uid="{35940861-9688-4C2D-BDF7-E10BA5DCA3F2}"/>
    <hyperlink ref="C613" r:id="rId1026" display="https://finance.yahoo.com/quote/AAPL/options/?straddle=false&amp;strike=170&amp;type=all" xr:uid="{BD4A022A-B8F7-4E15-95FD-52C0015E78C6}"/>
    <hyperlink ref="A614" r:id="rId1027" display="https://finance.yahoo.com/quote/AAPL260116P00175000/" xr:uid="{010A1AA8-BD44-43A3-9824-AC6D596E2A7E}"/>
    <hyperlink ref="C614" r:id="rId1028" display="https://finance.yahoo.com/quote/AAPL/options/?straddle=false&amp;strike=175&amp;type=all" xr:uid="{3D93B368-5382-4730-A4FC-A8CE4B302AB6}"/>
    <hyperlink ref="A615" r:id="rId1029" display="https://finance.yahoo.com/quote/AAPL260116P00180000/" xr:uid="{71612ED5-37A0-471F-9FCE-3621EC1145D3}"/>
    <hyperlink ref="C615" r:id="rId1030" display="https://finance.yahoo.com/quote/AAPL/options/?straddle=false&amp;strike=180&amp;type=all" xr:uid="{CDCA7EC0-17B2-491D-BA1F-E4F027E9410D}"/>
    <hyperlink ref="A616" r:id="rId1031" display="https://finance.yahoo.com/quote/AAPL260116P00185000/" xr:uid="{882A77C3-D666-42DE-8F80-53EAC8A153A5}"/>
    <hyperlink ref="C616" r:id="rId1032" display="https://finance.yahoo.com/quote/AAPL/options/?straddle=false&amp;strike=185&amp;type=all" xr:uid="{6035B02F-02F6-49A1-84CB-3552B6EDDEA5}"/>
    <hyperlink ref="A617" r:id="rId1033" display="https://finance.yahoo.com/quote/AAPL260116P00190000/" xr:uid="{3F0777C7-B698-487F-90BE-7F06306B5533}"/>
    <hyperlink ref="C617" r:id="rId1034" display="https://finance.yahoo.com/quote/AAPL/options/?straddle=false&amp;strike=190&amp;type=all" xr:uid="{22B3FF6C-99C6-47FF-8D10-E66332BEA31A}"/>
    <hyperlink ref="A618" r:id="rId1035" display="https://finance.yahoo.com/quote/AAPL260116P00195000/" xr:uid="{708F48AE-EC33-499B-BF59-A9C94A0A24B3}"/>
    <hyperlink ref="C618" r:id="rId1036" display="https://finance.yahoo.com/quote/AAPL/options/?straddle=false&amp;strike=195&amp;type=all" xr:uid="{548FE7FE-A183-4324-AD99-E49BA838861E}"/>
    <hyperlink ref="A619" r:id="rId1037" display="https://finance.yahoo.com/quote/AAPL260116P00200000/" xr:uid="{4B111622-4EA1-4B89-A402-72A433FA9A6A}"/>
    <hyperlink ref="C619" r:id="rId1038" display="https://finance.yahoo.com/quote/AAPL/options/?straddle=false&amp;strike=200&amp;type=all" xr:uid="{EF3A2939-E4F1-4668-8643-0A68F33E114F}"/>
    <hyperlink ref="A620" r:id="rId1039" display="https://finance.yahoo.com/quote/AAPL260116P00205000/" xr:uid="{5B18E42E-E20D-40F4-8A0D-8F11B65C5961}"/>
    <hyperlink ref="C620" r:id="rId1040" display="https://finance.yahoo.com/quote/AAPL/options/?straddle=false&amp;strike=205&amp;type=all" xr:uid="{83DAE68C-58DF-4440-8835-5A5F204485E7}"/>
    <hyperlink ref="A621" r:id="rId1041" display="https://finance.yahoo.com/quote/AAPL260116P00210000/" xr:uid="{0C3242CD-0FB5-4308-8B74-57C80647D10F}"/>
    <hyperlink ref="C621" r:id="rId1042" display="https://finance.yahoo.com/quote/AAPL/options/?straddle=false&amp;strike=210&amp;type=all" xr:uid="{1523FAB8-80FB-471E-968B-2A1B0761E03B}"/>
    <hyperlink ref="A622" r:id="rId1043" display="https://finance.yahoo.com/quote/AAPL260116P00215000/" xr:uid="{5D516022-A456-4CAD-B997-74C9E4A605B1}"/>
    <hyperlink ref="C622" r:id="rId1044" display="https://finance.yahoo.com/quote/AAPL/options/?straddle=false&amp;strike=215&amp;type=all" xr:uid="{83C88F4E-F85C-43F1-AA66-A0E77989B213}"/>
    <hyperlink ref="A623" r:id="rId1045" display="https://finance.yahoo.com/quote/AAPL260116P00220000/" xr:uid="{03273AC0-88AA-4B09-A824-12E81F3EE947}"/>
    <hyperlink ref="C623" r:id="rId1046" display="https://finance.yahoo.com/quote/AAPL/options/?straddle=false&amp;strike=220&amp;type=all" xr:uid="{C325AE6B-57B4-4188-BDF5-65DA5C1313BE}"/>
    <hyperlink ref="A624" r:id="rId1047" display="https://finance.yahoo.com/quote/AAPL260116P00225000/" xr:uid="{F3C0D26D-B5B3-4775-9991-33016E71EE2E}"/>
    <hyperlink ref="C624" r:id="rId1048" display="https://finance.yahoo.com/quote/AAPL/options/?straddle=false&amp;strike=225&amp;type=all" xr:uid="{93560CD7-600D-4410-8F75-A0039E8929FD}"/>
    <hyperlink ref="A625" r:id="rId1049" display="https://finance.yahoo.com/quote/AAPL260116P00230000/" xr:uid="{1A30C82D-2C77-462E-9690-B86ECBA79180}"/>
    <hyperlink ref="C625" r:id="rId1050" display="https://finance.yahoo.com/quote/AAPL/options/?straddle=false&amp;strike=230&amp;type=all" xr:uid="{47D3C273-7907-4965-84A8-2CED24658FD5}"/>
    <hyperlink ref="A626" r:id="rId1051" display="https://finance.yahoo.com/quote/AAPL260116P00235000/" xr:uid="{FAE9FF06-1120-4B54-9A29-07528394242D}"/>
    <hyperlink ref="C626" r:id="rId1052" display="https://finance.yahoo.com/quote/AAPL/options/?straddle=false&amp;strike=235&amp;type=all" xr:uid="{2B9C111E-9356-4A7F-93E5-D236C3F1FD0C}"/>
    <hyperlink ref="A627" r:id="rId1053" display="https://finance.yahoo.com/quote/AAPL260116P00240000/" xr:uid="{23E71B27-A56D-420E-9F8E-414337122642}"/>
    <hyperlink ref="C627" r:id="rId1054" display="https://finance.yahoo.com/quote/AAPL/options/?straddle=false&amp;strike=240&amp;type=all" xr:uid="{480173D5-8A6E-465B-A157-93E7D8EAB64F}"/>
    <hyperlink ref="A628" r:id="rId1055" display="https://finance.yahoo.com/quote/AAPL260116P00245000/" xr:uid="{447C1759-414A-4B08-9626-6E0E2445387E}"/>
    <hyperlink ref="C628" r:id="rId1056" display="https://finance.yahoo.com/quote/AAPL/options/?straddle=false&amp;strike=245&amp;type=all" xr:uid="{ABF8B345-14F7-4C04-8555-9D3A30E4C5FF}"/>
    <hyperlink ref="A629" r:id="rId1057" display="https://finance.yahoo.com/quote/AAPL260116P00250000/" xr:uid="{7A7145B6-1F43-44F6-9C7E-A16192769B44}"/>
    <hyperlink ref="C629" r:id="rId1058" display="https://finance.yahoo.com/quote/AAPL/options/?straddle=false&amp;strike=250&amp;type=all" xr:uid="{10394D54-6A0E-48B3-B326-508C599CCC29}"/>
    <hyperlink ref="A630" r:id="rId1059" display="https://finance.yahoo.com/quote/AAPL260116P00255000/" xr:uid="{9E33F1DB-DE0D-4E56-96E6-A39D35E3AB07}"/>
    <hyperlink ref="C630" r:id="rId1060" display="https://finance.yahoo.com/quote/AAPL/options/?straddle=false&amp;strike=255&amp;type=all" xr:uid="{7A2E722E-962E-4049-B049-D0701668EA7C}"/>
    <hyperlink ref="A631" r:id="rId1061" display="https://finance.yahoo.com/quote/AAPL260116P00260000/" xr:uid="{9D1A78E4-1D6D-4D0A-B084-7130B3670144}"/>
    <hyperlink ref="C631" r:id="rId1062" display="https://finance.yahoo.com/quote/AAPL/options/?straddle=false&amp;strike=260&amp;type=all" xr:uid="{42AF42F7-899A-4120-856B-8CE729FE361F}"/>
    <hyperlink ref="A632" r:id="rId1063" display="https://finance.yahoo.com/quote/AAPL260116P00265000/" xr:uid="{A1FF1FEA-6A48-421B-BF51-99B3C0B02B77}"/>
    <hyperlink ref="C632" r:id="rId1064" display="https://finance.yahoo.com/quote/AAPL/options/?straddle=false&amp;strike=265&amp;type=all" xr:uid="{93006D07-ECA0-4184-A7D4-B1831A21E9A3}"/>
    <hyperlink ref="A633" r:id="rId1065" display="https://finance.yahoo.com/quote/AAPL260116P00270000/" xr:uid="{053BB21F-97E6-48AD-AD47-C2CD95289A90}"/>
    <hyperlink ref="C633" r:id="rId1066" display="https://finance.yahoo.com/quote/AAPL/options/?straddle=false&amp;strike=270&amp;type=all" xr:uid="{C850185F-7DF6-4A40-B468-AC12F7A28B87}"/>
    <hyperlink ref="A634" r:id="rId1067" display="https://finance.yahoo.com/quote/AAPL260116P00275000/" xr:uid="{56C5FE5A-EE86-4B8E-84C7-35582621DC78}"/>
    <hyperlink ref="C634" r:id="rId1068" display="https://finance.yahoo.com/quote/AAPL/options/?straddle=false&amp;strike=275&amp;type=all" xr:uid="{E3A044B9-372C-4348-80C5-30688885C936}"/>
    <hyperlink ref="A635" r:id="rId1069" display="https://finance.yahoo.com/quote/AAPL260116P00280000/" xr:uid="{5B5A2549-3993-40DC-90BC-243AC525AAE6}"/>
    <hyperlink ref="C635" r:id="rId1070" display="https://finance.yahoo.com/quote/AAPL/options/?straddle=false&amp;strike=280&amp;type=all" xr:uid="{E8CD856A-07C4-4E75-A841-BF30B96A26D7}"/>
    <hyperlink ref="A636" r:id="rId1071" display="https://finance.yahoo.com/quote/AAPL260116P00285000/" xr:uid="{6496DDC0-B80C-43D1-AD55-D69573A8574C}"/>
    <hyperlink ref="C636" r:id="rId1072" display="https://finance.yahoo.com/quote/AAPL/options/?straddle=false&amp;strike=285&amp;type=all" xr:uid="{C9F2C823-F7E1-4FFD-9FDD-CA1A2FA3FA3A}"/>
    <hyperlink ref="A637" r:id="rId1073" display="https://finance.yahoo.com/quote/AAPL260116P00290000/" xr:uid="{81930D84-D38B-4548-9C81-0AF88EFBEF16}"/>
    <hyperlink ref="C637" r:id="rId1074" display="https://finance.yahoo.com/quote/AAPL/options/?straddle=false&amp;strike=290&amp;type=all" xr:uid="{B97318A8-2796-4714-9D80-B51AC61DBF18}"/>
    <hyperlink ref="A638" r:id="rId1075" display="https://finance.yahoo.com/quote/AAPL260116P00295000/" xr:uid="{C5C08E5A-F681-4CAB-9EFD-7A47CBC96453}"/>
    <hyperlink ref="C638" r:id="rId1076" display="https://finance.yahoo.com/quote/AAPL/options/?straddle=false&amp;strike=295&amp;type=all" xr:uid="{1505ED59-4875-4F02-A1ED-7A5D582DBC9C}"/>
    <hyperlink ref="A639" r:id="rId1077" display="https://finance.yahoo.com/quote/AAPL260116P00300000/" xr:uid="{66A89506-BF1A-44A8-8587-8D10B59037E4}"/>
    <hyperlink ref="C639" r:id="rId1078" display="https://finance.yahoo.com/quote/AAPL/options/?straddle=false&amp;strike=300&amp;type=all" xr:uid="{46333F14-DBC8-4B83-BD30-7A5A99BC458A}"/>
    <hyperlink ref="A640" r:id="rId1079" display="https://finance.yahoo.com/quote/AAPL260116P00305000/" xr:uid="{BD31BEE0-02E6-4DD7-BD55-0CE199AB7017}"/>
    <hyperlink ref="C640" r:id="rId1080" display="https://finance.yahoo.com/quote/AAPL/options/?straddle=false&amp;strike=305&amp;type=all" xr:uid="{EA308BEC-F228-4C46-A68E-98D8ABDEC098}"/>
    <hyperlink ref="A641" r:id="rId1081" display="https://finance.yahoo.com/quote/AAPL260116P00310000/" xr:uid="{109A49F9-2006-4754-A10D-5F3F4825F3F5}"/>
    <hyperlink ref="C641" r:id="rId1082" display="https://finance.yahoo.com/quote/AAPL/options/?straddle=false&amp;strike=310&amp;type=all" xr:uid="{C637EE9A-6CD6-4C01-A023-6BEB146002EC}"/>
    <hyperlink ref="A642" r:id="rId1083" display="https://finance.yahoo.com/quote/AAPL260116P00315000/" xr:uid="{295018D2-D2CC-43F6-B1F8-137464D533F8}"/>
    <hyperlink ref="C642" r:id="rId1084" display="https://finance.yahoo.com/quote/AAPL/options/?straddle=false&amp;strike=315&amp;type=all" xr:uid="{471D42B4-B373-4205-9B64-5869ACFD44D5}"/>
    <hyperlink ref="A643" r:id="rId1085" display="https://finance.yahoo.com/quote/AAPL260116P00320000/" xr:uid="{F7DA707B-80E4-41CF-BAD6-E6231A2A0297}"/>
    <hyperlink ref="C643" r:id="rId1086" display="https://finance.yahoo.com/quote/AAPL/options/?straddle=false&amp;strike=320&amp;type=all" xr:uid="{24753846-3AB3-4F09-ABEF-E904B797FC61}"/>
    <hyperlink ref="A644" r:id="rId1087" display="https://finance.yahoo.com/quote/AAPL260116P00330000/" xr:uid="{97013E2F-2553-4DF8-B941-017A9898B09B}"/>
    <hyperlink ref="C644" r:id="rId1088" display="https://finance.yahoo.com/quote/AAPL/options/?straddle=false&amp;strike=330&amp;type=all" xr:uid="{43C60ABD-8DE1-4F99-95B0-9C6E9DF6AF9C}"/>
    <hyperlink ref="A645" r:id="rId1089" display="https://finance.yahoo.com/quote/AAPL260116P00340000/" xr:uid="{99648BEF-3AC7-4F9A-A388-57881A6D0C1C}"/>
    <hyperlink ref="C645" r:id="rId1090" display="https://finance.yahoo.com/quote/AAPL/options/?straddle=false&amp;strike=340&amp;type=all" xr:uid="{07869E08-41E4-491D-9E8F-3C3258D6C8A3}"/>
    <hyperlink ref="A646" r:id="rId1091" display="https://finance.yahoo.com/quote/AAPL260116P00350000/" xr:uid="{8767FCA0-044B-4A71-A4E7-CDD4B3E1A110}"/>
    <hyperlink ref="C646" r:id="rId1092" display="https://finance.yahoo.com/quote/AAPL/options/?straddle=false&amp;strike=350&amp;type=all" xr:uid="{6935F61F-05B4-449B-9BFE-38895A7B5414}"/>
    <hyperlink ref="A647" r:id="rId1093" display="https://finance.yahoo.com/quote/AAPL260116P00360000/" xr:uid="{CF2CECC0-AAE3-4B43-804F-3334BF11CC70}"/>
    <hyperlink ref="C647" r:id="rId1094" display="https://finance.yahoo.com/quote/AAPL/options/?straddle=false&amp;strike=360&amp;type=all" xr:uid="{341C778C-C2A8-48B9-8F82-9AE8705A75C7}"/>
    <hyperlink ref="A648" r:id="rId1095" display="https://finance.yahoo.com/quote/AAPL260116P00370000/" xr:uid="{56796100-E067-4A68-946A-1CFC04CEC94B}"/>
    <hyperlink ref="C648" r:id="rId1096" display="https://finance.yahoo.com/quote/AAPL/options/?straddle=false&amp;strike=370&amp;type=all" xr:uid="{31BB8DAA-A0A5-4F77-BE2C-C5340563EE43}"/>
    <hyperlink ref="A649" r:id="rId1097" display="https://finance.yahoo.com/quote/AAPL260116P00390000/" xr:uid="{4C20910D-16D7-4CF6-9A03-C6F8ED147264}"/>
    <hyperlink ref="C649" r:id="rId1098" display="https://finance.yahoo.com/quote/AAPL/options/?straddle=false&amp;strike=390&amp;type=all" xr:uid="{7E1DFE90-A3A0-44E9-8030-94F291E4EB8E}"/>
    <hyperlink ref="A650" r:id="rId1099" display="https://finance.yahoo.com/quote/AAPL260220C00100000/" xr:uid="{7289E602-2DBC-445D-AB6F-87AE59B49955}"/>
    <hyperlink ref="C650" r:id="rId1100" display="https://finance.yahoo.com/quote/AAPL/options/?straddle=false&amp;strike=100&amp;type=all" xr:uid="{30054382-DE24-4BDB-A8AA-084D0038FABB}"/>
    <hyperlink ref="A651" r:id="rId1101" display="https://finance.yahoo.com/quote/AAPL260220C00105000/" xr:uid="{46EFA49A-A826-4A1A-8D37-54877D5ED5E2}"/>
    <hyperlink ref="C651" r:id="rId1102" display="https://finance.yahoo.com/quote/AAPL/options/?straddle=false&amp;strike=105&amp;type=all" xr:uid="{41DEFE5A-398D-4040-B8C0-D794EEBA0860}"/>
    <hyperlink ref="A652" r:id="rId1103" display="https://finance.yahoo.com/quote/AAPL260220C00110000/" xr:uid="{086736C6-85A7-4CB3-A3D9-D1D03473CFB6}"/>
    <hyperlink ref="C652" r:id="rId1104" display="https://finance.yahoo.com/quote/AAPL/options/?straddle=false&amp;strike=110&amp;type=all" xr:uid="{F5DD1FC3-9D1A-4070-8D39-205DB224270D}"/>
    <hyperlink ref="A653" r:id="rId1105" display="https://finance.yahoo.com/quote/AAPL260220C00120000/" xr:uid="{B42C557E-5B90-444D-AB5C-B9B87769FF85}"/>
    <hyperlink ref="C653" r:id="rId1106" display="https://finance.yahoo.com/quote/AAPL/options/?straddle=false&amp;strike=120&amp;type=all" xr:uid="{CD46B021-34F0-4D5D-A4EC-8FBE0E9AB85E}"/>
    <hyperlink ref="A654" r:id="rId1107" display="https://finance.yahoo.com/quote/AAPL260220C00125000/" xr:uid="{0F146732-DC1E-4085-B640-6B90EE614C61}"/>
    <hyperlink ref="C654" r:id="rId1108" display="https://finance.yahoo.com/quote/AAPL/options/?straddle=false&amp;strike=125&amp;type=all" xr:uid="{0F3E0F8F-3F74-402D-B4EF-6EFD38E4C17A}"/>
    <hyperlink ref="A655" r:id="rId1109" display="https://finance.yahoo.com/quote/AAPL260220C00130000/" xr:uid="{A38F28DF-BFE4-4A69-972E-8770D4C09498}"/>
    <hyperlink ref="C655" r:id="rId1110" display="https://finance.yahoo.com/quote/AAPL/options/?straddle=false&amp;strike=130&amp;type=all" xr:uid="{E3FBEF24-CFB1-407C-B749-FD5A9659572C}"/>
    <hyperlink ref="A656" r:id="rId1111" display="https://finance.yahoo.com/quote/AAPL260220C00135000/" xr:uid="{F329EEEF-AAAA-4D88-8260-E59C4D9B3A83}"/>
    <hyperlink ref="C656" r:id="rId1112" display="https://finance.yahoo.com/quote/AAPL/options/?straddle=false&amp;strike=135&amp;type=all" xr:uid="{389BB3A7-0C0C-472A-82F2-75D415704C94}"/>
    <hyperlink ref="A657" r:id="rId1113" display="https://finance.yahoo.com/quote/AAPL260220C00140000/" xr:uid="{62CA16D6-A53F-4517-AD84-4822AFDABBF3}"/>
    <hyperlink ref="C657" r:id="rId1114" display="https://finance.yahoo.com/quote/AAPL/options/?straddle=false&amp;strike=140&amp;type=all" xr:uid="{91EC9694-DA74-436A-AE3C-F966D9BB3264}"/>
    <hyperlink ref="A658" r:id="rId1115" display="https://finance.yahoo.com/quote/AAPL260220C00145000/" xr:uid="{218A4817-5E00-4BDC-91DA-AEF24C3DD7F4}"/>
    <hyperlink ref="C658" r:id="rId1116" display="https://finance.yahoo.com/quote/AAPL/options/?straddle=false&amp;strike=145&amp;type=all" xr:uid="{8C521F89-9D97-4603-86C1-21BA86896B45}"/>
    <hyperlink ref="A659" r:id="rId1117" display="https://finance.yahoo.com/quote/AAPL260220C00150000/" xr:uid="{45C53FB6-0706-45F2-BDA6-4A8E5B07710B}"/>
    <hyperlink ref="C659" r:id="rId1118" display="https://finance.yahoo.com/quote/AAPL/options/?straddle=false&amp;strike=150&amp;type=all" xr:uid="{06029830-99A3-4EC5-B737-7FE974EBDADC}"/>
    <hyperlink ref="A660" r:id="rId1119" display="https://finance.yahoo.com/quote/AAPL260220C00155000/" xr:uid="{A090370B-5C8C-4E7A-8A92-9C6919D2AD46}"/>
    <hyperlink ref="C660" r:id="rId1120" display="https://finance.yahoo.com/quote/AAPL/options/?straddle=false&amp;strike=155&amp;type=all" xr:uid="{A6D9CCE3-4907-41C9-978A-14BEA3E8B82A}"/>
    <hyperlink ref="A661" r:id="rId1121" display="https://finance.yahoo.com/quote/AAPL260220C00160000/" xr:uid="{0BCB186B-6C0F-46DC-91A0-FFE00D2F583A}"/>
    <hyperlink ref="C661" r:id="rId1122" display="https://finance.yahoo.com/quote/AAPL/options/?straddle=false&amp;strike=160&amp;type=all" xr:uid="{029E4ADC-525A-4FBF-B7F8-B9C99ABC8FBA}"/>
    <hyperlink ref="A662" r:id="rId1123" display="https://finance.yahoo.com/quote/AAPL260220C00165000/" xr:uid="{0D6A66FB-BC45-48FA-9987-62122E670B2C}"/>
    <hyperlink ref="C662" r:id="rId1124" display="https://finance.yahoo.com/quote/AAPL/options/?straddle=false&amp;strike=165&amp;type=all" xr:uid="{FB1581C8-E4CD-453B-861B-6750433FF845}"/>
    <hyperlink ref="A663" r:id="rId1125" display="https://finance.yahoo.com/quote/AAPL260220C00170000/" xr:uid="{4C26F01B-B171-488E-B706-0B8133062EDA}"/>
    <hyperlink ref="C663" r:id="rId1126" display="https://finance.yahoo.com/quote/AAPL/options/?straddle=false&amp;strike=170&amp;type=all" xr:uid="{2050DB99-7848-4EA7-AF13-9943DB4C5224}"/>
    <hyperlink ref="A664" r:id="rId1127" display="https://finance.yahoo.com/quote/AAPL260220C00175000/" xr:uid="{0972AF32-5B35-4AA2-86E4-4CF07EA05CA0}"/>
    <hyperlink ref="C664" r:id="rId1128" display="https://finance.yahoo.com/quote/AAPL/options/?straddle=false&amp;strike=175&amp;type=all" xr:uid="{25560952-90F5-403F-B580-CB23F41074C4}"/>
    <hyperlink ref="A665" r:id="rId1129" display="https://finance.yahoo.com/quote/AAPL260220C00180000/" xr:uid="{710C141D-D5D9-4E03-B8FD-12A824274434}"/>
    <hyperlink ref="C665" r:id="rId1130" display="https://finance.yahoo.com/quote/AAPL/options/?straddle=false&amp;strike=180&amp;type=all" xr:uid="{21E8E4EF-CE98-4EA2-9C03-1BB21A3F3A36}"/>
    <hyperlink ref="A666" r:id="rId1131" display="https://finance.yahoo.com/quote/AAPL260220C00185000/" xr:uid="{27C0EA2B-A013-4698-857D-1322C9189A9D}"/>
    <hyperlink ref="C666" r:id="rId1132" display="https://finance.yahoo.com/quote/AAPL/options/?straddle=false&amp;strike=185&amp;type=all" xr:uid="{528DF553-95F2-4EC0-8694-47D7283251E0}"/>
    <hyperlink ref="A667" r:id="rId1133" display="https://finance.yahoo.com/quote/AAPL260220C00190000/" xr:uid="{1AC4773B-A439-4A6D-B3A7-427234FCE1D1}"/>
    <hyperlink ref="C667" r:id="rId1134" display="https://finance.yahoo.com/quote/AAPL/options/?straddle=false&amp;strike=190&amp;type=all" xr:uid="{9B0CEAE2-4747-47B2-9555-B85D1E20805D}"/>
    <hyperlink ref="A668" r:id="rId1135" display="https://finance.yahoo.com/quote/AAPL260220C00195000/" xr:uid="{DCD64FC6-BC1A-46B6-BDCC-E52F4FF55B94}"/>
    <hyperlink ref="C668" r:id="rId1136" display="https://finance.yahoo.com/quote/AAPL/options/?straddle=false&amp;strike=195&amp;type=all" xr:uid="{C9DEEDA8-6F88-4A86-99DA-0639E10EE51D}"/>
    <hyperlink ref="A669" r:id="rId1137" display="https://finance.yahoo.com/quote/AAPL260220C00200000/" xr:uid="{216576B8-8ECA-47B2-AB8B-232ED63647D0}"/>
    <hyperlink ref="C669" r:id="rId1138" display="https://finance.yahoo.com/quote/AAPL/options/?straddle=false&amp;strike=200&amp;type=all" xr:uid="{173DD422-F0A6-4818-BF4D-B98103D7310E}"/>
    <hyperlink ref="A670" r:id="rId1139" display="https://finance.yahoo.com/quote/AAPL260220C00205000/" xr:uid="{F9D7C35D-6832-49D3-BF4A-7477EF0FA965}"/>
    <hyperlink ref="C670" r:id="rId1140" display="https://finance.yahoo.com/quote/AAPL/options/?straddle=false&amp;strike=205&amp;type=all" xr:uid="{405FEBDC-047D-45EA-BD23-23FB29F78B46}"/>
    <hyperlink ref="A671" r:id="rId1141" display="https://finance.yahoo.com/quote/AAPL260220C00210000/" xr:uid="{F7ABD615-960F-444B-B631-1A3765D3A1EB}"/>
    <hyperlink ref="C671" r:id="rId1142" display="https://finance.yahoo.com/quote/AAPL/options/?straddle=false&amp;strike=210&amp;type=all" xr:uid="{4CD6931C-6FA3-4EAD-95A4-EE743C34A88A}"/>
    <hyperlink ref="A672" r:id="rId1143" display="https://finance.yahoo.com/quote/AAPL260220C00215000/" xr:uid="{15CB4793-DA78-4B09-8936-9AD200E7F965}"/>
    <hyperlink ref="C672" r:id="rId1144" display="https://finance.yahoo.com/quote/AAPL/options/?straddle=false&amp;strike=215&amp;type=all" xr:uid="{E803D40A-FD31-42C9-AAE7-6FB6F4FF0F5C}"/>
    <hyperlink ref="A673" r:id="rId1145" display="https://finance.yahoo.com/quote/AAPL260220C00220000/" xr:uid="{5AD750C5-FE1A-4EB1-8E9D-E83B6B55791E}"/>
    <hyperlink ref="C673" r:id="rId1146" display="https://finance.yahoo.com/quote/AAPL/options/?straddle=false&amp;strike=220&amp;type=all" xr:uid="{D49B8659-3333-4764-8938-2D94C6D373F8}"/>
    <hyperlink ref="A674" r:id="rId1147" display="https://finance.yahoo.com/quote/AAPL260220C00225000/" xr:uid="{9EDBAE78-5EB2-49E7-B2F3-2CB9A86478A2}"/>
    <hyperlink ref="C674" r:id="rId1148" display="https://finance.yahoo.com/quote/AAPL/options/?straddle=false&amp;strike=225&amp;type=all" xr:uid="{6088FD8F-318E-462D-B4D9-BC2A8D56861B}"/>
    <hyperlink ref="A675" r:id="rId1149" display="https://finance.yahoo.com/quote/AAPL260220C00230000/" xr:uid="{776277CB-D03A-4EE9-8B06-1176D7537EC2}"/>
    <hyperlink ref="C675" r:id="rId1150" display="https://finance.yahoo.com/quote/AAPL/options/?straddle=false&amp;strike=230&amp;type=all" xr:uid="{22E0F9BB-BE10-4D6A-8308-60AB8BA35769}"/>
    <hyperlink ref="A676" r:id="rId1151" display="https://finance.yahoo.com/quote/AAPL260220C00235000/" xr:uid="{B03CC16A-7A48-4F02-B10B-A02B6008C4D2}"/>
    <hyperlink ref="C676" r:id="rId1152" display="https://finance.yahoo.com/quote/AAPL/options/?straddle=false&amp;strike=235&amp;type=all" xr:uid="{BD2F218F-ECE0-450C-8A83-CF4216D394E2}"/>
    <hyperlink ref="A677" r:id="rId1153" display="https://finance.yahoo.com/quote/AAPL260220C00240000/" xr:uid="{AC79EA73-0D9F-4F25-B014-60E57945C89F}"/>
    <hyperlink ref="C677" r:id="rId1154" display="https://finance.yahoo.com/quote/AAPL/options/?straddle=false&amp;strike=240&amp;type=all" xr:uid="{66FD9553-3334-46F6-BE6A-B2CE58B8D144}"/>
    <hyperlink ref="A678" r:id="rId1155" display="https://finance.yahoo.com/quote/AAPL260220C00245000/" xr:uid="{4F8E9FA0-9479-4543-88AD-91FC02F360AE}"/>
    <hyperlink ref="C678" r:id="rId1156" display="https://finance.yahoo.com/quote/AAPL/options/?straddle=false&amp;strike=245&amp;type=all" xr:uid="{49BB070F-760F-4733-8282-0FCCAFEE495E}"/>
    <hyperlink ref="A679" r:id="rId1157" display="https://finance.yahoo.com/quote/AAPL260220C00250000/" xr:uid="{8CE99E29-0286-4662-9FB1-DEAF8D31962A}"/>
    <hyperlink ref="C679" r:id="rId1158" display="https://finance.yahoo.com/quote/AAPL/options/?straddle=false&amp;strike=250&amp;type=all" xr:uid="{47BEA86C-49C2-487D-929B-1B07D46A68A9}"/>
    <hyperlink ref="A680" r:id="rId1159" display="https://finance.yahoo.com/quote/AAPL260220C00255000/" xr:uid="{EF99BFB9-B034-411A-B35B-74B62C5ACF74}"/>
    <hyperlink ref="C680" r:id="rId1160" display="https://finance.yahoo.com/quote/AAPL/options/?straddle=false&amp;strike=255&amp;type=all" xr:uid="{3E4F308C-8B4F-4DE4-B076-4B5D5491AD59}"/>
    <hyperlink ref="A681" r:id="rId1161" display="https://finance.yahoo.com/quote/AAPL260220C00260000/" xr:uid="{514DE51D-A969-48EA-A232-BD695282A85D}"/>
    <hyperlink ref="C681" r:id="rId1162" display="https://finance.yahoo.com/quote/AAPL/options/?straddle=false&amp;strike=260&amp;type=all" xr:uid="{5E3E2ED8-A444-4F09-B574-6F22453AA1B4}"/>
    <hyperlink ref="A682" r:id="rId1163" display="https://finance.yahoo.com/quote/AAPL260220C00265000/" xr:uid="{7CA8319E-36C6-440D-8D68-C514401B90FD}"/>
    <hyperlink ref="C682" r:id="rId1164" display="https://finance.yahoo.com/quote/AAPL/options/?straddle=false&amp;strike=265&amp;type=all" xr:uid="{43144FB9-6B7B-43AA-91E8-E9BF69006FF8}"/>
    <hyperlink ref="A683" r:id="rId1165" display="https://finance.yahoo.com/quote/AAPL260220C00270000/" xr:uid="{513D90C0-0730-44C8-B375-DE64B6B83175}"/>
    <hyperlink ref="C683" r:id="rId1166" display="https://finance.yahoo.com/quote/AAPL/options/?straddle=false&amp;strike=270&amp;type=all" xr:uid="{020AFC1C-59ED-4EB1-A484-7ADA2799E3FF}"/>
    <hyperlink ref="A684" r:id="rId1167" display="https://finance.yahoo.com/quote/AAPL260220C00275000/" xr:uid="{D043E278-9BB7-4B4C-B7D6-5AB7DCDACA6C}"/>
    <hyperlink ref="C684" r:id="rId1168" display="https://finance.yahoo.com/quote/AAPL/options/?straddle=false&amp;strike=275&amp;type=all" xr:uid="{7A55B6F6-09BD-479C-94B3-5641ADAFE347}"/>
    <hyperlink ref="A685" r:id="rId1169" display="https://finance.yahoo.com/quote/AAPL260220C00280000/" xr:uid="{5F6A5F23-4A61-4BA2-BCE9-7FBD49C99D0A}"/>
    <hyperlink ref="C685" r:id="rId1170" display="https://finance.yahoo.com/quote/AAPL/options/?straddle=false&amp;strike=280&amp;type=all" xr:uid="{895FE4A5-2BFE-4A9E-8603-303851EF2724}"/>
    <hyperlink ref="A686" r:id="rId1171" display="https://finance.yahoo.com/quote/AAPL260220C00285000/" xr:uid="{C038A03A-0FC5-4E87-A3AC-45AF05F58D37}"/>
    <hyperlink ref="C686" r:id="rId1172" display="https://finance.yahoo.com/quote/AAPL/options/?straddle=false&amp;strike=285&amp;type=all" xr:uid="{56879BF6-F043-4E64-AEC5-82591163CA93}"/>
    <hyperlink ref="A687" r:id="rId1173" display="https://finance.yahoo.com/quote/AAPL260220C00290000/" xr:uid="{40DE564F-29DE-4285-A607-E505C38BC5CB}"/>
    <hyperlink ref="C687" r:id="rId1174" display="https://finance.yahoo.com/quote/AAPL/options/?straddle=false&amp;strike=290&amp;type=all" xr:uid="{7E318176-6333-4870-BA4B-F0C82AE0CF5D}"/>
    <hyperlink ref="A688" r:id="rId1175" display="https://finance.yahoo.com/quote/AAPL260220C00295000/" xr:uid="{C5E5951A-D42E-4E50-A09B-4141A4E3432A}"/>
    <hyperlink ref="C688" r:id="rId1176" display="https://finance.yahoo.com/quote/AAPL/options/?straddle=false&amp;strike=295&amp;type=all" xr:uid="{D38AD14C-2145-44BE-83F8-DBEB09596C23}"/>
    <hyperlink ref="A689" r:id="rId1177" display="https://finance.yahoo.com/quote/AAPL260220C00300000/" xr:uid="{F38FC619-DB11-4369-9D33-82BC0DE5CA0E}"/>
    <hyperlink ref="C689" r:id="rId1178" display="https://finance.yahoo.com/quote/AAPL/options/?straddle=false&amp;strike=300&amp;type=all" xr:uid="{D71B5BA7-A37B-4186-956B-E37A89C26F67}"/>
    <hyperlink ref="A690" r:id="rId1179" display="https://finance.yahoo.com/quote/AAPL260220C00310000/" xr:uid="{25291366-5C0B-4042-AF5B-E243CC22E009}"/>
    <hyperlink ref="C690" r:id="rId1180" display="https://finance.yahoo.com/quote/AAPL/options/?straddle=false&amp;strike=310&amp;type=all" xr:uid="{AF681CC5-23FC-47DE-A1E1-72AFA35C73E9}"/>
    <hyperlink ref="A691" r:id="rId1181" display="https://finance.yahoo.com/quote/AAPL260220C00320000/" xr:uid="{21B33B5C-69CA-45AD-B730-8C422EFB2249}"/>
    <hyperlink ref="C691" r:id="rId1182" display="https://finance.yahoo.com/quote/AAPL/options/?straddle=false&amp;strike=320&amp;type=all" xr:uid="{A2E923CF-3BEC-484C-94C5-5B62CAEEE03D}"/>
    <hyperlink ref="A692" r:id="rId1183" display="https://finance.yahoo.com/quote/AAPL260220C00330000/" xr:uid="{03E40586-08DB-41E2-9B53-F871696FCD6C}"/>
    <hyperlink ref="C692" r:id="rId1184" display="https://finance.yahoo.com/quote/AAPL/options/?straddle=false&amp;strike=330&amp;type=all" xr:uid="{609580E0-BB1F-4C98-AA5B-B986F708C290}"/>
    <hyperlink ref="A693" r:id="rId1185" display="https://finance.yahoo.com/quote/AAPL260220C00340000/" xr:uid="{265431BE-038D-4739-BFA9-DFF639A77C22}"/>
    <hyperlink ref="C693" r:id="rId1186" display="https://finance.yahoo.com/quote/AAPL/options/?straddle=false&amp;strike=340&amp;type=all" xr:uid="{4C8C41FB-966B-4508-ABB4-B98A2EB16DB7}"/>
    <hyperlink ref="A694" r:id="rId1187" display="https://finance.yahoo.com/quote/AAPL260220C00350000/" xr:uid="{B94D6694-1FE6-4955-BCB1-4094A341E77B}"/>
    <hyperlink ref="C694" r:id="rId1188" display="https://finance.yahoo.com/quote/AAPL/options/?straddle=false&amp;strike=350&amp;type=all" xr:uid="{DC9CFE75-F9B6-477E-B7B1-08DA41ED778B}"/>
    <hyperlink ref="A695" r:id="rId1189" display="https://finance.yahoo.com/quote/AAPL260220C00360000/" xr:uid="{7A722410-1155-4263-A7BD-F93497118813}"/>
    <hyperlink ref="C695" r:id="rId1190" display="https://finance.yahoo.com/quote/AAPL/options/?straddle=false&amp;strike=360&amp;type=all" xr:uid="{674544D1-DF57-4B87-87E4-9A3F13EC3EF6}"/>
    <hyperlink ref="A696" r:id="rId1191" display="https://finance.yahoo.com/quote/AAPL260220C00370000/" xr:uid="{D70330E2-F415-4C73-A4B8-0B9E646CE945}"/>
    <hyperlink ref="C696" r:id="rId1192" display="https://finance.yahoo.com/quote/AAPL/options/?straddle=false&amp;strike=370&amp;type=all" xr:uid="{A69B3CF6-CCA2-44A9-B7F0-E0BF617F7883}"/>
    <hyperlink ref="A697" r:id="rId1193" display="https://finance.yahoo.com/quote/AAPL260220C00380000/" xr:uid="{B0D2DBCD-A82D-4A85-85DD-9295F43DE4D6}"/>
    <hyperlink ref="C697" r:id="rId1194" display="https://finance.yahoo.com/quote/AAPL/options/?straddle=false&amp;strike=380&amp;type=all" xr:uid="{6FBEF514-B339-461D-A8A3-334C542F90CF}"/>
    <hyperlink ref="A698" r:id="rId1195" display="https://finance.yahoo.com/quote/AAPL260220C00390000/" xr:uid="{223C6229-53FE-4FFB-BF83-C0C6F6B8B9DE}"/>
    <hyperlink ref="C698" r:id="rId1196" display="https://finance.yahoo.com/quote/AAPL/options/?straddle=false&amp;strike=390&amp;type=all" xr:uid="{4C858830-35AB-47CC-A427-4EFEBD2DF24C}"/>
    <hyperlink ref="A699" r:id="rId1197" display="https://finance.yahoo.com/quote/AAPL260220C00400000/" xr:uid="{04694D28-61C7-4836-A471-108CE06CDD91}"/>
    <hyperlink ref="C699" r:id="rId1198" display="https://finance.yahoo.com/quote/AAPL/options/?straddle=false&amp;strike=400&amp;type=all" xr:uid="{E02DDD06-C96A-4FA8-800D-81976EC9D48D}"/>
    <hyperlink ref="A700" r:id="rId1199" display="https://finance.yahoo.com/quote/AAPL260220P00100000/" xr:uid="{39567AC8-9C8D-4B40-A6AA-E9BB5D886808}"/>
    <hyperlink ref="C700" r:id="rId1200" display="https://finance.yahoo.com/quote/AAPL/options/?straddle=false&amp;strike=100&amp;type=all" xr:uid="{1F626FE8-F567-42ED-AD9A-10591F2A7D55}"/>
    <hyperlink ref="A701" r:id="rId1201" display="https://finance.yahoo.com/quote/AAPL260220P00105000/" xr:uid="{3E7C00EC-2449-4B4E-90B7-9AA97693FB83}"/>
    <hyperlink ref="C701" r:id="rId1202" display="https://finance.yahoo.com/quote/AAPL/options/?straddle=false&amp;strike=105&amp;type=all" xr:uid="{E66D0194-18F3-4FFE-97A4-FBB06B395206}"/>
    <hyperlink ref="A702" r:id="rId1203" display="https://finance.yahoo.com/quote/AAPL260220P00110000/" xr:uid="{F250EA7E-2CEE-4384-BB6C-7383E25CB39A}"/>
    <hyperlink ref="C702" r:id="rId1204" display="https://finance.yahoo.com/quote/AAPL/options/?straddle=false&amp;strike=110&amp;type=all" xr:uid="{7815768C-609F-45F2-B1D1-5E96E88A2E06}"/>
    <hyperlink ref="A703" r:id="rId1205" display="https://finance.yahoo.com/quote/AAPL260220P00115000/" xr:uid="{0C810F53-2E7C-45BD-82B2-F74B5EC23CB5}"/>
    <hyperlink ref="C703" r:id="rId1206" display="https://finance.yahoo.com/quote/AAPL/options/?straddle=false&amp;strike=115&amp;type=all" xr:uid="{5B55D6F7-A5C1-417C-AF2B-0D015E47AABE}"/>
    <hyperlink ref="A704" r:id="rId1207" display="https://finance.yahoo.com/quote/AAPL260220P00120000/" xr:uid="{649E2DDA-C2E6-409B-B25C-3C2C4BF8A28D}"/>
    <hyperlink ref="C704" r:id="rId1208" display="https://finance.yahoo.com/quote/AAPL/options/?straddle=false&amp;strike=120&amp;type=all" xr:uid="{D4F02268-18F1-41DE-A0F0-13C7248956EB}"/>
    <hyperlink ref="A705" r:id="rId1209" display="https://finance.yahoo.com/quote/AAPL260220P00125000/" xr:uid="{6C3332F2-F889-4D76-A9B4-D48807EDDB4F}"/>
    <hyperlink ref="C705" r:id="rId1210" display="https://finance.yahoo.com/quote/AAPL/options/?straddle=false&amp;strike=125&amp;type=all" xr:uid="{4AB586F4-255A-43B9-B149-8AA19F2AC7C4}"/>
    <hyperlink ref="A706" r:id="rId1211" display="https://finance.yahoo.com/quote/AAPL260220P00130000/" xr:uid="{842AF932-2641-4595-B52E-A55777F00884}"/>
    <hyperlink ref="C706" r:id="rId1212" display="https://finance.yahoo.com/quote/AAPL/options/?straddle=false&amp;strike=130&amp;type=all" xr:uid="{260281D0-2BA2-440B-A217-169BABAFE231}"/>
    <hyperlink ref="A707" r:id="rId1213" display="https://finance.yahoo.com/quote/AAPL260220P00135000/" xr:uid="{99E60BA2-E914-45FA-B53A-07909820D720}"/>
    <hyperlink ref="C707" r:id="rId1214" display="https://finance.yahoo.com/quote/AAPL/options/?straddle=false&amp;strike=135&amp;type=all" xr:uid="{2D5114C3-72B5-45FC-AB36-5E14A766555F}"/>
    <hyperlink ref="A708" r:id="rId1215" display="https://finance.yahoo.com/quote/AAPL260220P00140000/" xr:uid="{5F340169-8D85-47E8-B74D-6BF015103E89}"/>
    <hyperlink ref="C708" r:id="rId1216" display="https://finance.yahoo.com/quote/AAPL/options/?straddle=false&amp;strike=140&amp;type=all" xr:uid="{D90F3C13-BDE7-4923-AB7C-87E2C5364F28}"/>
    <hyperlink ref="A709" r:id="rId1217" display="https://finance.yahoo.com/quote/AAPL260220P00145000/" xr:uid="{CD21C128-A952-43BE-B23D-33E93A09C0EB}"/>
    <hyperlink ref="C709" r:id="rId1218" display="https://finance.yahoo.com/quote/AAPL/options/?straddle=false&amp;strike=145&amp;type=all" xr:uid="{76D1E231-B8E7-4D00-9714-6DA39E753A37}"/>
    <hyperlink ref="A710" r:id="rId1219" display="https://finance.yahoo.com/quote/AAPL260220P00150000/" xr:uid="{7CC69C9A-FC5C-42F0-90BE-FCB6F6D92D56}"/>
    <hyperlink ref="C710" r:id="rId1220" display="https://finance.yahoo.com/quote/AAPL/options/?straddle=false&amp;strike=150&amp;type=all" xr:uid="{014EC892-69EF-41F3-B4D6-824393B19248}"/>
    <hyperlink ref="A711" r:id="rId1221" display="https://finance.yahoo.com/quote/AAPL260220P00155000/" xr:uid="{8BD6F5F5-BBD9-478D-9BAB-4FCD58607373}"/>
    <hyperlink ref="C711" r:id="rId1222" display="https://finance.yahoo.com/quote/AAPL/options/?straddle=false&amp;strike=155&amp;type=all" xr:uid="{27ADA767-0215-4287-A3AB-399556A888AF}"/>
    <hyperlink ref="A712" r:id="rId1223" display="https://finance.yahoo.com/quote/AAPL260220P00160000/" xr:uid="{94D499BD-90C5-4977-96BB-34DF0598E221}"/>
    <hyperlink ref="C712" r:id="rId1224" display="https://finance.yahoo.com/quote/AAPL/options/?straddle=false&amp;strike=160&amp;type=all" xr:uid="{713BF0B9-02BB-4BE1-9655-97E1F0B1A8D1}"/>
    <hyperlink ref="A713" r:id="rId1225" display="https://finance.yahoo.com/quote/AAPL260220P00165000/" xr:uid="{BF95A1F6-5A55-437C-81BA-18DA01D12B3C}"/>
    <hyperlink ref="C713" r:id="rId1226" display="https://finance.yahoo.com/quote/AAPL/options/?straddle=false&amp;strike=165&amp;type=all" xr:uid="{C4D2CB5D-C2C8-4A2B-9C10-33D21323E7BA}"/>
    <hyperlink ref="A714" r:id="rId1227" display="https://finance.yahoo.com/quote/AAPL260220P00170000/" xr:uid="{82D11FB5-37A9-42A5-BDEA-5A4FF68EFB9D}"/>
    <hyperlink ref="C714" r:id="rId1228" display="https://finance.yahoo.com/quote/AAPL/options/?straddle=false&amp;strike=170&amp;type=all" xr:uid="{BE091EA4-0C0E-4D26-BBF2-BEAEB936D0EA}"/>
    <hyperlink ref="A715" r:id="rId1229" display="https://finance.yahoo.com/quote/AAPL260220P00175000/" xr:uid="{4564E3FA-3CDD-4962-8199-41762B1735E8}"/>
    <hyperlink ref="C715" r:id="rId1230" display="https://finance.yahoo.com/quote/AAPL/options/?straddle=false&amp;strike=175&amp;type=all" xr:uid="{E0CBE090-23BF-4D92-BA60-AA2626149F35}"/>
    <hyperlink ref="A716" r:id="rId1231" display="https://finance.yahoo.com/quote/AAPL260220P00180000/" xr:uid="{61113EBD-472C-462F-8763-75CEACA46318}"/>
    <hyperlink ref="C716" r:id="rId1232" display="https://finance.yahoo.com/quote/AAPL/options/?straddle=false&amp;strike=180&amp;type=all" xr:uid="{8F9AEABE-AA2C-4294-BF2B-2C65A95A1654}"/>
    <hyperlink ref="A717" r:id="rId1233" display="https://finance.yahoo.com/quote/AAPL260220P00185000/" xr:uid="{F3877187-393F-47A5-AC00-40F061A96C78}"/>
    <hyperlink ref="C717" r:id="rId1234" display="https://finance.yahoo.com/quote/AAPL/options/?straddle=false&amp;strike=185&amp;type=all" xr:uid="{3E14A499-CC96-4D11-86F1-A56B90841DEA}"/>
    <hyperlink ref="A718" r:id="rId1235" display="https://finance.yahoo.com/quote/AAPL260220P00190000/" xr:uid="{C00E501B-175C-40E5-A9F0-FF1127AD907C}"/>
    <hyperlink ref="C718" r:id="rId1236" display="https://finance.yahoo.com/quote/AAPL/options/?straddle=false&amp;strike=190&amp;type=all" xr:uid="{1BB131B6-1E0F-4403-AB1C-C1E586B458D3}"/>
    <hyperlink ref="A719" r:id="rId1237" display="https://finance.yahoo.com/quote/AAPL260220P00195000/" xr:uid="{BC000335-A735-4E9D-8D6F-A9974CFBBDC0}"/>
    <hyperlink ref="C719" r:id="rId1238" display="https://finance.yahoo.com/quote/AAPL/options/?straddle=false&amp;strike=195&amp;type=all" xr:uid="{FAF2A738-A2DC-453E-BFDE-8016BA7A138F}"/>
    <hyperlink ref="A720" r:id="rId1239" display="https://finance.yahoo.com/quote/AAPL260220P00200000/" xr:uid="{3373B031-ECE1-4B96-BB31-AF43309DA305}"/>
    <hyperlink ref="C720" r:id="rId1240" display="https://finance.yahoo.com/quote/AAPL/options/?straddle=false&amp;strike=200&amp;type=all" xr:uid="{E05E06F8-C580-4F59-B9AA-11CD11E72E38}"/>
    <hyperlink ref="A721" r:id="rId1241" display="https://finance.yahoo.com/quote/AAPL260220P00205000/" xr:uid="{7F75164E-5DDE-4492-B09A-30CBC32B4E22}"/>
    <hyperlink ref="C721" r:id="rId1242" display="https://finance.yahoo.com/quote/AAPL/options/?straddle=false&amp;strike=205&amp;type=all" xr:uid="{B59197CA-E071-4296-BAD4-0843038E6B55}"/>
    <hyperlink ref="A722" r:id="rId1243" display="https://finance.yahoo.com/quote/AAPL260220P00210000/" xr:uid="{5E765618-ACD9-4EB4-A3FE-0B5DF9F91BFC}"/>
    <hyperlink ref="C722" r:id="rId1244" display="https://finance.yahoo.com/quote/AAPL/options/?straddle=false&amp;strike=210&amp;type=all" xr:uid="{CC7EF8AB-5FB0-4C30-8F23-C640F06A0B21}"/>
    <hyperlink ref="A723" r:id="rId1245" display="https://finance.yahoo.com/quote/AAPL260220P00215000/" xr:uid="{8BAA1E5E-A43F-4DCA-BE44-5E3BF998CC17}"/>
    <hyperlink ref="C723" r:id="rId1246" display="https://finance.yahoo.com/quote/AAPL/options/?straddle=false&amp;strike=215&amp;type=all" xr:uid="{C6B40BCA-78B8-4539-A4EF-D029533D39B3}"/>
    <hyperlink ref="A724" r:id="rId1247" display="https://finance.yahoo.com/quote/AAPL260220P00220000/" xr:uid="{763F7215-98E8-491B-8F8F-621F5C4F4DE2}"/>
    <hyperlink ref="C724" r:id="rId1248" display="https://finance.yahoo.com/quote/AAPL/options/?straddle=false&amp;strike=220&amp;type=all" xr:uid="{6C726F0B-B5D7-4167-82CC-5D7905A4A1C9}"/>
    <hyperlink ref="A725" r:id="rId1249" display="https://finance.yahoo.com/quote/AAPL260220P00225000/" xr:uid="{1303FE05-EB6C-42C3-9F10-306620EECBDF}"/>
    <hyperlink ref="C725" r:id="rId1250" display="https://finance.yahoo.com/quote/AAPL/options/?straddle=false&amp;strike=225&amp;type=all" xr:uid="{915B4CC9-378A-4B2D-820A-094E5DDB64B9}"/>
    <hyperlink ref="A726" r:id="rId1251" display="https://finance.yahoo.com/quote/AAPL260220P00230000/" xr:uid="{60F9D6CD-6AE0-464C-9CBB-A66065139520}"/>
    <hyperlink ref="C726" r:id="rId1252" display="https://finance.yahoo.com/quote/AAPL/options/?straddle=false&amp;strike=230&amp;type=all" xr:uid="{7DE8A800-879C-41D6-80C7-6435395BC05B}"/>
    <hyperlink ref="A727" r:id="rId1253" display="https://finance.yahoo.com/quote/AAPL260220P00235000/" xr:uid="{3FC90E03-7DE6-4626-A3F5-D8E3B340560A}"/>
    <hyperlink ref="C727" r:id="rId1254" display="https://finance.yahoo.com/quote/AAPL/options/?straddle=false&amp;strike=235&amp;type=all" xr:uid="{C9E1F550-9D34-498C-AEC5-6117308D541A}"/>
    <hyperlink ref="A728" r:id="rId1255" display="https://finance.yahoo.com/quote/AAPL260220P00240000/" xr:uid="{4C3BB8DB-EB15-4DBF-B968-CAD4FFB7459D}"/>
    <hyperlink ref="C728" r:id="rId1256" display="https://finance.yahoo.com/quote/AAPL/options/?straddle=false&amp;strike=240&amp;type=all" xr:uid="{5ABA0B67-5A57-431D-AB4F-84C0BFCD85C4}"/>
    <hyperlink ref="A729" r:id="rId1257" display="https://finance.yahoo.com/quote/AAPL260220P00245000/" xr:uid="{76C9855A-D671-4AA0-A8C7-C7773F5F4AF3}"/>
    <hyperlink ref="C729" r:id="rId1258" display="https://finance.yahoo.com/quote/AAPL/options/?straddle=false&amp;strike=245&amp;type=all" xr:uid="{89EA5538-07B7-4CF9-841C-06CF2AF74B6D}"/>
    <hyperlink ref="A730" r:id="rId1259" display="https://finance.yahoo.com/quote/AAPL260220P00250000/" xr:uid="{A9E46623-34DC-436A-BCFD-39C40661743D}"/>
    <hyperlink ref="C730" r:id="rId1260" display="https://finance.yahoo.com/quote/AAPL/options/?straddle=false&amp;strike=250&amp;type=all" xr:uid="{5B278344-6F56-4C6F-A602-0E13B7D22C76}"/>
    <hyperlink ref="A731" r:id="rId1261" display="https://finance.yahoo.com/quote/AAPL260220P00255000/" xr:uid="{53011BB4-D77D-403A-816D-C880E25F1262}"/>
    <hyperlink ref="C731" r:id="rId1262" display="https://finance.yahoo.com/quote/AAPL/options/?straddle=false&amp;strike=255&amp;type=all" xr:uid="{D96AB5DA-5B45-4531-85F4-EF71D7A6040D}"/>
    <hyperlink ref="A732" r:id="rId1263" display="https://finance.yahoo.com/quote/AAPL260220P00260000/" xr:uid="{C8283579-6D0A-4CA6-8E5F-DC8AE1226955}"/>
    <hyperlink ref="C732" r:id="rId1264" display="https://finance.yahoo.com/quote/AAPL/options/?straddle=false&amp;strike=260&amp;type=all" xr:uid="{E28BE717-43D5-488C-AFAF-7EDB61F2E3AD}"/>
    <hyperlink ref="A733" r:id="rId1265" display="https://finance.yahoo.com/quote/AAPL260220P00265000/" xr:uid="{F5268A77-9A6F-44BE-87D1-A35DF1C36686}"/>
    <hyperlink ref="C733" r:id="rId1266" display="https://finance.yahoo.com/quote/AAPL/options/?straddle=false&amp;strike=265&amp;type=all" xr:uid="{E1BA2787-D7CE-43D4-9785-714BEAB8B487}"/>
    <hyperlink ref="A734" r:id="rId1267" display="https://finance.yahoo.com/quote/AAPL260220P00270000/" xr:uid="{E000871C-5AA3-4128-BF79-345DED79DF1E}"/>
    <hyperlink ref="C734" r:id="rId1268" display="https://finance.yahoo.com/quote/AAPL/options/?straddle=false&amp;strike=270&amp;type=all" xr:uid="{DB0DD79E-96DD-42B4-BAAB-69581A25F2D6}"/>
    <hyperlink ref="A735" r:id="rId1269" display="https://finance.yahoo.com/quote/AAPL260220P00275000/" xr:uid="{2E1E21D6-AEF6-4812-AAF5-40A57895C8D7}"/>
    <hyperlink ref="C735" r:id="rId1270" display="https://finance.yahoo.com/quote/AAPL/options/?straddle=false&amp;strike=275&amp;type=all" xr:uid="{A12DB930-F576-471A-B503-706E926DB378}"/>
    <hyperlink ref="A736" r:id="rId1271" display="https://finance.yahoo.com/quote/AAPL260220P00280000/" xr:uid="{3F18FAD1-3D5C-4B39-909B-B9D9D3253C95}"/>
    <hyperlink ref="C736" r:id="rId1272" display="https://finance.yahoo.com/quote/AAPL/options/?straddle=false&amp;strike=280&amp;type=all" xr:uid="{0FE1399D-11A2-45A5-8632-CA2C132828B0}"/>
    <hyperlink ref="A737" r:id="rId1273" display="https://finance.yahoo.com/quote/AAPL260220P00285000/" xr:uid="{DDF6F1E5-823C-4A70-93EB-274C4A2F5E94}"/>
    <hyperlink ref="C737" r:id="rId1274" display="https://finance.yahoo.com/quote/AAPL/options/?straddle=false&amp;strike=285&amp;type=all" xr:uid="{9E55AEE9-4CDD-400D-8AFA-82287CB53AA7}"/>
    <hyperlink ref="A738" r:id="rId1275" display="https://finance.yahoo.com/quote/AAPL260220P00290000/" xr:uid="{72558BF4-973B-478A-8CFC-67BEF0C69D20}"/>
    <hyperlink ref="C738" r:id="rId1276" display="https://finance.yahoo.com/quote/AAPL/options/?straddle=false&amp;strike=290&amp;type=all" xr:uid="{9896EA48-5C9D-4B25-8147-97BF92A5F7A6}"/>
    <hyperlink ref="A739" r:id="rId1277" display="https://finance.yahoo.com/quote/AAPL260220P00295000/" xr:uid="{1C14479F-5274-4EFC-B728-17579FAD2F95}"/>
    <hyperlink ref="C739" r:id="rId1278" display="https://finance.yahoo.com/quote/AAPL/options/?straddle=false&amp;strike=295&amp;type=all" xr:uid="{B2F76A7B-A746-4B48-843C-17E595DA2CDD}"/>
    <hyperlink ref="A740" r:id="rId1279" display="https://finance.yahoo.com/quote/AAPL260220P00300000/" xr:uid="{ED1849E7-550E-4B8D-83AE-9254EE942059}"/>
    <hyperlink ref="C740" r:id="rId1280" display="https://finance.yahoo.com/quote/AAPL/options/?straddle=false&amp;strike=300&amp;type=all" xr:uid="{6567DCF7-4ED3-4663-99D0-A77630AC4668}"/>
    <hyperlink ref="A741" r:id="rId1281" display="https://finance.yahoo.com/quote/AAPL260220P00310000/" xr:uid="{5D1E5119-F914-4303-BC77-9CEC6AE30C16}"/>
    <hyperlink ref="C741" r:id="rId1282" display="https://finance.yahoo.com/quote/AAPL/options/?straddle=false&amp;strike=310&amp;type=all" xr:uid="{7B5198E4-DAA9-41B7-A212-1FCBD54CAF1D}"/>
    <hyperlink ref="A742" r:id="rId1283" display="https://finance.yahoo.com/quote/AAPL260320C00090000/" xr:uid="{45198777-7C39-4DF9-BBB3-D5BD61248727}"/>
    <hyperlink ref="C742" r:id="rId1284" display="https://finance.yahoo.com/quote/AAPL/options/?straddle=false&amp;strike=90&amp;type=all" xr:uid="{CE9C9A1D-1052-4596-BCC8-62C99EB4B3DC}"/>
    <hyperlink ref="A743" r:id="rId1285" display="https://finance.yahoo.com/quote/AAPL260320C00095000/" xr:uid="{9D4680F5-8A39-41F0-9E30-C697C60B4554}"/>
    <hyperlink ref="C743" r:id="rId1286" display="https://finance.yahoo.com/quote/AAPL/options/?straddle=false&amp;strike=95&amp;type=all" xr:uid="{5BCCC469-55D8-4E00-A19B-2D977DB28200}"/>
    <hyperlink ref="A744" r:id="rId1287" display="https://finance.yahoo.com/quote/AAPL260320C00100000/" xr:uid="{054314EF-470B-4416-A0D2-00A21D305EE1}"/>
    <hyperlink ref="C744" r:id="rId1288" display="https://finance.yahoo.com/quote/AAPL/options/?straddle=false&amp;strike=100&amp;type=all" xr:uid="{B01AD417-4FD3-4097-AEC8-26B32C9E9093}"/>
    <hyperlink ref="A745" r:id="rId1289" display="https://finance.yahoo.com/quote/AAPL260320C00105000/" xr:uid="{6D1BEB4E-45A9-4DE2-B2CB-C321FEA0F682}"/>
    <hyperlink ref="C745" r:id="rId1290" display="https://finance.yahoo.com/quote/AAPL/options/?straddle=false&amp;strike=105&amp;type=all" xr:uid="{5EA6E51B-AA73-4B0A-8B37-D775F03584E7}"/>
    <hyperlink ref="A746" r:id="rId1291" display="https://finance.yahoo.com/quote/AAPL260320C00110000/" xr:uid="{7AE84198-64D9-4A44-9BB6-38358116B9DB}"/>
    <hyperlink ref="C746" r:id="rId1292" display="https://finance.yahoo.com/quote/AAPL/options/?straddle=false&amp;strike=110&amp;type=all" xr:uid="{455248F4-12DC-4A51-88AD-59313C1ADE24}"/>
    <hyperlink ref="A747" r:id="rId1293" display="https://finance.yahoo.com/quote/AAPL260320C00115000/" xr:uid="{B301CF07-DCE1-4EB8-BDB1-5B1296C4C546}"/>
    <hyperlink ref="C747" r:id="rId1294" display="https://finance.yahoo.com/quote/AAPL/options/?straddle=false&amp;strike=115&amp;type=all" xr:uid="{54F29278-3921-453D-A08D-83091CC535F0}"/>
    <hyperlink ref="A748" r:id="rId1295" display="https://finance.yahoo.com/quote/AAPL260320C00120000/" xr:uid="{D2F0C36B-7FB9-41D6-8BE2-AA42BFE0D1C0}"/>
    <hyperlink ref="C748" r:id="rId1296" display="https://finance.yahoo.com/quote/AAPL/options/?straddle=false&amp;strike=120&amp;type=all" xr:uid="{49FD8602-F9A4-4B9F-8D0A-F5A358F7D7F4}"/>
    <hyperlink ref="A749" r:id="rId1297" display="https://finance.yahoo.com/quote/AAPL260320C00125000/" xr:uid="{0275D4CD-81A5-4061-9249-E90FC161F24A}"/>
    <hyperlink ref="C749" r:id="rId1298" display="https://finance.yahoo.com/quote/AAPL/options/?straddle=false&amp;strike=125&amp;type=all" xr:uid="{FF922922-6C0F-45A4-82DB-5D19E84DA740}"/>
    <hyperlink ref="A750" r:id="rId1299" display="https://finance.yahoo.com/quote/AAPL260320C00130000/" xr:uid="{4A49C4AE-254D-4DE9-8E55-7E65CA2AD01E}"/>
    <hyperlink ref="C750" r:id="rId1300" display="https://finance.yahoo.com/quote/AAPL/options/?straddle=false&amp;strike=130&amp;type=all" xr:uid="{70641CE3-C791-462D-9615-D91CC949F5EF}"/>
    <hyperlink ref="A751" r:id="rId1301" display="https://finance.yahoo.com/quote/AAPL260320C00135000/" xr:uid="{BB1C5ED8-ACE1-42D3-ABA5-C3D9D8C5FE2E}"/>
    <hyperlink ref="C751" r:id="rId1302" display="https://finance.yahoo.com/quote/AAPL/options/?straddle=false&amp;strike=135&amp;type=all" xr:uid="{B61992B9-2E89-482E-815E-B03FD3F6355C}"/>
    <hyperlink ref="A752" r:id="rId1303" display="https://finance.yahoo.com/quote/AAPL260320C00140000/" xr:uid="{9256EAE4-3449-4979-AC3E-05618E32EDD2}"/>
    <hyperlink ref="C752" r:id="rId1304" display="https://finance.yahoo.com/quote/AAPL/options/?straddle=false&amp;strike=140&amp;type=all" xr:uid="{CA4FA6E1-6666-4FFF-8611-0A77D03D0B3D}"/>
    <hyperlink ref="A753" r:id="rId1305" display="https://finance.yahoo.com/quote/AAPL260320C00145000/" xr:uid="{78D38D41-C2DB-4541-A909-D091E4EB0283}"/>
    <hyperlink ref="C753" r:id="rId1306" display="https://finance.yahoo.com/quote/AAPL/options/?straddle=false&amp;strike=145&amp;type=all" xr:uid="{9E6B5070-D166-4AC2-BF43-692706B6C5D6}"/>
    <hyperlink ref="A754" r:id="rId1307" display="https://finance.yahoo.com/quote/AAPL260320C00150000/" xr:uid="{20293C9A-1E66-4B7D-B2F2-8E4E579CA48A}"/>
    <hyperlink ref="C754" r:id="rId1308" display="https://finance.yahoo.com/quote/AAPL/options/?straddle=false&amp;strike=150&amp;type=all" xr:uid="{E2F782F1-8B5E-4FF6-AA4E-CE68BC1F6F7B}"/>
    <hyperlink ref="A755" r:id="rId1309" display="https://finance.yahoo.com/quote/AAPL260320C00155000/" xr:uid="{638BE9B9-1599-481E-A81F-45C1CCBDE18A}"/>
    <hyperlink ref="C755" r:id="rId1310" display="https://finance.yahoo.com/quote/AAPL/options/?straddle=false&amp;strike=155&amp;type=all" xr:uid="{DF9E6EAD-921D-4555-9F20-4FEAB0FBB409}"/>
    <hyperlink ref="A756" r:id="rId1311" display="https://finance.yahoo.com/quote/AAPL260320C00160000/" xr:uid="{39CD58A2-8A20-49F3-A601-4A2C79EA0357}"/>
    <hyperlink ref="C756" r:id="rId1312" display="https://finance.yahoo.com/quote/AAPL/options/?straddle=false&amp;strike=160&amp;type=all" xr:uid="{B2111329-EC58-468C-B1D7-F2DE9BF1E274}"/>
    <hyperlink ref="A757" r:id="rId1313" display="https://finance.yahoo.com/quote/AAPL260320C00165000/" xr:uid="{7D3C7194-9A8C-481E-88C3-E24E4DAE9E7F}"/>
    <hyperlink ref="C757" r:id="rId1314" display="https://finance.yahoo.com/quote/AAPL/options/?straddle=false&amp;strike=165&amp;type=all" xr:uid="{0876EEE0-A2D8-41AD-839E-760A45606558}"/>
    <hyperlink ref="A758" r:id="rId1315" display="https://finance.yahoo.com/quote/AAPL260320C00170000/" xr:uid="{42240B9C-3880-4260-97A5-6E5F4EFAFA11}"/>
    <hyperlink ref="C758" r:id="rId1316" display="https://finance.yahoo.com/quote/AAPL/options/?straddle=false&amp;strike=170&amp;type=all" xr:uid="{19BF0C33-AAEE-45CC-B9BD-8C5BF88484FC}"/>
    <hyperlink ref="A759" r:id="rId1317" display="https://finance.yahoo.com/quote/AAPL260320C00175000/" xr:uid="{051777D3-8EB0-4A6D-91E4-070DDBE6226A}"/>
    <hyperlink ref="C759" r:id="rId1318" display="https://finance.yahoo.com/quote/AAPL/options/?straddle=false&amp;strike=175&amp;type=all" xr:uid="{AFCEC879-3AD1-4E55-82B3-DAB27B43497F}"/>
    <hyperlink ref="A760" r:id="rId1319" display="https://finance.yahoo.com/quote/AAPL260320C00180000/" xr:uid="{514EFDB4-2D8B-4EE0-863A-DD5B65F6E2D3}"/>
    <hyperlink ref="C760" r:id="rId1320" display="https://finance.yahoo.com/quote/AAPL/options/?straddle=false&amp;strike=180&amp;type=all" xr:uid="{B4360C9F-9A9A-43C3-B644-C5FACC263FF2}"/>
    <hyperlink ref="A761" r:id="rId1321" display="https://finance.yahoo.com/quote/AAPL260320C00185000/" xr:uid="{DF8FCEE8-15DD-4981-95E4-312721CF951A}"/>
    <hyperlink ref="C761" r:id="rId1322" display="https://finance.yahoo.com/quote/AAPL/options/?straddle=false&amp;strike=185&amp;type=all" xr:uid="{CA2F8FFF-2A47-4F55-9493-6522EF16DE20}"/>
    <hyperlink ref="A762" r:id="rId1323" display="https://finance.yahoo.com/quote/AAPL260320C00190000/" xr:uid="{75A947C1-F307-4C14-B3FD-8ABF9D7917B3}"/>
    <hyperlink ref="C762" r:id="rId1324" display="https://finance.yahoo.com/quote/AAPL/options/?straddle=false&amp;strike=190&amp;type=all" xr:uid="{91C7787C-8629-410D-BE9B-2C3F96B56835}"/>
    <hyperlink ref="A763" r:id="rId1325" display="https://finance.yahoo.com/quote/AAPL260320C00195000/" xr:uid="{4F712025-37FB-4E8C-BD8B-9FA8E195721E}"/>
    <hyperlink ref="C763" r:id="rId1326" display="https://finance.yahoo.com/quote/AAPL/options/?straddle=false&amp;strike=195&amp;type=all" xr:uid="{E2D960E7-4A02-4BD0-B9CB-BC1319BF3D92}"/>
    <hyperlink ref="A764" r:id="rId1327" display="https://finance.yahoo.com/quote/AAPL260320C00200000/" xr:uid="{96C5D5D3-9A1D-4AF5-91E2-478417737CE5}"/>
    <hyperlink ref="C764" r:id="rId1328" display="https://finance.yahoo.com/quote/AAPL/options/?straddle=false&amp;strike=200&amp;type=all" xr:uid="{EEDAEF1A-49C4-44B2-B4B6-6023006BFA1B}"/>
    <hyperlink ref="A765" r:id="rId1329" display="https://finance.yahoo.com/quote/AAPL260320C00210000/" xr:uid="{427DA742-DF25-47B4-8996-C2D4E0924E38}"/>
    <hyperlink ref="C765" r:id="rId1330" display="https://finance.yahoo.com/quote/AAPL/options/?straddle=false&amp;strike=210&amp;type=all" xr:uid="{A130075E-4331-4DEF-95F3-7DD4BC65145A}"/>
    <hyperlink ref="A766" r:id="rId1331" display="https://finance.yahoo.com/quote/AAPL260320C00220000/" xr:uid="{B2BE22D9-74E4-4285-B013-319B92D710C3}"/>
    <hyperlink ref="C766" r:id="rId1332" display="https://finance.yahoo.com/quote/AAPL/options/?straddle=false&amp;strike=220&amp;type=all" xr:uid="{80DA957E-011B-4068-BC5B-1807A7DA956E}"/>
    <hyperlink ref="A767" r:id="rId1333" display="https://finance.yahoo.com/quote/AAPL260320C00230000/" xr:uid="{DDBE1CDA-9927-441D-ADE2-8F330F6A8EBF}"/>
    <hyperlink ref="C767" r:id="rId1334" display="https://finance.yahoo.com/quote/AAPL/options/?straddle=false&amp;strike=230&amp;type=all" xr:uid="{42AE2D43-B95C-4F95-98BB-C1A387925E8A}"/>
    <hyperlink ref="A768" r:id="rId1335" display="https://finance.yahoo.com/quote/AAPL260320C00240000/" xr:uid="{852735DB-81B9-47C1-A9AD-93F38296012A}"/>
    <hyperlink ref="C768" r:id="rId1336" display="https://finance.yahoo.com/quote/AAPL/options/?straddle=false&amp;strike=240&amp;type=all" xr:uid="{39D1C7D7-42D0-4973-A962-381ECD4CC543}"/>
    <hyperlink ref="A769" r:id="rId1337" display="https://finance.yahoo.com/quote/AAPL260320C00250000/" xr:uid="{DF939719-7E5A-421F-951B-286F1823C4A4}"/>
    <hyperlink ref="C769" r:id="rId1338" display="https://finance.yahoo.com/quote/AAPL/options/?straddle=false&amp;strike=250&amp;type=all" xr:uid="{01751362-949A-42A7-8276-0CC7FE29CF6A}"/>
    <hyperlink ref="A770" r:id="rId1339" display="https://finance.yahoo.com/quote/AAPL260320C00260000/" xr:uid="{9D8B0C28-363F-441C-8BD2-DD14A1523036}"/>
    <hyperlink ref="C770" r:id="rId1340" display="https://finance.yahoo.com/quote/AAPL/options/?straddle=false&amp;strike=260&amp;type=all" xr:uid="{3A087887-05BA-4AC1-BFFA-D1075E762294}"/>
    <hyperlink ref="A771" r:id="rId1341" display="https://finance.yahoo.com/quote/AAPL260320C00270000/" xr:uid="{A0661AA0-9FEF-48B3-A867-6A872F2618BF}"/>
    <hyperlink ref="C771" r:id="rId1342" display="https://finance.yahoo.com/quote/AAPL/options/?straddle=false&amp;strike=270&amp;type=all" xr:uid="{967CE13E-9FA4-4F80-8897-98E7E355E352}"/>
    <hyperlink ref="A772" r:id="rId1343" display="https://finance.yahoo.com/quote/AAPL260320C00280000/" xr:uid="{051303EB-5918-4F9D-9D76-AF369D0A6A2B}"/>
    <hyperlink ref="C772" r:id="rId1344" display="https://finance.yahoo.com/quote/AAPL/options/?straddle=false&amp;strike=280&amp;type=all" xr:uid="{DBDFE13C-8254-4D96-B145-EA53283FBF13}"/>
    <hyperlink ref="A773" r:id="rId1345" display="https://finance.yahoo.com/quote/AAPL260320C00290000/" xr:uid="{01127C7B-5728-46B6-8D1B-8CEF97617D1E}"/>
    <hyperlink ref="C773" r:id="rId1346" display="https://finance.yahoo.com/quote/AAPL/options/?straddle=false&amp;strike=290&amp;type=all" xr:uid="{FD668E0F-2853-4A1C-8AA3-13F2D00D6E1B}"/>
    <hyperlink ref="A774" r:id="rId1347" display="https://finance.yahoo.com/quote/AAPL260320C00300000/" xr:uid="{1D5E6751-19BF-4858-A2A0-4B5F7D09C7BC}"/>
    <hyperlink ref="C774" r:id="rId1348" display="https://finance.yahoo.com/quote/AAPL/options/?straddle=false&amp;strike=300&amp;type=all" xr:uid="{A3903BCF-6E3A-4CF6-A5F9-99FE2562B701}"/>
    <hyperlink ref="A775" r:id="rId1349" display="https://finance.yahoo.com/quote/AAPL260320C00310000/" xr:uid="{2E5B10F4-889A-4F25-83C8-80990552C90E}"/>
    <hyperlink ref="C775" r:id="rId1350" display="https://finance.yahoo.com/quote/AAPL/options/?straddle=false&amp;strike=310&amp;type=all" xr:uid="{94311A18-80F6-4D89-A1CE-135507712279}"/>
    <hyperlink ref="A776" r:id="rId1351" display="https://finance.yahoo.com/quote/AAPL260320C00320000/" xr:uid="{9FA8C5D3-1EE1-41B8-8DC4-9BECCCF1340E}"/>
    <hyperlink ref="C776" r:id="rId1352" display="https://finance.yahoo.com/quote/AAPL/options/?straddle=false&amp;strike=320&amp;type=all" xr:uid="{58DFA273-BFB2-45D3-AB9C-801BA5A02825}"/>
    <hyperlink ref="A777" r:id="rId1353" display="https://finance.yahoo.com/quote/AAPL260320C00330000/" xr:uid="{9524D184-492B-41F6-A8C1-426222576F2D}"/>
    <hyperlink ref="C777" r:id="rId1354" display="https://finance.yahoo.com/quote/AAPL/options/?straddle=false&amp;strike=330&amp;type=all" xr:uid="{CD882208-015D-42F4-BA51-7ED5C16B707E}"/>
    <hyperlink ref="A778" r:id="rId1355" display="https://finance.yahoo.com/quote/AAPL260320C00340000/" xr:uid="{27FD701F-DD1B-440F-9469-F5CE01C64773}"/>
    <hyperlink ref="C778" r:id="rId1356" display="https://finance.yahoo.com/quote/AAPL/options/?straddle=false&amp;strike=340&amp;type=all" xr:uid="{2F1C2BEC-AB6F-4D84-97C7-C35436842D65}"/>
    <hyperlink ref="A779" r:id="rId1357" display="https://finance.yahoo.com/quote/AAPL260320C00350000/" xr:uid="{A8BB739F-FEBD-4C90-9EAD-257FFE2F4E3E}"/>
    <hyperlink ref="C779" r:id="rId1358" display="https://finance.yahoo.com/quote/AAPL/options/?straddle=false&amp;strike=350&amp;type=all" xr:uid="{DAA19979-0700-4993-836A-CD74DA57BF37}"/>
    <hyperlink ref="A780" r:id="rId1359" display="https://finance.yahoo.com/quote/AAPL260320C00360000/" xr:uid="{208FF7DF-2958-4217-BC48-E576E79ED3D3}"/>
    <hyperlink ref="C780" r:id="rId1360" display="https://finance.yahoo.com/quote/AAPL/options/?straddle=false&amp;strike=360&amp;type=all" xr:uid="{16442D61-4A43-4A36-A5DE-B4F6FD29A9E0}"/>
    <hyperlink ref="A781" r:id="rId1361" display="https://finance.yahoo.com/quote/AAPL260320C00370000/" xr:uid="{7839C480-5052-4BEE-8874-65B77B54C271}"/>
    <hyperlink ref="C781" r:id="rId1362" display="https://finance.yahoo.com/quote/AAPL/options/?straddle=false&amp;strike=370&amp;type=all" xr:uid="{0173EEA2-BF36-46FE-ADD1-4E8AD32D363A}"/>
    <hyperlink ref="A782" r:id="rId1363" display="https://finance.yahoo.com/quote/AAPL260320P00090000/" xr:uid="{2B2157F8-0FEA-45B7-AD0E-4383DA1DB911}"/>
    <hyperlink ref="C782" r:id="rId1364" display="https://finance.yahoo.com/quote/AAPL/options/?straddle=false&amp;strike=90&amp;type=all" xr:uid="{9A816C41-F94D-4B47-A412-21AEF43393A4}"/>
    <hyperlink ref="A783" r:id="rId1365" display="https://finance.yahoo.com/quote/AAPL260320P00095000/" xr:uid="{E9B337CB-09FF-4BC6-A50F-0C8D59E829C9}"/>
    <hyperlink ref="C783" r:id="rId1366" display="https://finance.yahoo.com/quote/AAPL/options/?straddle=false&amp;strike=95&amp;type=all" xr:uid="{AAB6714E-7456-42CD-B3D8-015F78201CE1}"/>
    <hyperlink ref="A784" r:id="rId1367" display="https://finance.yahoo.com/quote/AAPL260320P00100000/" xr:uid="{84088053-DC25-4E30-8B12-4E9D061CE307}"/>
    <hyperlink ref="C784" r:id="rId1368" display="https://finance.yahoo.com/quote/AAPL/options/?straddle=false&amp;strike=100&amp;type=all" xr:uid="{CFC9B6BE-F171-465E-B679-8E7B5828680F}"/>
    <hyperlink ref="A785" r:id="rId1369" display="https://finance.yahoo.com/quote/AAPL260320P00105000/" xr:uid="{A0C1E3F2-611A-49CF-86D7-30D30A746068}"/>
    <hyperlink ref="C785" r:id="rId1370" display="https://finance.yahoo.com/quote/AAPL/options/?straddle=false&amp;strike=105&amp;type=all" xr:uid="{C20EA8A9-D3C4-472B-BEF8-353F757E6126}"/>
    <hyperlink ref="A786" r:id="rId1371" display="https://finance.yahoo.com/quote/AAPL260320P00110000/" xr:uid="{AFC94B55-1BDD-40B9-B42C-A8ACE86C028A}"/>
    <hyperlink ref="C786" r:id="rId1372" display="https://finance.yahoo.com/quote/AAPL/options/?straddle=false&amp;strike=110&amp;type=all" xr:uid="{C98740FD-9F59-4935-8DE7-9F33BDAB2B2A}"/>
    <hyperlink ref="A787" r:id="rId1373" display="https://finance.yahoo.com/quote/AAPL260320P00115000/" xr:uid="{C52534D2-C095-42D1-9D35-E3D806D2D2C4}"/>
    <hyperlink ref="C787" r:id="rId1374" display="https://finance.yahoo.com/quote/AAPL/options/?straddle=false&amp;strike=115&amp;type=all" xr:uid="{1A2EC03E-E482-4849-9F4A-9973F452E894}"/>
    <hyperlink ref="A788" r:id="rId1375" display="https://finance.yahoo.com/quote/AAPL260320P00120000/" xr:uid="{55532DF8-E849-4EA5-AF89-78454482A8C9}"/>
    <hyperlink ref="C788" r:id="rId1376" display="https://finance.yahoo.com/quote/AAPL/options/?straddle=false&amp;strike=120&amp;type=all" xr:uid="{F5D6BD77-2F67-485D-A5BF-80785B57E5D5}"/>
    <hyperlink ref="A789" r:id="rId1377" display="https://finance.yahoo.com/quote/AAPL260320P00125000/" xr:uid="{D26A3250-8D9E-43ED-BCFD-9C27CB93F24E}"/>
    <hyperlink ref="C789" r:id="rId1378" display="https://finance.yahoo.com/quote/AAPL/options/?straddle=false&amp;strike=125&amp;type=all" xr:uid="{076BE282-B831-46E0-B391-CF54DDF100B0}"/>
    <hyperlink ref="A790" r:id="rId1379" display="https://finance.yahoo.com/quote/AAPL260320P00130000/" xr:uid="{77F6E2C9-CE11-4303-B1F3-CCDA38CF4973}"/>
    <hyperlink ref="C790" r:id="rId1380" display="https://finance.yahoo.com/quote/AAPL/options/?straddle=false&amp;strike=130&amp;type=all" xr:uid="{6CC4E3E8-0DBD-4BE0-8BC1-82E1A22EEF4C}"/>
    <hyperlink ref="A791" r:id="rId1381" display="https://finance.yahoo.com/quote/AAPL260320P00135000/" xr:uid="{1F4DB59F-20E7-452B-B76F-B4A49D6BE026}"/>
    <hyperlink ref="C791" r:id="rId1382" display="https://finance.yahoo.com/quote/AAPL/options/?straddle=false&amp;strike=135&amp;type=all" xr:uid="{4A42C1CC-E850-48C0-A001-71DC1785199E}"/>
    <hyperlink ref="A792" r:id="rId1383" display="https://finance.yahoo.com/quote/AAPL260320P00140000/" xr:uid="{1CA2635D-470E-4A0B-8250-A84EC37D6744}"/>
    <hyperlink ref="C792" r:id="rId1384" display="https://finance.yahoo.com/quote/AAPL/options/?straddle=false&amp;strike=140&amp;type=all" xr:uid="{6CF4D497-7920-4514-B855-33EFE510B229}"/>
    <hyperlink ref="A793" r:id="rId1385" display="https://finance.yahoo.com/quote/AAPL260320P00145000/" xr:uid="{BD963811-36A0-4A5D-AD0B-8AE7AC4C92BF}"/>
    <hyperlink ref="C793" r:id="rId1386" display="https://finance.yahoo.com/quote/AAPL/options/?straddle=false&amp;strike=145&amp;type=all" xr:uid="{34B1EF60-BAF1-40CA-882B-23FE7E53632A}"/>
    <hyperlink ref="A794" r:id="rId1387" display="https://finance.yahoo.com/quote/AAPL260320P00150000/" xr:uid="{431CC872-11A7-4F6B-B50A-8364D6E8B4F9}"/>
    <hyperlink ref="C794" r:id="rId1388" display="https://finance.yahoo.com/quote/AAPL/options/?straddle=false&amp;strike=150&amp;type=all" xr:uid="{0DA0B442-BEA4-4248-B278-A263C927EFF2}"/>
    <hyperlink ref="A795" r:id="rId1389" display="https://finance.yahoo.com/quote/AAPL260320P00155000/" xr:uid="{4D4245CB-E346-4EB2-8297-7054EFD3EFCD}"/>
    <hyperlink ref="C795" r:id="rId1390" display="https://finance.yahoo.com/quote/AAPL/options/?straddle=false&amp;strike=155&amp;type=all" xr:uid="{6580ED08-7D5F-4D67-ABA3-41948EA2E78E}"/>
    <hyperlink ref="A796" r:id="rId1391" display="https://finance.yahoo.com/quote/AAPL260320P00160000/" xr:uid="{31B543EC-5C66-4A20-A571-E39DC97F47D5}"/>
    <hyperlink ref="C796" r:id="rId1392" display="https://finance.yahoo.com/quote/AAPL/options/?straddle=false&amp;strike=160&amp;type=all" xr:uid="{0EFE98BF-9BBF-45F3-8191-EB8BFCC68E43}"/>
    <hyperlink ref="A797" r:id="rId1393" display="https://finance.yahoo.com/quote/AAPL260320P00165000/" xr:uid="{256D0C60-3F4C-4E85-B6C8-08215D7E2A72}"/>
    <hyperlink ref="C797" r:id="rId1394" display="https://finance.yahoo.com/quote/AAPL/options/?straddle=false&amp;strike=165&amp;type=all" xr:uid="{484C084B-F8D7-4C64-BE99-99A06B4347CE}"/>
    <hyperlink ref="A798" r:id="rId1395" display="https://finance.yahoo.com/quote/AAPL260320P00170000/" xr:uid="{D054D098-42AC-4540-BAB2-666A7D5905BC}"/>
    <hyperlink ref="C798" r:id="rId1396" display="https://finance.yahoo.com/quote/AAPL/options/?straddle=false&amp;strike=170&amp;type=all" xr:uid="{A99396E8-3F12-4ED0-B754-A323EFC3E88D}"/>
    <hyperlink ref="A799" r:id="rId1397" display="https://finance.yahoo.com/quote/AAPL260320P00175000/" xr:uid="{AA1FCA4D-5C12-4ED3-8615-1740C9F307F5}"/>
    <hyperlink ref="C799" r:id="rId1398" display="https://finance.yahoo.com/quote/AAPL/options/?straddle=false&amp;strike=175&amp;type=all" xr:uid="{A45018B9-2BF9-4134-8567-04EB22EA0242}"/>
    <hyperlink ref="A800" r:id="rId1399" display="https://finance.yahoo.com/quote/AAPL260320P00180000/" xr:uid="{9AAAC351-FBAC-4646-919E-7DADB1226C7B}"/>
    <hyperlink ref="C800" r:id="rId1400" display="https://finance.yahoo.com/quote/AAPL/options/?straddle=false&amp;strike=180&amp;type=all" xr:uid="{AD916A91-A182-41D5-8A80-E8C8CC6C3217}"/>
    <hyperlink ref="A801" r:id="rId1401" display="https://finance.yahoo.com/quote/AAPL260320P00185000/" xr:uid="{9207CC7C-C234-453C-8541-6BEC68BBFDC6}"/>
    <hyperlink ref="C801" r:id="rId1402" display="https://finance.yahoo.com/quote/AAPL/options/?straddle=false&amp;strike=185&amp;type=all" xr:uid="{159F81C3-847E-4067-92A2-FAB59DAE399B}"/>
    <hyperlink ref="A802" r:id="rId1403" display="https://finance.yahoo.com/quote/AAPL260320P00190000/" xr:uid="{66240C4F-D900-4F5C-B484-23E2D0574F74}"/>
    <hyperlink ref="C802" r:id="rId1404" display="https://finance.yahoo.com/quote/AAPL/options/?straddle=false&amp;strike=190&amp;type=all" xr:uid="{DFB121CA-271E-4C92-B437-04E69A5194D8}"/>
    <hyperlink ref="A803" r:id="rId1405" display="https://finance.yahoo.com/quote/AAPL260320P00195000/" xr:uid="{43AA8305-0905-4667-A1A2-DB37C9B30E0E}"/>
    <hyperlink ref="C803" r:id="rId1406" display="https://finance.yahoo.com/quote/AAPL/options/?straddle=false&amp;strike=195&amp;type=all" xr:uid="{7DCC10DD-F7F9-489E-9C29-D0CA766523ED}"/>
    <hyperlink ref="A804" r:id="rId1407" display="https://finance.yahoo.com/quote/AAPL260320P00200000/" xr:uid="{C17BB148-0D8D-4E68-A7C4-BA4522C77A36}"/>
    <hyperlink ref="C804" r:id="rId1408" display="https://finance.yahoo.com/quote/AAPL/options/?straddle=false&amp;strike=200&amp;type=all" xr:uid="{6667308A-5D0E-48C5-85F2-A84DD3CFD4D9}"/>
    <hyperlink ref="A805" r:id="rId1409" display="https://finance.yahoo.com/quote/AAPL260320P00210000/" xr:uid="{232C575A-1A69-4136-B75A-CF3991E7F461}"/>
    <hyperlink ref="C805" r:id="rId1410" display="https://finance.yahoo.com/quote/AAPL/options/?straddle=false&amp;strike=210&amp;type=all" xr:uid="{DE1536B0-4EA5-4B32-B7B5-B43F5E994A03}"/>
    <hyperlink ref="A806" r:id="rId1411" display="https://finance.yahoo.com/quote/AAPL260320P00220000/" xr:uid="{069633FA-240D-416E-89D0-87A2207B6BD2}"/>
    <hyperlink ref="C806" r:id="rId1412" display="https://finance.yahoo.com/quote/AAPL/options/?straddle=false&amp;strike=220&amp;type=all" xr:uid="{A1F4D224-1936-4971-8D73-E286066BC8B8}"/>
    <hyperlink ref="A807" r:id="rId1413" display="https://finance.yahoo.com/quote/AAPL260320P00230000/" xr:uid="{FAF6E6B4-6021-47BA-B1F6-50B161802657}"/>
    <hyperlink ref="C807" r:id="rId1414" display="https://finance.yahoo.com/quote/AAPL/options/?straddle=false&amp;strike=230&amp;type=all" xr:uid="{FB58376D-E51B-4091-9169-DF8FDFFA8E8F}"/>
    <hyperlink ref="A808" r:id="rId1415" display="https://finance.yahoo.com/quote/AAPL260320P00240000/" xr:uid="{D5C0AC1C-DE48-49BE-A90C-46F43F8996A2}"/>
    <hyperlink ref="C808" r:id="rId1416" display="https://finance.yahoo.com/quote/AAPL/options/?straddle=false&amp;strike=240&amp;type=all" xr:uid="{2A48FCF0-A9D4-44E4-816F-A3BC7D2BBAF9}"/>
    <hyperlink ref="A809" r:id="rId1417" display="https://finance.yahoo.com/quote/AAPL260320P00250000/" xr:uid="{5DCF7D68-137E-4F6D-A6F6-4D819B04D763}"/>
    <hyperlink ref="C809" r:id="rId1418" display="https://finance.yahoo.com/quote/AAPL/options/?straddle=false&amp;strike=250&amp;type=all" xr:uid="{EAB73023-714C-41F8-93EB-06FD679A36A8}"/>
    <hyperlink ref="A810" r:id="rId1419" display="https://finance.yahoo.com/quote/AAPL260320P00260000/" xr:uid="{70A08CB2-94C9-41EF-B081-1E1E7C5A1170}"/>
    <hyperlink ref="C810" r:id="rId1420" display="https://finance.yahoo.com/quote/AAPL/options/?straddle=false&amp;strike=260&amp;type=all" xr:uid="{DFD8E213-0270-4762-BA84-FB4BF7E2C6D6}"/>
    <hyperlink ref="A811" r:id="rId1421" display="https://finance.yahoo.com/quote/AAPL260320P00270000/" xr:uid="{E2795C06-445C-423C-82C1-A05FDF7A23F1}"/>
    <hyperlink ref="C811" r:id="rId1422" display="https://finance.yahoo.com/quote/AAPL/options/?straddle=false&amp;strike=270&amp;type=all" xr:uid="{1DDEECCD-1E21-4B2E-8E25-586B585A30E7}"/>
    <hyperlink ref="A812" r:id="rId1423" display="https://finance.yahoo.com/quote/AAPL260320P00280000/" xr:uid="{744661D3-14C7-4A59-B577-327A3279BD18}"/>
    <hyperlink ref="C812" r:id="rId1424" display="https://finance.yahoo.com/quote/AAPL/options/?straddle=false&amp;strike=280&amp;type=all" xr:uid="{85E04FFB-EB4E-4402-92E0-41A55F5A917B}"/>
    <hyperlink ref="A813" r:id="rId1425" display="https://finance.yahoo.com/quote/AAPL260320P00290000/" xr:uid="{5DAF23CB-7738-40D3-8886-4E12988A0DF2}"/>
    <hyperlink ref="C813" r:id="rId1426" display="https://finance.yahoo.com/quote/AAPL/options/?straddle=false&amp;strike=290&amp;type=all" xr:uid="{F645292F-77AF-43D2-95C4-B8A152ED9986}"/>
    <hyperlink ref="A814" r:id="rId1427" display="https://finance.yahoo.com/quote/AAPL260320P00300000/" xr:uid="{8A680055-E570-4702-B1A7-1779DF697CA6}"/>
    <hyperlink ref="C814" r:id="rId1428" display="https://finance.yahoo.com/quote/AAPL/options/?straddle=false&amp;strike=300&amp;type=all" xr:uid="{0C3E007A-CFCE-4587-ABCB-1C229EAF6A13}"/>
    <hyperlink ref="A815" r:id="rId1429" display="https://finance.yahoo.com/quote/AAPL260320P00310000/" xr:uid="{6EE8B5A7-852A-4423-9614-1B9C0A65B965}"/>
    <hyperlink ref="C815" r:id="rId1430" display="https://finance.yahoo.com/quote/AAPL/options/?straddle=false&amp;strike=310&amp;type=all" xr:uid="{D289D516-3F3F-4724-A783-B52B500A4095}"/>
    <hyperlink ref="A816" r:id="rId1431" display="https://finance.yahoo.com/quote/AAPL260320P00320000/" xr:uid="{A0F2FBCA-20CA-41EB-ABA6-C80E0DCA612A}"/>
    <hyperlink ref="C816" r:id="rId1432" display="https://finance.yahoo.com/quote/AAPL/options/?straddle=false&amp;strike=320&amp;type=all" xr:uid="{6DABF300-2167-4F46-856B-5F42FAB65CAA}"/>
    <hyperlink ref="A817" r:id="rId1433" display="https://finance.yahoo.com/quote/AAPL260320P00350000/" xr:uid="{5D5AE883-482B-44BF-A48F-FA94C8C940F1}"/>
    <hyperlink ref="C817" r:id="rId1434" display="https://finance.yahoo.com/quote/AAPL/options/?straddle=false&amp;strike=350&amp;type=all" xr:uid="{0D1D08CF-DD84-4432-8F9F-E80D269D49B5}"/>
    <hyperlink ref="A818" r:id="rId1435" display="https://finance.yahoo.com/quote/AAPL260320P00360000/" xr:uid="{3CAD9721-6911-42EA-B6A4-4B837F849009}"/>
    <hyperlink ref="C818" r:id="rId1436" display="https://finance.yahoo.com/quote/AAPL/options/?straddle=false&amp;strike=360&amp;type=all" xr:uid="{ACD3E235-8970-4F6E-A8EA-8EAEFF314250}"/>
    <hyperlink ref="A819" r:id="rId1437" display="https://finance.yahoo.com/quote/AAPL260320P00370000/" xr:uid="{D265BE99-4528-4BCD-8671-7576CF87CC86}"/>
    <hyperlink ref="C819" r:id="rId1438" display="https://finance.yahoo.com/quote/AAPL/options/?straddle=false&amp;strike=370&amp;type=all" xr:uid="{236BCA2C-C0FF-4F0C-9A0B-7B291A95513E}"/>
    <hyperlink ref="A820" r:id="rId1439" display="https://finance.yahoo.com/quote/AAPL260417C00120000/" xr:uid="{A6200F3E-2DA3-4F09-AD48-1A1EAB0C5DF5}"/>
    <hyperlink ref="C820" r:id="rId1440" display="https://finance.yahoo.com/quote/AAPL/options/?straddle=false&amp;strike=120&amp;type=all" xr:uid="{D89A290D-3BCF-4380-A3A5-A8F4DE17EE90}"/>
    <hyperlink ref="A821" r:id="rId1441" display="https://finance.yahoo.com/quote/AAPL260417C00125000/" xr:uid="{D36EF1C5-9A2C-4CED-AF41-A831B1B4313B}"/>
    <hyperlink ref="C821" r:id="rId1442" display="https://finance.yahoo.com/quote/AAPL/options/?straddle=false&amp;strike=125&amp;type=all" xr:uid="{EE98B530-70B7-4686-8387-575CA23B9437}"/>
    <hyperlink ref="A822" r:id="rId1443" display="https://finance.yahoo.com/quote/AAPL260417C00140000/" xr:uid="{201DC96A-8BBE-493C-B9A6-B7B1EB29F276}"/>
    <hyperlink ref="C822" r:id="rId1444" display="https://finance.yahoo.com/quote/AAPL/options/?straddle=false&amp;strike=140&amp;type=all" xr:uid="{11047ADA-3624-4A16-A6A9-C2EC512A4F3B}"/>
    <hyperlink ref="A823" r:id="rId1445" display="https://finance.yahoo.com/quote/AAPL260417C00150000/" xr:uid="{8B104596-4255-4768-B880-EACBF6B28EA3}"/>
    <hyperlink ref="C823" r:id="rId1446" display="https://finance.yahoo.com/quote/AAPL/options/?straddle=false&amp;strike=150&amp;type=all" xr:uid="{CD6A605B-F4B8-427A-8770-C1240EB3A665}"/>
    <hyperlink ref="A824" r:id="rId1447" display="https://finance.yahoo.com/quote/AAPL260417C00155000/" xr:uid="{D510B203-C6F4-4764-B0AE-ECD5E9F887B5}"/>
    <hyperlink ref="C824" r:id="rId1448" display="https://finance.yahoo.com/quote/AAPL/options/?straddle=false&amp;strike=155&amp;type=all" xr:uid="{380EFEA2-6C86-4EDF-9864-C742955FA434}"/>
    <hyperlink ref="A825" r:id="rId1449" display="https://finance.yahoo.com/quote/AAPL260417C00160000/" xr:uid="{EF31A38A-7BF6-4A51-B3B0-2D7FC09B2D3D}"/>
    <hyperlink ref="C825" r:id="rId1450" display="https://finance.yahoo.com/quote/AAPL/options/?straddle=false&amp;strike=160&amp;type=all" xr:uid="{3E80298B-BE41-45CC-AD0C-A7491D62E762}"/>
    <hyperlink ref="A826" r:id="rId1451" display="https://finance.yahoo.com/quote/AAPL260417C00165000/" xr:uid="{14FD433F-F524-43D4-A268-8A4ED1DAA842}"/>
    <hyperlink ref="C826" r:id="rId1452" display="https://finance.yahoo.com/quote/AAPL/options/?straddle=false&amp;strike=165&amp;type=all" xr:uid="{36AE87A9-F83A-4BC4-B1FA-41C293B92E50}"/>
    <hyperlink ref="A827" r:id="rId1453" display="https://finance.yahoo.com/quote/AAPL260417C00170000/" xr:uid="{AE2ADA0F-715F-477D-8C52-5DBD922A6B0F}"/>
    <hyperlink ref="C827" r:id="rId1454" display="https://finance.yahoo.com/quote/AAPL/options/?straddle=false&amp;strike=170&amp;type=all" xr:uid="{3FC8B159-1F47-4A47-9265-531C6AFE6AFB}"/>
    <hyperlink ref="A828" r:id="rId1455" display="https://finance.yahoo.com/quote/AAPL260417C00175000/" xr:uid="{433D4DF2-37B6-4883-B59C-91382BE1F94B}"/>
    <hyperlink ref="C828" r:id="rId1456" display="https://finance.yahoo.com/quote/AAPL/options/?straddle=false&amp;strike=175&amp;type=all" xr:uid="{4C07C461-E8B8-474F-8B1E-879DEAF63EF9}"/>
    <hyperlink ref="A829" r:id="rId1457" display="https://finance.yahoo.com/quote/AAPL260417C00180000/" xr:uid="{D149EAD3-956D-4FEB-92E5-EAD29A92A98D}"/>
    <hyperlink ref="C829" r:id="rId1458" display="https://finance.yahoo.com/quote/AAPL/options/?straddle=false&amp;strike=180&amp;type=all" xr:uid="{10E4B5D7-5AAA-4273-8AD5-AA9869CA594B}"/>
    <hyperlink ref="A830" r:id="rId1459" display="https://finance.yahoo.com/quote/AAPL260417C00185000/" xr:uid="{3345C925-97A8-402D-9BBE-573FE7BFD682}"/>
    <hyperlink ref="C830" r:id="rId1460" display="https://finance.yahoo.com/quote/AAPL/options/?straddle=false&amp;strike=185&amp;type=all" xr:uid="{37B38779-A3FA-493A-8770-405A3CF82808}"/>
    <hyperlink ref="A831" r:id="rId1461" display="https://finance.yahoo.com/quote/AAPL260417C00190000/" xr:uid="{2F83E698-D9ED-4AF5-A498-4FB9AF1B80E8}"/>
    <hyperlink ref="C831" r:id="rId1462" display="https://finance.yahoo.com/quote/AAPL/options/?straddle=false&amp;strike=190&amp;type=all" xr:uid="{B3B4C3D3-F9D5-4D09-9D08-B7773B644B93}"/>
    <hyperlink ref="A832" r:id="rId1463" display="https://finance.yahoo.com/quote/AAPL260417C00195000/" xr:uid="{7C9F0F22-4168-48F8-A1DB-457D306EACEA}"/>
    <hyperlink ref="C832" r:id="rId1464" display="https://finance.yahoo.com/quote/AAPL/options/?straddle=false&amp;strike=195&amp;type=all" xr:uid="{8B3CDB5E-C38B-4D4B-B9D9-5581CE243C56}"/>
    <hyperlink ref="A833" r:id="rId1465" display="https://finance.yahoo.com/quote/AAPL260417C00200000/" xr:uid="{91919E4F-F256-4E53-91DD-CD0C21545FB0}"/>
    <hyperlink ref="C833" r:id="rId1466" display="https://finance.yahoo.com/quote/AAPL/options/?straddle=false&amp;strike=200&amp;type=all" xr:uid="{DC8805B2-2ED0-48CC-B020-9F642EDEC9F2}"/>
    <hyperlink ref="A834" r:id="rId1467" display="https://finance.yahoo.com/quote/AAPL260417C00205000/" xr:uid="{C98FD6C9-C8E3-4CFD-9236-4E2CF7D9508A}"/>
    <hyperlink ref="C834" r:id="rId1468" display="https://finance.yahoo.com/quote/AAPL/options/?straddle=false&amp;strike=205&amp;type=all" xr:uid="{1731602F-B329-4674-A159-7B2295975BEA}"/>
    <hyperlink ref="A835" r:id="rId1469" display="https://finance.yahoo.com/quote/AAPL260417C00210000/" xr:uid="{4CAE9411-5ACB-4635-8B61-5FD4F440BA25}"/>
    <hyperlink ref="C835" r:id="rId1470" display="https://finance.yahoo.com/quote/AAPL/options/?straddle=false&amp;strike=210&amp;type=all" xr:uid="{95A33561-7A2B-400F-96B8-8950C565D37B}"/>
    <hyperlink ref="A836" r:id="rId1471" display="https://finance.yahoo.com/quote/AAPL260417C00215000/" xr:uid="{D4046EE2-26CC-485D-BC65-4BAD9248BB86}"/>
    <hyperlink ref="C836" r:id="rId1472" display="https://finance.yahoo.com/quote/AAPL/options/?straddle=false&amp;strike=215&amp;type=all" xr:uid="{9DC594B5-7228-49EB-98CA-9DFA7EF71FCD}"/>
    <hyperlink ref="A837" r:id="rId1473" display="https://finance.yahoo.com/quote/AAPL260417C00220000/" xr:uid="{44DE70EB-7669-47E1-B20C-FB4759ABB3A0}"/>
    <hyperlink ref="C837" r:id="rId1474" display="https://finance.yahoo.com/quote/AAPL/options/?straddle=false&amp;strike=220&amp;type=all" xr:uid="{CF841568-9C4A-4415-9991-D94A1E1DB1F2}"/>
    <hyperlink ref="A838" r:id="rId1475" display="https://finance.yahoo.com/quote/AAPL260417C00225000/" xr:uid="{064CD26F-669B-4356-9FFA-92443A896984}"/>
    <hyperlink ref="C838" r:id="rId1476" display="https://finance.yahoo.com/quote/AAPL/options/?straddle=false&amp;strike=225&amp;type=all" xr:uid="{0C0730DA-6CD5-4ABD-B1C4-932692FF2366}"/>
    <hyperlink ref="A839" r:id="rId1477" display="https://finance.yahoo.com/quote/AAPL260417C00230000/" xr:uid="{B4D42AA5-06F4-48B1-AF9F-AC792DD2F874}"/>
    <hyperlink ref="C839" r:id="rId1478" display="https://finance.yahoo.com/quote/AAPL/options/?straddle=false&amp;strike=230&amp;type=all" xr:uid="{53A59031-7D04-41B4-8AA3-38E261C509C1}"/>
    <hyperlink ref="A840" r:id="rId1479" display="https://finance.yahoo.com/quote/AAPL260417C00235000/" xr:uid="{B0831CDF-9093-49EB-93B8-9C8E802470A7}"/>
    <hyperlink ref="C840" r:id="rId1480" display="https://finance.yahoo.com/quote/AAPL/options/?straddle=false&amp;strike=235&amp;type=all" xr:uid="{D474A9A7-D9BA-4D7A-8FF0-3BF8902BC379}"/>
    <hyperlink ref="A841" r:id="rId1481" display="https://finance.yahoo.com/quote/AAPL260417C00240000/" xr:uid="{C92DF97F-51D7-4819-AF8A-B9691A95DF75}"/>
    <hyperlink ref="C841" r:id="rId1482" display="https://finance.yahoo.com/quote/AAPL/options/?straddle=false&amp;strike=240&amp;type=all" xr:uid="{14491F03-BFD4-4E29-955F-5BA5ED6EB327}"/>
    <hyperlink ref="A842" r:id="rId1483" display="https://finance.yahoo.com/quote/AAPL260417C00245000/" xr:uid="{40723967-CE7C-4BF1-B9E8-8A0C2A346C16}"/>
    <hyperlink ref="C842" r:id="rId1484" display="https://finance.yahoo.com/quote/AAPL/options/?straddle=false&amp;strike=245&amp;type=all" xr:uid="{7ED92A71-BDD0-4B46-9D7E-58ACF081C695}"/>
    <hyperlink ref="A843" r:id="rId1485" display="https://finance.yahoo.com/quote/AAPL260417C00250000/" xr:uid="{7C7EA84E-1C5B-41AA-86D0-43E5E55DC542}"/>
    <hyperlink ref="C843" r:id="rId1486" display="https://finance.yahoo.com/quote/AAPL/options/?straddle=false&amp;strike=250&amp;type=all" xr:uid="{18E854D3-A938-4E5C-B28F-D21A5291687E}"/>
    <hyperlink ref="A844" r:id="rId1487" display="https://finance.yahoo.com/quote/AAPL260417C00255000/" xr:uid="{8A61DCA1-F402-4CA0-B1D4-D7C7D4916FE2}"/>
    <hyperlink ref="C844" r:id="rId1488" display="https://finance.yahoo.com/quote/AAPL/options/?straddle=false&amp;strike=255&amp;type=all" xr:uid="{468AD865-E419-4F28-AF20-AFC17486BB09}"/>
    <hyperlink ref="A845" r:id="rId1489" display="https://finance.yahoo.com/quote/AAPL260417C00260000/" xr:uid="{42AF583A-EDF7-44D4-8D71-30CCE01EAD3E}"/>
    <hyperlink ref="C845" r:id="rId1490" display="https://finance.yahoo.com/quote/AAPL/options/?straddle=false&amp;strike=260&amp;type=all" xr:uid="{B10641AB-5FF0-4432-81E3-C4E8B937D055}"/>
    <hyperlink ref="A846" r:id="rId1491" display="https://finance.yahoo.com/quote/AAPL260417C00265000/" xr:uid="{95792B20-146B-4DED-9461-5615EC24118A}"/>
    <hyperlink ref="C846" r:id="rId1492" display="https://finance.yahoo.com/quote/AAPL/options/?straddle=false&amp;strike=265&amp;type=all" xr:uid="{45E75AA3-671F-4431-AFE2-427929A71B17}"/>
    <hyperlink ref="A847" r:id="rId1493" display="https://finance.yahoo.com/quote/AAPL260417C00270000/" xr:uid="{D61A82DA-2792-427C-BC5B-EAE13D85EEA6}"/>
    <hyperlink ref="C847" r:id="rId1494" display="https://finance.yahoo.com/quote/AAPL/options/?straddle=false&amp;strike=270&amp;type=all" xr:uid="{BF5B6E44-4663-4CA7-933A-6414DD5A8062}"/>
    <hyperlink ref="A848" r:id="rId1495" display="https://finance.yahoo.com/quote/AAPL260417C00275000/" xr:uid="{9AEF1CEB-6D73-46E3-A054-2D48F48BC8EA}"/>
    <hyperlink ref="C848" r:id="rId1496" display="https://finance.yahoo.com/quote/AAPL/options/?straddle=false&amp;strike=275&amp;type=all" xr:uid="{2D8EAA9A-D53D-4561-8FD8-431D8E9E55AD}"/>
    <hyperlink ref="A849" r:id="rId1497" display="https://finance.yahoo.com/quote/AAPL260417C00280000/" xr:uid="{BE845733-F20F-48FD-8C97-EEE14BD1CE72}"/>
    <hyperlink ref="C849" r:id="rId1498" display="https://finance.yahoo.com/quote/AAPL/options/?straddle=false&amp;strike=280&amp;type=all" xr:uid="{30824637-18D4-47D9-BDC9-A05F7A43AAB0}"/>
    <hyperlink ref="A850" r:id="rId1499" display="https://finance.yahoo.com/quote/AAPL260417C00285000/" xr:uid="{89A88692-4D50-4C25-A4C2-64CA539D5C09}"/>
    <hyperlink ref="C850" r:id="rId1500" display="https://finance.yahoo.com/quote/AAPL/options/?straddle=false&amp;strike=285&amp;type=all" xr:uid="{89D4FFCD-7348-4D54-81DA-390B84FFBBDE}"/>
    <hyperlink ref="A851" r:id="rId1501" display="https://finance.yahoo.com/quote/AAPL260417C00290000/" xr:uid="{ED24E9C7-FD67-4A7A-8750-E53A74360E64}"/>
    <hyperlink ref="C851" r:id="rId1502" display="https://finance.yahoo.com/quote/AAPL/options/?straddle=false&amp;strike=290&amp;type=all" xr:uid="{0674E8FC-2A07-4238-AC71-20A9462DFDE4}"/>
    <hyperlink ref="A852" r:id="rId1503" display="https://finance.yahoo.com/quote/AAPL260417C00295000/" xr:uid="{8F96B4D9-0671-4805-B4A6-D4BDC706042B}"/>
    <hyperlink ref="C852" r:id="rId1504" display="https://finance.yahoo.com/quote/AAPL/options/?straddle=false&amp;strike=295&amp;type=all" xr:uid="{201BCA88-F326-4661-A179-62BA536554E1}"/>
    <hyperlink ref="A853" r:id="rId1505" display="https://finance.yahoo.com/quote/AAPL260417C00300000/" xr:uid="{9E12A827-D3C3-4F21-8912-B3F84CF6EBD8}"/>
    <hyperlink ref="C853" r:id="rId1506" display="https://finance.yahoo.com/quote/AAPL/options/?straddle=false&amp;strike=300&amp;type=all" xr:uid="{52FDC460-4E47-4E36-ADD8-4280DC802E4F}"/>
    <hyperlink ref="A854" r:id="rId1507" display="https://finance.yahoo.com/quote/AAPL260417C00305000/" xr:uid="{C69A8F8D-EEE7-4B1E-8CEB-AB73D79000EF}"/>
    <hyperlink ref="C854" r:id="rId1508" display="https://finance.yahoo.com/quote/AAPL/options/?straddle=false&amp;strike=305&amp;type=all" xr:uid="{A09FBB1A-546D-4CF0-97CB-D3BDE1F66D01}"/>
    <hyperlink ref="A855" r:id="rId1509" display="https://finance.yahoo.com/quote/AAPL260417C00310000/" xr:uid="{6411A625-0C20-4D15-92FF-8EA2836ED707}"/>
    <hyperlink ref="C855" r:id="rId1510" display="https://finance.yahoo.com/quote/AAPL/options/?straddle=false&amp;strike=310&amp;type=all" xr:uid="{81F2B547-C3FE-4662-97A0-518F6802D89A}"/>
    <hyperlink ref="A856" r:id="rId1511" display="https://finance.yahoo.com/quote/AAPL260417C00315000/" xr:uid="{CD4A1C7E-35E8-42FB-8FD7-EA5311341B2B}"/>
    <hyperlink ref="C856" r:id="rId1512" display="https://finance.yahoo.com/quote/AAPL/options/?straddle=false&amp;strike=315&amp;type=all" xr:uid="{84FB77E2-57DA-4343-8495-179770A88924}"/>
    <hyperlink ref="A857" r:id="rId1513" display="https://finance.yahoo.com/quote/AAPL260417C00320000/" xr:uid="{F15FCBC8-C7E5-43C1-B7B7-B149F62AB519}"/>
    <hyperlink ref="C857" r:id="rId1514" display="https://finance.yahoo.com/quote/AAPL/options/?straddle=false&amp;strike=320&amp;type=all" xr:uid="{9EDAA025-DC4E-4C0B-A136-6162FD90043E}"/>
    <hyperlink ref="A858" r:id="rId1515" display="https://finance.yahoo.com/quote/AAPL260417C00325000/" xr:uid="{1F882AF2-A181-4CB3-8AD1-37A613FD2305}"/>
    <hyperlink ref="C858" r:id="rId1516" display="https://finance.yahoo.com/quote/AAPL/options/?straddle=false&amp;strike=325&amp;type=all" xr:uid="{E5C6B782-837E-45A2-9545-C48DD567C547}"/>
    <hyperlink ref="A859" r:id="rId1517" display="https://finance.yahoo.com/quote/AAPL260417C00330000/" xr:uid="{BD5C7143-030F-4C04-82B4-FD170C55AC62}"/>
    <hyperlink ref="C859" r:id="rId1518" display="https://finance.yahoo.com/quote/AAPL/options/?straddle=false&amp;strike=330&amp;type=all" xr:uid="{CA746D2D-1B7A-43C4-AFE2-208293A70A86}"/>
    <hyperlink ref="A860" r:id="rId1519" display="https://finance.yahoo.com/quote/AAPL260417C00340000/" xr:uid="{0E2AA837-D456-4ADA-8A45-3BF6E3FE71EA}"/>
    <hyperlink ref="C860" r:id="rId1520" display="https://finance.yahoo.com/quote/AAPL/options/?straddle=false&amp;strike=340&amp;type=all" xr:uid="{94828A0F-CFE2-4278-9023-71ED55F11304}"/>
    <hyperlink ref="A861" r:id="rId1521" display="https://finance.yahoo.com/quote/AAPL260417C00350000/" xr:uid="{90AA7E5B-0AC1-41E7-97FA-8C0CC38178BF}"/>
    <hyperlink ref="C861" r:id="rId1522" display="https://finance.yahoo.com/quote/AAPL/options/?straddle=false&amp;strike=350&amp;type=all" xr:uid="{72274C0D-82BA-45FB-BA25-322DC48DBAE4}"/>
    <hyperlink ref="A862" r:id="rId1523" display="https://finance.yahoo.com/quote/AAPL260417C00370000/" xr:uid="{FA51A23B-A76A-46CA-B004-4847D86EE530}"/>
    <hyperlink ref="C862" r:id="rId1524" display="https://finance.yahoo.com/quote/AAPL/options/?straddle=false&amp;strike=370&amp;type=all" xr:uid="{B91A0FCB-D93C-45BD-8B77-08EF345022F5}"/>
    <hyperlink ref="A863" r:id="rId1525" display="https://finance.yahoo.com/quote/AAPL260417P00120000/" xr:uid="{F836645E-AFD2-41FE-A4F1-95757EABB79E}"/>
    <hyperlink ref="C863" r:id="rId1526" display="https://finance.yahoo.com/quote/AAPL/options/?straddle=false&amp;strike=120&amp;type=all" xr:uid="{742E699B-C113-4F69-B2DC-6A3C013AAD35}"/>
    <hyperlink ref="A864" r:id="rId1527" display="https://finance.yahoo.com/quote/AAPL260417P00125000/" xr:uid="{1EA84AC4-2E33-47D8-8DF9-FFADE998FF77}"/>
    <hyperlink ref="C864" r:id="rId1528" display="https://finance.yahoo.com/quote/AAPL/options/?straddle=false&amp;strike=125&amp;type=all" xr:uid="{A13A254C-832A-4A7B-A2CD-380CE6F4197D}"/>
    <hyperlink ref="A865" r:id="rId1529" display="https://finance.yahoo.com/quote/AAPL260417P00130000/" xr:uid="{BDB7F10C-719D-46D3-AAC3-34D0655751D2}"/>
    <hyperlink ref="C865" r:id="rId1530" display="https://finance.yahoo.com/quote/AAPL/options/?straddle=false&amp;strike=130&amp;type=all" xr:uid="{FBEE7E29-F71A-4398-8756-C645560F8227}"/>
    <hyperlink ref="A866" r:id="rId1531" display="https://finance.yahoo.com/quote/AAPL260417P00135000/" xr:uid="{03C03FF4-16EB-4D03-9E73-E09147D21B47}"/>
    <hyperlink ref="C866" r:id="rId1532" display="https://finance.yahoo.com/quote/AAPL/options/?straddle=false&amp;strike=135&amp;type=all" xr:uid="{8A2B87E1-0B0C-47FC-B378-C15852FAADA8}"/>
    <hyperlink ref="A867" r:id="rId1533" display="https://finance.yahoo.com/quote/AAPL260417P00140000/" xr:uid="{751264DF-9922-4030-8F75-B1D74393BCE7}"/>
    <hyperlink ref="C867" r:id="rId1534" display="https://finance.yahoo.com/quote/AAPL/options/?straddle=false&amp;strike=140&amp;type=all" xr:uid="{DB851F84-AC82-4AB3-8FD5-84A9481D2296}"/>
    <hyperlink ref="A868" r:id="rId1535" display="https://finance.yahoo.com/quote/AAPL260417P00145000/" xr:uid="{8C4C8A57-39C8-4027-92CE-5BF8C005AB99}"/>
    <hyperlink ref="C868" r:id="rId1536" display="https://finance.yahoo.com/quote/AAPL/options/?straddle=false&amp;strike=145&amp;type=all" xr:uid="{A273E524-9A25-4258-9036-7D19CC3AD666}"/>
    <hyperlink ref="A869" r:id="rId1537" display="https://finance.yahoo.com/quote/AAPL260417P00150000/" xr:uid="{DAFBBABF-4CAB-4464-B2C2-082100888F5E}"/>
    <hyperlink ref="C869" r:id="rId1538" display="https://finance.yahoo.com/quote/AAPL/options/?straddle=false&amp;strike=150&amp;type=all" xr:uid="{9C19E8B6-E174-4625-9067-D0952D6503AF}"/>
    <hyperlink ref="A870" r:id="rId1539" display="https://finance.yahoo.com/quote/AAPL260417P00155000/" xr:uid="{8386D141-76C6-4D3B-B1FA-A966DA19F7D4}"/>
    <hyperlink ref="C870" r:id="rId1540" display="https://finance.yahoo.com/quote/AAPL/options/?straddle=false&amp;strike=155&amp;type=all" xr:uid="{B01DD00C-6000-44BC-ACE9-25295541422A}"/>
    <hyperlink ref="A871" r:id="rId1541" display="https://finance.yahoo.com/quote/AAPL260417P00160000/" xr:uid="{3B079B6C-64D9-4C9C-AEF7-EFD186D3E881}"/>
    <hyperlink ref="C871" r:id="rId1542" display="https://finance.yahoo.com/quote/AAPL/options/?straddle=false&amp;strike=160&amp;type=all" xr:uid="{CC2197F9-2885-4F62-8C3C-BB8BE05310E0}"/>
    <hyperlink ref="A872" r:id="rId1543" display="https://finance.yahoo.com/quote/AAPL260417P00165000/" xr:uid="{EE45A788-1679-4B21-B2FC-9328053375F8}"/>
    <hyperlink ref="C872" r:id="rId1544" display="https://finance.yahoo.com/quote/AAPL/options/?straddle=false&amp;strike=165&amp;type=all" xr:uid="{71EF6F89-C841-47FC-B458-29FE91C61B29}"/>
    <hyperlink ref="A873" r:id="rId1545" display="https://finance.yahoo.com/quote/AAPL260417P00170000/" xr:uid="{7164790B-5262-4FFA-8CDC-85C4C1CCF0F0}"/>
    <hyperlink ref="C873" r:id="rId1546" display="https://finance.yahoo.com/quote/AAPL/options/?straddle=false&amp;strike=170&amp;type=all" xr:uid="{D2128A88-4F5C-40D6-8017-6DA2EFF9410E}"/>
    <hyperlink ref="A874" r:id="rId1547" display="https://finance.yahoo.com/quote/AAPL260417P00175000/" xr:uid="{1E2BD070-261C-4C65-9761-B17121E38818}"/>
    <hyperlink ref="C874" r:id="rId1548" display="https://finance.yahoo.com/quote/AAPL/options/?straddle=false&amp;strike=175&amp;type=all" xr:uid="{DB8FCEDB-9307-48C6-AED1-9C6EC6EE11E2}"/>
    <hyperlink ref="A875" r:id="rId1549" display="https://finance.yahoo.com/quote/AAPL260417P00180000/" xr:uid="{5F782961-9617-4E25-89D5-0243D48E3E82}"/>
    <hyperlink ref="C875" r:id="rId1550" display="https://finance.yahoo.com/quote/AAPL/options/?straddle=false&amp;strike=180&amp;type=all" xr:uid="{C9F44FD7-C326-4BE0-9409-D39351AEA321}"/>
    <hyperlink ref="A876" r:id="rId1551" display="https://finance.yahoo.com/quote/AAPL260417P00185000/" xr:uid="{2A210F40-DF85-4130-BAFF-E83514EA9C7A}"/>
    <hyperlink ref="C876" r:id="rId1552" display="https://finance.yahoo.com/quote/AAPL/options/?straddle=false&amp;strike=185&amp;type=all" xr:uid="{DA8FD4EF-DAB5-437A-A80B-F7E37C4D00B3}"/>
    <hyperlink ref="A877" r:id="rId1553" display="https://finance.yahoo.com/quote/AAPL260417P00190000/" xr:uid="{912EDFA1-0495-4E44-81C4-28D7A67E8F0E}"/>
    <hyperlink ref="C877" r:id="rId1554" display="https://finance.yahoo.com/quote/AAPL/options/?straddle=false&amp;strike=190&amp;type=all" xr:uid="{E1F6EF65-140F-41BE-A049-67B0864F9525}"/>
    <hyperlink ref="A878" r:id="rId1555" display="https://finance.yahoo.com/quote/AAPL260417P00195000/" xr:uid="{9EC61707-ED65-4790-A284-D15BE8D3B092}"/>
    <hyperlink ref="C878" r:id="rId1556" display="https://finance.yahoo.com/quote/AAPL/options/?straddle=false&amp;strike=195&amp;type=all" xr:uid="{0F3D19AD-57FB-44B6-A933-CB8905230E99}"/>
    <hyperlink ref="A879" r:id="rId1557" display="https://finance.yahoo.com/quote/AAPL260417P00200000/" xr:uid="{199056DB-7784-4D74-9983-5F0CDD76518B}"/>
    <hyperlink ref="C879" r:id="rId1558" display="https://finance.yahoo.com/quote/AAPL/options/?straddle=false&amp;strike=200&amp;type=all" xr:uid="{A692996E-07B3-4F7B-AA31-84AF8FD92DBC}"/>
    <hyperlink ref="A880" r:id="rId1559" display="https://finance.yahoo.com/quote/AAPL260417P00205000/" xr:uid="{7A5CF359-64BC-4871-8798-5C1A6B53BB8D}"/>
    <hyperlink ref="C880" r:id="rId1560" display="https://finance.yahoo.com/quote/AAPL/options/?straddle=false&amp;strike=205&amp;type=all" xr:uid="{93474E4E-BBBF-4212-9E1F-5E8EF2197E13}"/>
    <hyperlink ref="A881" r:id="rId1561" display="https://finance.yahoo.com/quote/AAPL260417P00210000/" xr:uid="{9C28E6A2-3657-47D3-A2A6-498C3F7CABC3}"/>
    <hyperlink ref="C881" r:id="rId1562" display="https://finance.yahoo.com/quote/AAPL/options/?straddle=false&amp;strike=210&amp;type=all" xr:uid="{B2151955-E849-4A18-8BB1-B1B9623EDA68}"/>
    <hyperlink ref="A882" r:id="rId1563" display="https://finance.yahoo.com/quote/AAPL260417P00215000/" xr:uid="{FE14DB54-718E-4C06-B23E-A35A05D4C401}"/>
    <hyperlink ref="C882" r:id="rId1564" display="https://finance.yahoo.com/quote/AAPL/options/?straddle=false&amp;strike=215&amp;type=all" xr:uid="{4766CD65-9640-4F93-8671-8558692B8E94}"/>
    <hyperlink ref="A883" r:id="rId1565" display="https://finance.yahoo.com/quote/AAPL260417P00220000/" xr:uid="{594EB367-93AF-4FA6-9E70-C5AB0FE50255}"/>
    <hyperlink ref="C883" r:id="rId1566" display="https://finance.yahoo.com/quote/AAPL/options/?straddle=false&amp;strike=220&amp;type=all" xr:uid="{3DC8F2A2-7390-40EF-8530-64FABD0AA311}"/>
    <hyperlink ref="A884" r:id="rId1567" display="https://finance.yahoo.com/quote/AAPL260417P00225000/" xr:uid="{C37E6A34-B5EF-412F-BCAA-DAC09F5E7696}"/>
    <hyperlink ref="C884" r:id="rId1568" display="https://finance.yahoo.com/quote/AAPL/options/?straddle=false&amp;strike=225&amp;type=all" xr:uid="{2CE5F04C-8D85-44DC-BE49-E8B254BA2636}"/>
    <hyperlink ref="A885" r:id="rId1569" display="https://finance.yahoo.com/quote/AAPL260417P00230000/" xr:uid="{0FA2DB4B-7709-42A3-9614-9E948F958A41}"/>
    <hyperlink ref="C885" r:id="rId1570" display="https://finance.yahoo.com/quote/AAPL/options/?straddle=false&amp;strike=230&amp;type=all" xr:uid="{6E8A5E53-9411-4E62-956C-C03E397EACD5}"/>
    <hyperlink ref="A886" r:id="rId1571" display="https://finance.yahoo.com/quote/AAPL260417P00235000/" xr:uid="{4A91E306-2A42-41A7-A3A3-5F098D029A3F}"/>
    <hyperlink ref="C886" r:id="rId1572" display="https://finance.yahoo.com/quote/AAPL/options/?straddle=false&amp;strike=235&amp;type=all" xr:uid="{DA7D1797-1CA8-4A9E-B972-CB51D2EE20CD}"/>
    <hyperlink ref="A887" r:id="rId1573" display="https://finance.yahoo.com/quote/AAPL260417P00240000/" xr:uid="{499BC6FF-D3FF-4C4C-BF43-C40A0217DAAF}"/>
    <hyperlink ref="C887" r:id="rId1574" display="https://finance.yahoo.com/quote/AAPL/options/?straddle=false&amp;strike=240&amp;type=all" xr:uid="{8E7C4AB8-09BA-4575-8800-79EFABB1200A}"/>
    <hyperlink ref="A888" r:id="rId1575" display="https://finance.yahoo.com/quote/AAPL260417P00245000/" xr:uid="{36A7B983-1EA6-4D9B-B539-7B970EC38CCD}"/>
    <hyperlink ref="C888" r:id="rId1576" display="https://finance.yahoo.com/quote/AAPL/options/?straddle=false&amp;strike=245&amp;type=all" xr:uid="{D65537F9-A322-4285-9E78-82C1259F76B6}"/>
    <hyperlink ref="A889" r:id="rId1577" display="https://finance.yahoo.com/quote/AAPL260417P00250000/" xr:uid="{1415F7A9-9099-4E57-9830-6752581119BD}"/>
    <hyperlink ref="C889" r:id="rId1578" display="https://finance.yahoo.com/quote/AAPL/options/?straddle=false&amp;strike=250&amp;type=all" xr:uid="{87495E43-0B31-4F87-8F5F-CBCF6FD843E8}"/>
    <hyperlink ref="A890" r:id="rId1579" display="https://finance.yahoo.com/quote/AAPL260417P00255000/" xr:uid="{15AC962B-40AA-4C30-BCCC-89E08724FFD8}"/>
    <hyperlink ref="C890" r:id="rId1580" display="https://finance.yahoo.com/quote/AAPL/options/?straddle=false&amp;strike=255&amp;type=all" xr:uid="{5B661591-E2FB-46E2-A038-1A6239DBA40F}"/>
    <hyperlink ref="A891" r:id="rId1581" display="https://finance.yahoo.com/quote/AAPL260417P00260000/" xr:uid="{81C29FF1-4E79-46F3-B220-457AABE1B255}"/>
    <hyperlink ref="C891" r:id="rId1582" display="https://finance.yahoo.com/quote/AAPL/options/?straddle=false&amp;strike=260&amp;type=all" xr:uid="{6417B558-0234-4D14-9EC4-7B072BC7AC0E}"/>
    <hyperlink ref="A892" r:id="rId1583" display="https://finance.yahoo.com/quote/AAPL260417P00265000/" xr:uid="{DB2C6C99-D156-494F-AFA6-D4B828E189B3}"/>
    <hyperlink ref="C892" r:id="rId1584" display="https://finance.yahoo.com/quote/AAPL/options/?straddle=false&amp;strike=265&amp;type=all" xr:uid="{6CC95BDD-6F6E-458A-9BCB-071BB4DA1DBB}"/>
    <hyperlink ref="A893" r:id="rId1585" display="https://finance.yahoo.com/quote/AAPL260417P00270000/" xr:uid="{64B8706C-1415-4E8B-8A76-F8A139DBEF79}"/>
    <hyperlink ref="C893" r:id="rId1586" display="https://finance.yahoo.com/quote/AAPL/options/?straddle=false&amp;strike=270&amp;type=all" xr:uid="{F46B9ABF-D1BB-4A2C-A7C2-68093C791215}"/>
    <hyperlink ref="A894" r:id="rId1587" display="https://finance.yahoo.com/quote/AAPL260417P00275000/" xr:uid="{ED5AF9DD-709D-4551-8AFE-0A990127E435}"/>
    <hyperlink ref="C894" r:id="rId1588" display="https://finance.yahoo.com/quote/AAPL/options/?straddle=false&amp;strike=275&amp;type=all" xr:uid="{58A040FD-CCA1-437D-83E7-97363E4290CC}"/>
    <hyperlink ref="A895" r:id="rId1589" display="https://finance.yahoo.com/quote/AAPL260417P00280000/" xr:uid="{A5369A65-3645-457E-9DA8-BDF75862AB0C}"/>
    <hyperlink ref="C895" r:id="rId1590" display="https://finance.yahoo.com/quote/AAPL/options/?straddle=false&amp;strike=280&amp;type=all" xr:uid="{1C1B37D3-A057-46D1-B487-6E05DB11DB27}"/>
    <hyperlink ref="A896" r:id="rId1591" display="https://finance.yahoo.com/quote/AAPL260417P00285000/" xr:uid="{C83A0D15-5850-46AA-BA87-61F1C7473542}"/>
    <hyperlink ref="C896" r:id="rId1592" display="https://finance.yahoo.com/quote/AAPL/options/?straddle=false&amp;strike=285&amp;type=all" xr:uid="{5AFEE2AE-E1C3-489A-A9BF-91FEEF886FD7}"/>
    <hyperlink ref="A897" r:id="rId1593" display="https://finance.yahoo.com/quote/AAPL260417P00290000/" xr:uid="{8E94BE84-42E2-46C6-A21B-65013524FAA1}"/>
    <hyperlink ref="C897" r:id="rId1594" display="https://finance.yahoo.com/quote/AAPL/options/?straddle=false&amp;strike=290&amp;type=all" xr:uid="{969C9E8D-7CCC-4250-9202-2973F626A73D}"/>
    <hyperlink ref="A898" r:id="rId1595" display="https://finance.yahoo.com/quote/AAPL260417P00300000/" xr:uid="{50989D10-EBB7-4FCC-805D-0075317F15AB}"/>
    <hyperlink ref="C898" r:id="rId1596" display="https://finance.yahoo.com/quote/AAPL/options/?straddle=false&amp;strike=300&amp;type=all" xr:uid="{39B2A135-8F3F-4622-8428-3EEDC1A3CA6E}"/>
    <hyperlink ref="A899" r:id="rId1597" display="https://finance.yahoo.com/quote/AAPL260417P00305000/" xr:uid="{295D7C6E-481D-4AC7-8291-432FCA0C9174}"/>
    <hyperlink ref="C899" r:id="rId1598" display="https://finance.yahoo.com/quote/AAPL/options/?straddle=false&amp;strike=305&amp;type=all" xr:uid="{2A6116C5-CB09-4027-8D7C-C2DDA6F0E37B}"/>
    <hyperlink ref="A900" r:id="rId1599" display="https://finance.yahoo.com/quote/AAPL260515C00005000/" xr:uid="{97C69DAE-D829-4D3C-BE4A-1687F8B36A11}"/>
    <hyperlink ref="C900" r:id="rId1600" display="https://finance.yahoo.com/quote/AAPL/options/?straddle=false&amp;strike=5&amp;type=all" xr:uid="{13B140C7-ED60-481B-B282-74227712D902}"/>
    <hyperlink ref="A901" r:id="rId1601" display="https://finance.yahoo.com/quote/AAPL260515C00030000/" xr:uid="{9A31C5C3-5E20-4E93-82F6-9511A3EC857E}"/>
    <hyperlink ref="C901" r:id="rId1602" display="https://finance.yahoo.com/quote/AAPL/options/?straddle=false&amp;strike=30&amp;type=all" xr:uid="{D7848703-F1BD-4AF4-9D7E-85AE015D2979}"/>
    <hyperlink ref="A902" r:id="rId1603" display="https://finance.yahoo.com/quote/AAPL260515C00060000/" xr:uid="{FF6E31E3-6362-432C-B34E-D94AA66AF6B1}"/>
    <hyperlink ref="C902" r:id="rId1604" display="https://finance.yahoo.com/quote/AAPL/options/?straddle=false&amp;strike=60&amp;type=all" xr:uid="{13701791-F854-4AE3-9724-21395FF19354}"/>
    <hyperlink ref="A903" r:id="rId1605" display="https://finance.yahoo.com/quote/AAPL260515C00090000/" xr:uid="{E64C7906-743E-4749-ADC4-6168F63F72F9}"/>
    <hyperlink ref="C903" r:id="rId1606" display="https://finance.yahoo.com/quote/AAPL/options/?straddle=false&amp;strike=90&amp;type=all" xr:uid="{34E549EA-4997-4C05-9906-2E66799E30E2}"/>
    <hyperlink ref="A904" r:id="rId1607" display="https://finance.yahoo.com/quote/AAPL260515C00095000/" xr:uid="{4FCC45D5-690B-45B5-A576-AFD5B6F4160E}"/>
    <hyperlink ref="C904" r:id="rId1608" display="https://finance.yahoo.com/quote/AAPL/options/?straddle=false&amp;strike=95&amp;type=all" xr:uid="{387266CE-6BC9-4299-B8FE-55FFAA3BB284}"/>
    <hyperlink ref="A905" r:id="rId1609" display="https://finance.yahoo.com/quote/AAPL260515C00100000/" xr:uid="{826AF29E-7840-49F4-A776-43C52569A658}"/>
    <hyperlink ref="C905" r:id="rId1610" display="https://finance.yahoo.com/quote/AAPL/options/?straddle=false&amp;strike=100&amp;type=all" xr:uid="{A7020F23-9656-40AB-A565-778AFE187921}"/>
    <hyperlink ref="A906" r:id="rId1611" display="https://finance.yahoo.com/quote/AAPL260515C00120000/" xr:uid="{D7D21C1F-4E6C-4362-BAEE-991E4B0BECEB}"/>
    <hyperlink ref="C906" r:id="rId1612" display="https://finance.yahoo.com/quote/AAPL/options/?straddle=false&amp;strike=120&amp;type=all" xr:uid="{F0E0B5EC-C963-4635-BB19-9F97E8B1D2E1}"/>
    <hyperlink ref="A907" r:id="rId1613" display="https://finance.yahoo.com/quote/AAPL260515C00125000/" xr:uid="{A71BF9F4-721F-49A0-85E8-520288484A92}"/>
    <hyperlink ref="C907" r:id="rId1614" display="https://finance.yahoo.com/quote/AAPL/options/?straddle=false&amp;strike=125&amp;type=all" xr:uid="{006A7804-8561-4A16-92CA-65E40E35201B}"/>
    <hyperlink ref="A908" r:id="rId1615" display="https://finance.yahoo.com/quote/AAPL260515C00130000/" xr:uid="{9B391D60-CD1F-4435-B4CC-C0DEB7FC43BA}"/>
    <hyperlink ref="C908" r:id="rId1616" display="https://finance.yahoo.com/quote/AAPL/options/?straddle=false&amp;strike=130&amp;type=all" xr:uid="{CB8CA3CD-0E3E-4E82-9A06-BA7499A2B1B1}"/>
    <hyperlink ref="A909" r:id="rId1617" display="https://finance.yahoo.com/quote/AAPL260515C00135000/" xr:uid="{C838BD7E-2738-4870-AA3F-545C4FD63CE9}"/>
    <hyperlink ref="C909" r:id="rId1618" display="https://finance.yahoo.com/quote/AAPL/options/?straddle=false&amp;strike=135&amp;type=all" xr:uid="{505086A5-C456-43D7-B955-C4F353BC5F00}"/>
    <hyperlink ref="A910" r:id="rId1619" display="https://finance.yahoo.com/quote/AAPL260515C00140000/" xr:uid="{10FF3D79-B9C2-4188-8163-8AADFEF048B9}"/>
    <hyperlink ref="C910" r:id="rId1620" display="https://finance.yahoo.com/quote/AAPL/options/?straddle=false&amp;strike=140&amp;type=all" xr:uid="{6250BBC5-8B69-4DAC-ABB8-BE6B873E7D08}"/>
    <hyperlink ref="A911" r:id="rId1621" display="https://finance.yahoo.com/quote/AAPL260515C00145000/" xr:uid="{963895BB-DAF9-4DCA-95B6-AA28F71222D2}"/>
    <hyperlink ref="C911" r:id="rId1622" display="https://finance.yahoo.com/quote/AAPL/options/?straddle=false&amp;strike=145&amp;type=all" xr:uid="{FAAEE02B-CB10-4BA4-A35F-2F95763E6DDB}"/>
    <hyperlink ref="A912" r:id="rId1623" display="https://finance.yahoo.com/quote/AAPL260515C00150000/" xr:uid="{24E1107C-2528-429B-BEFB-34E3443A345D}"/>
    <hyperlink ref="C912" r:id="rId1624" display="https://finance.yahoo.com/quote/AAPL/options/?straddle=false&amp;strike=150&amp;type=all" xr:uid="{76D4D461-F25F-4B8E-B4B6-B3E18B839946}"/>
    <hyperlink ref="A913" r:id="rId1625" display="https://finance.yahoo.com/quote/AAPL260515C00155000/" xr:uid="{110F4208-7B63-45A8-94F8-59D26DD0CD58}"/>
    <hyperlink ref="C913" r:id="rId1626" display="https://finance.yahoo.com/quote/AAPL/options/?straddle=false&amp;strike=155&amp;type=all" xr:uid="{6A061953-8627-4C3C-8676-CD708F43C631}"/>
    <hyperlink ref="A914" r:id="rId1627" display="https://finance.yahoo.com/quote/AAPL260515C00160000/" xr:uid="{9C303DAD-7ABC-4CD3-931C-B00BFF8BB1E4}"/>
    <hyperlink ref="C914" r:id="rId1628" display="https://finance.yahoo.com/quote/AAPL/options/?straddle=false&amp;strike=160&amp;type=all" xr:uid="{404A6749-16F4-4B5E-814A-9F5FE416C024}"/>
    <hyperlink ref="A915" r:id="rId1629" display="https://finance.yahoo.com/quote/AAPL260515C00165000/" xr:uid="{33A4A801-C960-4E65-8400-4F1770D19E10}"/>
    <hyperlink ref="C915" r:id="rId1630" display="https://finance.yahoo.com/quote/AAPL/options/?straddle=false&amp;strike=165&amp;type=all" xr:uid="{7841C993-EE91-4963-B011-558D83514F7A}"/>
    <hyperlink ref="A916" r:id="rId1631" display="https://finance.yahoo.com/quote/AAPL260515C00170000/" xr:uid="{ABA357E8-7853-4D6B-A8A8-D1BA00D9062F}"/>
    <hyperlink ref="C916" r:id="rId1632" display="https://finance.yahoo.com/quote/AAPL/options/?straddle=false&amp;strike=170&amp;type=all" xr:uid="{DFDE6D76-B2BC-489F-AB88-06B89C0DCCCF}"/>
    <hyperlink ref="A917" r:id="rId1633" display="https://finance.yahoo.com/quote/AAPL260515C00175000/" xr:uid="{0525A2AD-A8A9-4052-B45C-1EF622C00DBA}"/>
    <hyperlink ref="C917" r:id="rId1634" display="https://finance.yahoo.com/quote/AAPL/options/?straddle=false&amp;strike=175&amp;type=all" xr:uid="{B5968231-C1C9-46AF-90D2-D83603607617}"/>
    <hyperlink ref="A918" r:id="rId1635" display="https://finance.yahoo.com/quote/AAPL260515C00180000/" xr:uid="{8DC3CCA1-348F-4FF0-AD48-75DBE522AF88}"/>
    <hyperlink ref="C918" r:id="rId1636" display="https://finance.yahoo.com/quote/AAPL/options/?straddle=false&amp;strike=180&amp;type=all" xr:uid="{E0646CAF-E7A0-4A2C-9DCB-63EF87D2F409}"/>
    <hyperlink ref="A919" r:id="rId1637" display="https://finance.yahoo.com/quote/AAPL260515C00185000/" xr:uid="{1860B318-D361-4733-9C3C-4D5E63209864}"/>
    <hyperlink ref="C919" r:id="rId1638" display="https://finance.yahoo.com/quote/AAPL/options/?straddle=false&amp;strike=185&amp;type=all" xr:uid="{00462F23-6F78-49E5-A091-CF0208DC3214}"/>
    <hyperlink ref="A920" r:id="rId1639" display="https://finance.yahoo.com/quote/AAPL260515C00190000/" xr:uid="{E96BC6F3-EFE3-4D83-B46E-2A3EAAE60F43}"/>
    <hyperlink ref="C920" r:id="rId1640" display="https://finance.yahoo.com/quote/AAPL/options/?straddle=false&amp;strike=190&amp;type=all" xr:uid="{ABF722BF-03AD-42B5-9E3D-CCD53F84B5A2}"/>
    <hyperlink ref="A921" r:id="rId1641" display="https://finance.yahoo.com/quote/AAPL260515C00195000/" xr:uid="{908D0938-CE15-4FB6-92DA-42D10EC0CCBF}"/>
    <hyperlink ref="C921" r:id="rId1642" display="https://finance.yahoo.com/quote/AAPL/options/?straddle=false&amp;strike=195&amp;type=all" xr:uid="{D3D05418-27A6-464B-834A-E06576122008}"/>
    <hyperlink ref="A922" r:id="rId1643" display="https://finance.yahoo.com/quote/AAPL260515C00200000/" xr:uid="{BF7CA285-6A3D-4CB6-89D3-E6E6477323A7}"/>
    <hyperlink ref="C922" r:id="rId1644" display="https://finance.yahoo.com/quote/AAPL/options/?straddle=false&amp;strike=200&amp;type=all" xr:uid="{501E2F00-5F3B-4C48-ACEB-51C15CC7FCA2}"/>
    <hyperlink ref="A923" r:id="rId1645" display="https://finance.yahoo.com/quote/AAPL260515C00210000/" xr:uid="{98D97BD3-514E-4339-A8E6-E3C2BA078134}"/>
    <hyperlink ref="C923" r:id="rId1646" display="https://finance.yahoo.com/quote/AAPL/options/?straddle=false&amp;strike=210&amp;type=all" xr:uid="{52066642-5604-4068-9776-CC4D942C16C9}"/>
    <hyperlink ref="A924" r:id="rId1647" display="https://finance.yahoo.com/quote/AAPL260515C00220000/" xr:uid="{9284DE42-85F6-43DA-BFC0-85DBDAB9BDD8}"/>
    <hyperlink ref="C924" r:id="rId1648" display="https://finance.yahoo.com/quote/AAPL/options/?straddle=false&amp;strike=220&amp;type=all" xr:uid="{8AF1C637-A6B5-4012-93CB-CDFF0A7368C6}"/>
    <hyperlink ref="A925" r:id="rId1649" display="https://finance.yahoo.com/quote/AAPL260515C00230000/" xr:uid="{51F162D9-7D52-4D9D-BD8C-A1870324EB56}"/>
    <hyperlink ref="C925" r:id="rId1650" display="https://finance.yahoo.com/quote/AAPL/options/?straddle=false&amp;strike=230&amp;type=all" xr:uid="{5AB3DA39-7025-496B-9A3B-AF3BD99C84C5}"/>
    <hyperlink ref="A926" r:id="rId1651" display="https://finance.yahoo.com/quote/AAPL260515C00240000/" xr:uid="{C310FFBD-32B7-48FF-B80B-6C8B849BC8E2}"/>
    <hyperlink ref="C926" r:id="rId1652" display="https://finance.yahoo.com/quote/AAPL/options/?straddle=false&amp;strike=240&amp;type=all" xr:uid="{64B919A9-4F76-4E6E-8059-E7F4FF6B9828}"/>
    <hyperlink ref="A927" r:id="rId1653" display="https://finance.yahoo.com/quote/AAPL260515C00250000/" xr:uid="{C1322F9B-F82D-4347-B40C-62250A88DB82}"/>
    <hyperlink ref="C927" r:id="rId1654" display="https://finance.yahoo.com/quote/AAPL/options/?straddle=false&amp;strike=250&amp;type=all" xr:uid="{BAA8A18F-B0E0-4B06-B239-A0918F508B8F}"/>
    <hyperlink ref="A928" r:id="rId1655" display="https://finance.yahoo.com/quote/AAPL260515C00260000/" xr:uid="{D4B89F5D-F0CB-421B-9C77-2A095805B008}"/>
    <hyperlink ref="C928" r:id="rId1656" display="https://finance.yahoo.com/quote/AAPL/options/?straddle=false&amp;strike=260&amp;type=all" xr:uid="{3DEF7DC2-C656-4D4A-B05B-1C5393096FBB}"/>
    <hyperlink ref="A929" r:id="rId1657" display="https://finance.yahoo.com/quote/AAPL260515C00270000/" xr:uid="{8FAACBA5-CB7D-44AE-9E41-B701435C53A3}"/>
    <hyperlink ref="C929" r:id="rId1658" display="https://finance.yahoo.com/quote/AAPL/options/?straddle=false&amp;strike=270&amp;type=all" xr:uid="{F5C7E2F8-A65E-40B0-B2FA-17E0A00BF3ED}"/>
    <hyperlink ref="A930" r:id="rId1659" display="https://finance.yahoo.com/quote/AAPL260515C00280000/" xr:uid="{EA3CBD04-5678-4565-B4D9-A689981C8E41}"/>
    <hyperlink ref="C930" r:id="rId1660" display="https://finance.yahoo.com/quote/AAPL/options/?straddle=false&amp;strike=280&amp;type=all" xr:uid="{7FA8F6C7-C5C4-4567-89C0-4FD2DBB77520}"/>
    <hyperlink ref="A931" r:id="rId1661" display="https://finance.yahoo.com/quote/AAPL260515C00290000/" xr:uid="{036136C5-F2EF-49D1-8A84-FEBB38603F99}"/>
    <hyperlink ref="C931" r:id="rId1662" display="https://finance.yahoo.com/quote/AAPL/options/?straddle=false&amp;strike=290&amp;type=all" xr:uid="{7C282C41-D622-4DF1-9516-5B808DBC4412}"/>
    <hyperlink ref="A932" r:id="rId1663" display="https://finance.yahoo.com/quote/AAPL260515C00300000/" xr:uid="{656FAEF6-AB4D-4ACD-9009-2590F051B8B3}"/>
    <hyperlink ref="C932" r:id="rId1664" display="https://finance.yahoo.com/quote/AAPL/options/?straddle=false&amp;strike=300&amp;type=all" xr:uid="{BE8DDB6E-5139-4474-9878-F24564B7FF55}"/>
    <hyperlink ref="A933" r:id="rId1665" display="https://finance.yahoo.com/quote/AAPL260515C00310000/" xr:uid="{4C713079-0393-4AEB-B46A-202112384C06}"/>
    <hyperlink ref="C933" r:id="rId1666" display="https://finance.yahoo.com/quote/AAPL/options/?straddle=false&amp;strike=310&amp;type=all" xr:uid="{08FB774A-31C4-4980-92ED-D31E2F3E1780}"/>
    <hyperlink ref="A934" r:id="rId1667" display="https://finance.yahoo.com/quote/AAPL260515C00320000/" xr:uid="{02AE2113-6D4F-4D00-9B6B-BE594FC9F755}"/>
    <hyperlink ref="C934" r:id="rId1668" display="https://finance.yahoo.com/quote/AAPL/options/?straddle=false&amp;strike=320&amp;type=all" xr:uid="{69A7A119-C2BE-43E3-AFD2-2F35DFF7547C}"/>
    <hyperlink ref="A935" r:id="rId1669" display="https://finance.yahoo.com/quote/AAPL260515C00330000/" xr:uid="{B4AA9E81-62EE-48D0-BCD1-6CD99E7EAE22}"/>
    <hyperlink ref="C935" r:id="rId1670" display="https://finance.yahoo.com/quote/AAPL/options/?straddle=false&amp;strike=330&amp;type=all" xr:uid="{ADA1AC58-8622-414C-91F5-534F0113A916}"/>
    <hyperlink ref="A936" r:id="rId1671" display="https://finance.yahoo.com/quote/AAPL260515C00340000/" xr:uid="{96D09C74-AF48-45DB-A8C0-B264F541A912}"/>
    <hyperlink ref="C936" r:id="rId1672" display="https://finance.yahoo.com/quote/AAPL/options/?straddle=false&amp;strike=340&amp;type=all" xr:uid="{3E58F3B7-5352-4689-A2D0-B09F01A8D19A}"/>
    <hyperlink ref="A937" r:id="rId1673" display="https://finance.yahoo.com/quote/AAPL260515C00350000/" xr:uid="{340A1AA3-6F63-4439-BC94-CF733E1B86BF}"/>
    <hyperlink ref="C937" r:id="rId1674" display="https://finance.yahoo.com/quote/AAPL/options/?straddle=false&amp;strike=350&amp;type=all" xr:uid="{AAADF58F-E044-4DE6-9E98-53E5F4EB1ABA}"/>
    <hyperlink ref="A938" r:id="rId1675" display="https://finance.yahoo.com/quote/AAPL260515C00360000/" xr:uid="{3C0A1BD7-35EE-4DC1-84FD-FC8CED1420EA}"/>
    <hyperlink ref="C938" r:id="rId1676" display="https://finance.yahoo.com/quote/AAPL/options/?straddle=false&amp;strike=360&amp;type=all" xr:uid="{E01E2929-8669-478F-9FE9-223EDCAC3E87}"/>
    <hyperlink ref="A939" r:id="rId1677" display="https://finance.yahoo.com/quote/AAPL260515C00370000/" xr:uid="{8C12F824-913C-4DA8-A208-E5DA553E83E3}"/>
    <hyperlink ref="C939" r:id="rId1678" display="https://finance.yahoo.com/quote/AAPL/options/?straddle=false&amp;strike=370&amp;type=all" xr:uid="{1B10C2A2-75E0-4E63-B53B-105713149772}"/>
    <hyperlink ref="A940" r:id="rId1679" display="https://finance.yahoo.com/quote/AAPL260515C00380000/" xr:uid="{BA994605-0A10-4FF9-B0B5-9786BB22FC14}"/>
    <hyperlink ref="C940" r:id="rId1680" display="https://finance.yahoo.com/quote/AAPL/options/?straddle=false&amp;strike=380&amp;type=all" xr:uid="{2832C7D3-82AD-456C-AD6C-8439C0582C91}"/>
    <hyperlink ref="A941" r:id="rId1681" display="https://finance.yahoo.com/quote/AAPL260515C00390000/" xr:uid="{91883DF1-648E-49A5-9713-D85EB9273960}"/>
    <hyperlink ref="C941" r:id="rId1682" display="https://finance.yahoo.com/quote/AAPL/options/?straddle=false&amp;strike=390&amp;type=all" xr:uid="{87C73FAF-F2B3-4C50-8964-3D4F99B4CB44}"/>
    <hyperlink ref="A942" r:id="rId1683" display="https://finance.yahoo.com/quote/AAPL260515C00400000/" xr:uid="{221DF4A6-F116-4F32-9DF4-5D3EFA23D694}"/>
    <hyperlink ref="C942" r:id="rId1684" display="https://finance.yahoo.com/quote/AAPL/options/?straddle=false&amp;strike=400&amp;type=all" xr:uid="{CE380578-7A6E-4E51-B238-474DDD910C6E}"/>
    <hyperlink ref="A943" r:id="rId1685" display="https://finance.yahoo.com/quote/AAPL260515P00005000/" xr:uid="{12041C9D-4325-45A5-8636-9637D2C7E672}"/>
    <hyperlink ref="C943" r:id="rId1686" display="https://finance.yahoo.com/quote/AAPL/options/?straddle=false&amp;strike=5&amp;type=all" xr:uid="{8B0ABBEB-D091-434D-A1F3-E1FE01385475}"/>
    <hyperlink ref="A944" r:id="rId1687" display="https://finance.yahoo.com/quote/AAPL260515P00010000/" xr:uid="{4EA9ED15-73B5-4A44-9FE4-3AF5A0074981}"/>
    <hyperlink ref="C944" r:id="rId1688" display="https://finance.yahoo.com/quote/AAPL/options/?straddle=false&amp;strike=10&amp;type=all" xr:uid="{287B88C7-D829-440E-9435-B2CFB0983DBF}"/>
    <hyperlink ref="A945" r:id="rId1689" display="https://finance.yahoo.com/quote/AAPL260515P00015000/" xr:uid="{7D5F4E46-405E-4170-BD76-466FEE2D37FE}"/>
    <hyperlink ref="C945" r:id="rId1690" display="https://finance.yahoo.com/quote/AAPL/options/?straddle=false&amp;strike=15&amp;type=all" xr:uid="{946EE5F6-011E-4698-AE4D-87A991B5FC38}"/>
    <hyperlink ref="A946" r:id="rId1691" display="https://finance.yahoo.com/quote/AAPL260515P00035000/" xr:uid="{09482A50-1E96-4B23-80B3-C948DE6EDE34}"/>
    <hyperlink ref="C946" r:id="rId1692" display="https://finance.yahoo.com/quote/AAPL/options/?straddle=false&amp;strike=35&amp;type=all" xr:uid="{A563FC7A-5757-4985-8016-C393EF76A425}"/>
    <hyperlink ref="A947" r:id="rId1693" display="https://finance.yahoo.com/quote/AAPL260515P00045000/" xr:uid="{97E2A427-AAA4-473A-9534-22377F55642C}"/>
    <hyperlink ref="C947" r:id="rId1694" display="https://finance.yahoo.com/quote/AAPL/options/?straddle=false&amp;strike=45&amp;type=all" xr:uid="{8A863233-2E59-4BEB-B962-1ACBF974B2B8}"/>
    <hyperlink ref="A948" r:id="rId1695" display="https://finance.yahoo.com/quote/AAPL260515P00050000/" xr:uid="{66A5F85B-4447-4C56-AB3F-6DAABF7F6A40}"/>
    <hyperlink ref="C948" r:id="rId1696" display="https://finance.yahoo.com/quote/AAPL/options/?straddle=false&amp;strike=50&amp;type=all" xr:uid="{F57259DE-3B0C-414C-AF09-27E6F214598B}"/>
    <hyperlink ref="A949" r:id="rId1697" display="https://finance.yahoo.com/quote/AAPL260515P00060000/" xr:uid="{50546170-0DC5-4C5A-81BB-D3C5DD5D6BB4}"/>
    <hyperlink ref="C949" r:id="rId1698" display="https://finance.yahoo.com/quote/AAPL/options/?straddle=false&amp;strike=60&amp;type=all" xr:uid="{FA07B820-673C-4E3E-A29C-8B629CF8C037}"/>
    <hyperlink ref="A950" r:id="rId1699" display="https://finance.yahoo.com/quote/AAPL260515P00070000/" xr:uid="{AF859DEB-3852-4C18-8E14-790DC6895F2E}"/>
    <hyperlink ref="C950" r:id="rId1700" display="https://finance.yahoo.com/quote/AAPL/options/?straddle=false&amp;strike=70&amp;type=all" xr:uid="{BB886ED2-2C99-4C87-B90B-1D2E1751D5D9}"/>
    <hyperlink ref="A951" r:id="rId1701" display="https://finance.yahoo.com/quote/AAPL260515P00080000/" xr:uid="{0A9DDF04-E5B4-48BF-B5E3-A0171328319C}"/>
    <hyperlink ref="C951" r:id="rId1702" display="https://finance.yahoo.com/quote/AAPL/options/?straddle=false&amp;strike=80&amp;type=all" xr:uid="{DFF2B4D2-307A-473F-BC87-EBB582346934}"/>
    <hyperlink ref="A952" r:id="rId1703" display="https://finance.yahoo.com/quote/AAPL260515P00085000/" xr:uid="{5DFE4299-CB22-48AA-9A45-BEED4CD863BD}"/>
    <hyperlink ref="C952" r:id="rId1704" display="https://finance.yahoo.com/quote/AAPL/options/?straddle=false&amp;strike=85&amp;type=all" xr:uid="{FBBB7B61-F252-4ABB-AB8A-B2F9F71A1AE2}"/>
    <hyperlink ref="A953" r:id="rId1705" display="https://finance.yahoo.com/quote/AAPL260515P00090000/" xr:uid="{10D8608A-560C-4BE2-B626-B86947741E98}"/>
    <hyperlink ref="C953" r:id="rId1706" display="https://finance.yahoo.com/quote/AAPL/options/?straddle=false&amp;strike=90&amp;type=all" xr:uid="{9B5C3360-D293-4624-AC8C-B5D5A47AC458}"/>
    <hyperlink ref="A954" r:id="rId1707" display="https://finance.yahoo.com/quote/AAPL260515P00095000/" xr:uid="{424DF08C-EFA4-4C09-A26C-F9D61A0E73A2}"/>
    <hyperlink ref="C954" r:id="rId1708" display="https://finance.yahoo.com/quote/AAPL/options/?straddle=false&amp;strike=95&amp;type=all" xr:uid="{968ADA06-7C46-4555-9CD5-2A4F251F88B3}"/>
    <hyperlink ref="A955" r:id="rId1709" display="https://finance.yahoo.com/quote/AAPL260515P00100000/" xr:uid="{E6945B6A-4617-4C77-9913-4BE54DF9001B}"/>
    <hyperlink ref="C955" r:id="rId1710" display="https://finance.yahoo.com/quote/AAPL/options/?straddle=false&amp;strike=100&amp;type=all" xr:uid="{018F58A9-7525-40D3-98A3-BED978192484}"/>
    <hyperlink ref="A956" r:id="rId1711" display="https://finance.yahoo.com/quote/AAPL260515P00105000/" xr:uid="{C93EE7C7-6867-4E90-B5BA-A8E19E6A107D}"/>
    <hyperlink ref="C956" r:id="rId1712" display="https://finance.yahoo.com/quote/AAPL/options/?straddle=false&amp;strike=105&amp;type=all" xr:uid="{214E3B28-A065-4506-8BE2-C98EADE8D1C8}"/>
    <hyperlink ref="A957" r:id="rId1713" display="https://finance.yahoo.com/quote/AAPL260515P00110000/" xr:uid="{DAAEBA45-DB01-4D5E-AE52-097319128487}"/>
    <hyperlink ref="C957" r:id="rId1714" display="https://finance.yahoo.com/quote/AAPL/options/?straddle=false&amp;strike=110&amp;type=all" xr:uid="{0046FC6D-09FE-4354-90D6-8B109E26F3C4}"/>
    <hyperlink ref="A958" r:id="rId1715" display="https://finance.yahoo.com/quote/AAPL260515P00115000/" xr:uid="{A08152B8-1E51-4014-A616-AC2E6A3D4C35}"/>
    <hyperlink ref="C958" r:id="rId1716" display="https://finance.yahoo.com/quote/AAPL/options/?straddle=false&amp;strike=115&amp;type=all" xr:uid="{714459C9-CE03-4D62-AC3C-52D8DBFBF510}"/>
    <hyperlink ref="A959" r:id="rId1717" display="https://finance.yahoo.com/quote/AAPL260515P00120000/" xr:uid="{33C867F1-1805-4CD8-B55C-4CAC4A524AEB}"/>
    <hyperlink ref="C959" r:id="rId1718" display="https://finance.yahoo.com/quote/AAPL/options/?straddle=false&amp;strike=120&amp;type=all" xr:uid="{0382814D-E1A6-4588-99CB-776153E3DD5E}"/>
    <hyperlink ref="A960" r:id="rId1719" display="https://finance.yahoo.com/quote/AAPL260515P00125000/" xr:uid="{23D9AF4C-97EF-451F-8A19-405B962FFAB8}"/>
    <hyperlink ref="C960" r:id="rId1720" display="https://finance.yahoo.com/quote/AAPL/options/?straddle=false&amp;strike=125&amp;type=all" xr:uid="{0E4EB856-F876-4B56-8C07-A7560AB9ED01}"/>
    <hyperlink ref="A961" r:id="rId1721" display="https://finance.yahoo.com/quote/AAPL260515P00130000/" xr:uid="{F4C70718-D468-4DF2-8454-36398DAD0F50}"/>
    <hyperlink ref="C961" r:id="rId1722" display="https://finance.yahoo.com/quote/AAPL/options/?straddle=false&amp;strike=130&amp;type=all" xr:uid="{9FCC0B03-FB5E-4881-97D5-61587D1A4DA1}"/>
    <hyperlink ref="A962" r:id="rId1723" display="https://finance.yahoo.com/quote/AAPL260515P00135000/" xr:uid="{BF2F9D1A-7296-4830-B08C-B47AE7429C74}"/>
    <hyperlink ref="C962" r:id="rId1724" display="https://finance.yahoo.com/quote/AAPL/options/?straddle=false&amp;strike=135&amp;type=all" xr:uid="{C3ECAB66-DFB1-4D98-BE2D-DAADBBA26996}"/>
    <hyperlink ref="A963" r:id="rId1725" display="https://finance.yahoo.com/quote/AAPL260515P00140000/" xr:uid="{7AE5381A-DE66-437D-90BA-9473BA3CCB53}"/>
    <hyperlink ref="C963" r:id="rId1726" display="https://finance.yahoo.com/quote/AAPL/options/?straddle=false&amp;strike=140&amp;type=all" xr:uid="{5682B797-CEB0-48ED-906E-D595F0089C0F}"/>
    <hyperlink ref="A964" r:id="rId1727" display="https://finance.yahoo.com/quote/AAPL260515P00145000/" xr:uid="{5947A2E9-43E6-4221-96C9-7CF034E97A64}"/>
    <hyperlink ref="C964" r:id="rId1728" display="https://finance.yahoo.com/quote/AAPL/options/?straddle=false&amp;strike=145&amp;type=all" xr:uid="{197A5FE5-A8C2-4440-AAEF-932E50268977}"/>
    <hyperlink ref="A965" r:id="rId1729" display="https://finance.yahoo.com/quote/AAPL260515P00150000/" xr:uid="{BF561631-38ED-4037-8277-51ECABFFD206}"/>
    <hyperlink ref="C965" r:id="rId1730" display="https://finance.yahoo.com/quote/AAPL/options/?straddle=false&amp;strike=150&amp;type=all" xr:uid="{101F06F2-5539-4C14-A2D4-29A3CD983DDD}"/>
    <hyperlink ref="A966" r:id="rId1731" display="https://finance.yahoo.com/quote/AAPL260515P00155000/" xr:uid="{BEDC7512-3897-48CE-ABC6-7D74FB8A2D2C}"/>
    <hyperlink ref="C966" r:id="rId1732" display="https://finance.yahoo.com/quote/AAPL/options/?straddle=false&amp;strike=155&amp;type=all" xr:uid="{29D59491-314C-4E8B-9006-7BD35F553BBD}"/>
    <hyperlink ref="A967" r:id="rId1733" display="https://finance.yahoo.com/quote/AAPL260515P00160000/" xr:uid="{46F73C65-B880-48D3-A957-050F95D83515}"/>
    <hyperlink ref="C967" r:id="rId1734" display="https://finance.yahoo.com/quote/AAPL/options/?straddle=false&amp;strike=160&amp;type=all" xr:uid="{74A92EB7-1C15-4D5C-9F55-B9E536E9014F}"/>
    <hyperlink ref="A968" r:id="rId1735" display="https://finance.yahoo.com/quote/AAPL260515P00165000/" xr:uid="{8C1FC756-EECB-41A5-B316-AF41D66AC7A0}"/>
    <hyperlink ref="C968" r:id="rId1736" display="https://finance.yahoo.com/quote/AAPL/options/?straddle=false&amp;strike=165&amp;type=all" xr:uid="{2BB43AFD-74DC-4F5E-B3FA-DBB2587C7526}"/>
    <hyperlink ref="A969" r:id="rId1737" display="https://finance.yahoo.com/quote/AAPL260515P00170000/" xr:uid="{FC158F06-09B4-4CF3-AE41-28AB2BB6C86F}"/>
    <hyperlink ref="C969" r:id="rId1738" display="https://finance.yahoo.com/quote/AAPL/options/?straddle=false&amp;strike=170&amp;type=all" xr:uid="{D40562C6-DE23-4B48-BB1E-4CD73C76E5AD}"/>
    <hyperlink ref="A970" r:id="rId1739" display="https://finance.yahoo.com/quote/AAPL260515P00175000/" xr:uid="{FCDE2F90-C62E-4E57-9F18-9E609BB58D4D}"/>
    <hyperlink ref="C970" r:id="rId1740" display="https://finance.yahoo.com/quote/AAPL/options/?straddle=false&amp;strike=175&amp;type=all" xr:uid="{3A7AE7A4-49D7-4692-B637-199B5265029D}"/>
    <hyperlink ref="A971" r:id="rId1741" display="https://finance.yahoo.com/quote/AAPL260515P00180000/" xr:uid="{11DA6E48-6F0E-4CB3-8B19-4C5E7985A815}"/>
    <hyperlink ref="C971" r:id="rId1742" display="https://finance.yahoo.com/quote/AAPL/options/?straddle=false&amp;strike=180&amp;type=all" xr:uid="{EB563580-E191-46B4-AB19-3970A7F4C254}"/>
    <hyperlink ref="A972" r:id="rId1743" display="https://finance.yahoo.com/quote/AAPL260515P00185000/" xr:uid="{CC7E7C56-F568-4EA7-815F-5B9A928FB1C7}"/>
    <hyperlink ref="C972" r:id="rId1744" display="https://finance.yahoo.com/quote/AAPL/options/?straddle=false&amp;strike=185&amp;type=all" xr:uid="{320AC434-FF48-484A-A334-D82CC5257926}"/>
    <hyperlink ref="A973" r:id="rId1745" display="https://finance.yahoo.com/quote/AAPL260515P00190000/" xr:uid="{68F6B912-910C-400A-A921-22E4BA1CB4F0}"/>
    <hyperlink ref="C973" r:id="rId1746" display="https://finance.yahoo.com/quote/AAPL/options/?straddle=false&amp;strike=190&amp;type=all" xr:uid="{015BC994-E851-4574-9641-730CACE679C4}"/>
    <hyperlink ref="A974" r:id="rId1747" display="https://finance.yahoo.com/quote/AAPL260515P00195000/" xr:uid="{97E3C9F4-3F64-42B8-A86C-64BEF051CC5A}"/>
    <hyperlink ref="C974" r:id="rId1748" display="https://finance.yahoo.com/quote/AAPL/options/?straddle=false&amp;strike=195&amp;type=all" xr:uid="{E6C0141A-F096-47E1-B53B-754956DD9F85}"/>
    <hyperlink ref="A975" r:id="rId1749" display="https://finance.yahoo.com/quote/AAPL260515P00200000/" xr:uid="{DFE1653A-26C4-4141-8BAF-23718B359703}"/>
    <hyperlink ref="C975" r:id="rId1750" display="https://finance.yahoo.com/quote/AAPL/options/?straddle=false&amp;strike=200&amp;type=all" xr:uid="{728B381F-A8B5-46D1-9DEF-0B220ADA7E7E}"/>
    <hyperlink ref="A976" r:id="rId1751" display="https://finance.yahoo.com/quote/AAPL260515P00210000/" xr:uid="{8644BBAA-4FE9-4EF0-96BA-5BF28EEFA664}"/>
    <hyperlink ref="C976" r:id="rId1752" display="https://finance.yahoo.com/quote/AAPL/options/?straddle=false&amp;strike=210&amp;type=all" xr:uid="{8EFBDAAD-5C34-4031-A9B5-5204AAB89003}"/>
    <hyperlink ref="A977" r:id="rId1753" display="https://finance.yahoo.com/quote/AAPL260515P00220000/" xr:uid="{1EBA1450-2974-4489-8455-781B1EE84D68}"/>
    <hyperlink ref="C977" r:id="rId1754" display="https://finance.yahoo.com/quote/AAPL/options/?straddle=false&amp;strike=220&amp;type=all" xr:uid="{46707796-21ED-408C-87BC-D9D7363793CF}"/>
    <hyperlink ref="A978" r:id="rId1755" display="https://finance.yahoo.com/quote/AAPL260515P00230000/" xr:uid="{D7E0F298-0B77-4B43-A10C-7412794BBC3F}"/>
    <hyperlink ref="C978" r:id="rId1756" display="https://finance.yahoo.com/quote/AAPL/options/?straddle=false&amp;strike=230&amp;type=all" xr:uid="{4E49220F-218D-4B25-A687-F418C7044946}"/>
    <hyperlink ref="A979" r:id="rId1757" display="https://finance.yahoo.com/quote/AAPL260515P00240000/" xr:uid="{42CAD93B-1DEB-425D-9945-CB38CC868DFA}"/>
    <hyperlink ref="C979" r:id="rId1758" display="https://finance.yahoo.com/quote/AAPL/options/?straddle=false&amp;strike=240&amp;type=all" xr:uid="{1D78EEDE-ADE8-4939-AACF-F885088DD9AD}"/>
    <hyperlink ref="A980" r:id="rId1759" display="https://finance.yahoo.com/quote/AAPL260515P00250000/" xr:uid="{7B920E30-E1BD-42F7-9400-87C1C46205AE}"/>
    <hyperlink ref="C980" r:id="rId1760" display="https://finance.yahoo.com/quote/AAPL/options/?straddle=false&amp;strike=250&amp;type=all" xr:uid="{CEDB025A-3763-4EA7-91E7-14B29483D862}"/>
    <hyperlink ref="A981" r:id="rId1761" display="https://finance.yahoo.com/quote/AAPL260515P00260000/" xr:uid="{0C6C21F4-1005-4EB5-A163-F6FDDCC67BDB}"/>
    <hyperlink ref="C981" r:id="rId1762" display="https://finance.yahoo.com/quote/AAPL/options/?straddle=false&amp;strike=260&amp;type=all" xr:uid="{22D37DC1-06E8-4B9B-BDB3-0BEE3DD44F38}"/>
    <hyperlink ref="A982" r:id="rId1763" display="https://finance.yahoo.com/quote/AAPL260515P00270000/" xr:uid="{B64B743B-2E2E-4BDD-AE11-AD20DFACFA16}"/>
    <hyperlink ref="C982" r:id="rId1764" display="https://finance.yahoo.com/quote/AAPL/options/?straddle=false&amp;strike=270&amp;type=all" xr:uid="{A3AD3944-73C7-44DB-BA7C-D1A763F7613C}"/>
    <hyperlink ref="A983" r:id="rId1765" display="https://finance.yahoo.com/quote/AAPL260515P00280000/" xr:uid="{02094189-043E-4F84-A031-180FB0883B23}"/>
    <hyperlink ref="C983" r:id="rId1766" display="https://finance.yahoo.com/quote/AAPL/options/?straddle=false&amp;strike=280&amp;type=all" xr:uid="{4FD5D8F9-4AD1-4826-B219-A7F3EB3D07F9}"/>
    <hyperlink ref="A984" r:id="rId1767" display="https://finance.yahoo.com/quote/AAPL260515P00290000/" xr:uid="{F1ED3CDA-016B-4293-B352-2A03CEB0E874}"/>
    <hyperlink ref="C984" r:id="rId1768" display="https://finance.yahoo.com/quote/AAPL/options/?straddle=false&amp;strike=290&amp;type=all" xr:uid="{827D754E-267D-4303-87BB-DE717C89807D}"/>
    <hyperlink ref="A985" r:id="rId1769" display="https://finance.yahoo.com/quote/AAPL260515P00300000/" xr:uid="{1C6D2C68-EB22-48C0-AF66-8BEDDE120F82}"/>
    <hyperlink ref="C985" r:id="rId1770" display="https://finance.yahoo.com/quote/AAPL/options/?straddle=false&amp;strike=300&amp;type=all" xr:uid="{6612CB2E-18FF-44E1-832C-E39E59D6BC31}"/>
    <hyperlink ref="A986" r:id="rId1771" display="https://finance.yahoo.com/quote/AAPL260515P00310000/" xr:uid="{95AE6941-EA08-48CD-B8CE-1F78E5D80B21}"/>
    <hyperlink ref="C986" r:id="rId1772" display="https://finance.yahoo.com/quote/AAPL/options/?straddle=false&amp;strike=310&amp;type=all" xr:uid="{2304DBFF-449E-43E3-A70D-1FD6ECE7CF06}"/>
    <hyperlink ref="A987" r:id="rId1773" display="https://finance.yahoo.com/quote/AAPL260515P00400000/" xr:uid="{BFC298DC-0482-4EB9-AE9F-3E19710208B0}"/>
    <hyperlink ref="C987" r:id="rId1774" display="https://finance.yahoo.com/quote/AAPL/options/?straddle=false&amp;strike=400&amp;type=all" xr:uid="{C8E34100-4A10-4966-8CA3-61CF488882FB}"/>
    <hyperlink ref="A988" r:id="rId1775" display="https://finance.yahoo.com/quote/AAPL260618C00005000/" xr:uid="{E302EFD7-9728-4743-BA65-ECBC272D3D43}"/>
    <hyperlink ref="C988" r:id="rId1776" display="https://finance.yahoo.com/quote/AAPL/options/?straddle=false&amp;strike=5&amp;type=all" xr:uid="{BC103B4D-54E2-4644-85DC-1E1198333995}"/>
    <hyperlink ref="A989" r:id="rId1777" display="https://finance.yahoo.com/quote/AAPL260618C00010000/" xr:uid="{D3F94ECF-9704-4354-AD49-675167B7DF11}"/>
    <hyperlink ref="C989" r:id="rId1778" display="https://finance.yahoo.com/quote/AAPL/options/?straddle=false&amp;strike=10&amp;type=all" xr:uid="{9EE1A4ED-634C-475E-BFB1-3EED8E6695D6}"/>
    <hyperlink ref="A990" r:id="rId1779" display="https://finance.yahoo.com/quote/AAPL260618C00015000/" xr:uid="{D682DFFC-D30D-48FB-AA49-020D916C7F45}"/>
    <hyperlink ref="C990" r:id="rId1780" display="https://finance.yahoo.com/quote/AAPL/options/?straddle=false&amp;strike=15&amp;type=all" xr:uid="{DCC02ABB-9DBB-452E-A0CB-1431ACB2811E}"/>
    <hyperlink ref="A991" r:id="rId1781" display="https://finance.yahoo.com/quote/AAPL260618C00020000/" xr:uid="{0E071633-5C86-4F6D-BC0C-725D9E82948B}"/>
    <hyperlink ref="C991" r:id="rId1782" display="https://finance.yahoo.com/quote/AAPL/options/?straddle=false&amp;strike=20&amp;type=all" xr:uid="{3FD21CD7-BB70-4416-A730-39616AC22B08}"/>
    <hyperlink ref="A992" r:id="rId1783" display="https://finance.yahoo.com/quote/AAPL260618C00025000/" xr:uid="{91EFB842-6DDA-4A3B-A7A8-CA7B0875ED0A}"/>
    <hyperlink ref="C992" r:id="rId1784" display="https://finance.yahoo.com/quote/AAPL/options/?straddle=false&amp;strike=25&amp;type=all" xr:uid="{285C91FD-FD09-428F-AAF6-CCDBEBAAD7AC}"/>
    <hyperlink ref="A993" r:id="rId1785" display="https://finance.yahoo.com/quote/AAPL260618C00030000/" xr:uid="{20AFB23B-6363-477F-8510-14355B60F051}"/>
    <hyperlink ref="C993" r:id="rId1786" display="https://finance.yahoo.com/quote/AAPL/options/?straddle=false&amp;strike=30&amp;type=all" xr:uid="{6C1A51B6-5473-4043-8A05-279B6D842789}"/>
    <hyperlink ref="A994" r:id="rId1787" display="https://finance.yahoo.com/quote/AAPL260618C00035000/" xr:uid="{1515CD4F-0C42-416F-BFF1-F56F4356F5CE}"/>
    <hyperlink ref="C994" r:id="rId1788" display="https://finance.yahoo.com/quote/AAPL/options/?straddle=false&amp;strike=35&amp;type=all" xr:uid="{A3B02255-B0D9-4C20-945C-27F19573F4FB}"/>
    <hyperlink ref="A995" r:id="rId1789" display="https://finance.yahoo.com/quote/AAPL260618C00040000/" xr:uid="{7BA046D0-6F71-4CF8-9797-05A9B0C17FC5}"/>
    <hyperlink ref="C995" r:id="rId1790" display="https://finance.yahoo.com/quote/AAPL/options/?straddle=false&amp;strike=40&amp;type=all" xr:uid="{A473C6F6-6FFC-4FB3-A0E3-ABEA1FC7DF1B}"/>
    <hyperlink ref="A996" r:id="rId1791" display="https://finance.yahoo.com/quote/AAPL260618C00045000/" xr:uid="{53250F01-F225-4AB2-B35F-5D4E42288853}"/>
    <hyperlink ref="C996" r:id="rId1792" display="https://finance.yahoo.com/quote/AAPL/options/?straddle=false&amp;strike=45&amp;type=all" xr:uid="{F1389A01-76A1-4F05-9411-38F5FA399410}"/>
    <hyperlink ref="A997" r:id="rId1793" display="https://finance.yahoo.com/quote/AAPL260618C00050000/" xr:uid="{86AF1073-41AD-48F4-BEAD-F44DCA6838BE}"/>
    <hyperlink ref="C997" r:id="rId1794" display="https://finance.yahoo.com/quote/AAPL/options/?straddle=false&amp;strike=50&amp;type=all" xr:uid="{075B93D2-52E2-43C6-A55E-826D6B067302}"/>
    <hyperlink ref="A998" r:id="rId1795" display="https://finance.yahoo.com/quote/AAPL260618C00055000/" xr:uid="{3F9AC8DA-D5A2-46A4-8917-CE435844E4F9}"/>
    <hyperlink ref="C998" r:id="rId1796" display="https://finance.yahoo.com/quote/AAPL/options/?straddle=false&amp;strike=55&amp;type=all" xr:uid="{4C0F3B2B-A807-42D1-AB45-62A952309826}"/>
    <hyperlink ref="A999" r:id="rId1797" display="https://finance.yahoo.com/quote/AAPL260618C00060000/" xr:uid="{04939C8B-C885-472D-A2F6-3F8101C82BDC}"/>
    <hyperlink ref="C999" r:id="rId1798" display="https://finance.yahoo.com/quote/AAPL/options/?straddle=false&amp;strike=60&amp;type=all" xr:uid="{49E5A612-242F-47FE-8643-2FB0112D4753}"/>
    <hyperlink ref="A1000" r:id="rId1799" display="https://finance.yahoo.com/quote/AAPL260618C00065000/" xr:uid="{4B5C1BC8-56C6-4513-ABC6-C64712DC099A}"/>
    <hyperlink ref="C1000" r:id="rId1800" display="https://finance.yahoo.com/quote/AAPL/options/?straddle=false&amp;strike=65&amp;type=all" xr:uid="{56899957-3A89-413B-AD95-C14253EB6030}"/>
    <hyperlink ref="A1001" r:id="rId1801" display="https://finance.yahoo.com/quote/AAPL260618C00070000/" xr:uid="{3336E2B9-B8BB-4A81-87CD-57B39C5CAFBA}"/>
    <hyperlink ref="C1001" r:id="rId1802" display="https://finance.yahoo.com/quote/AAPL/options/?straddle=false&amp;strike=70&amp;type=all" xr:uid="{9850895D-8B26-4651-B77C-C6563D03AB58}"/>
    <hyperlink ref="A1002" r:id="rId1803" display="https://finance.yahoo.com/quote/AAPL260618C00075000/" xr:uid="{DC7C1271-2C15-47E2-8EF8-C248DF83EDBD}"/>
    <hyperlink ref="C1002" r:id="rId1804" display="https://finance.yahoo.com/quote/AAPL/options/?straddle=false&amp;strike=75&amp;type=all" xr:uid="{44564ED2-988C-477C-93D1-FDB47DEBEF38}"/>
    <hyperlink ref="A1003" r:id="rId1805" display="https://finance.yahoo.com/quote/AAPL260618C00080000/" xr:uid="{E65BC7A0-8798-4769-9B1C-F7DBD6DC3633}"/>
    <hyperlink ref="C1003" r:id="rId1806" display="https://finance.yahoo.com/quote/AAPL/options/?straddle=false&amp;strike=80&amp;type=all" xr:uid="{33AC9F63-9036-42E8-B647-6757E2509748}"/>
    <hyperlink ref="A1004" r:id="rId1807" display="https://finance.yahoo.com/quote/AAPL260618C00085000/" xr:uid="{15FD78A7-7E0B-41C1-88CB-0E314C040F92}"/>
    <hyperlink ref="C1004" r:id="rId1808" display="https://finance.yahoo.com/quote/AAPL/options/?straddle=false&amp;strike=85&amp;type=all" xr:uid="{722B2A9E-F1C0-4E38-AAEB-BEA344F55456}"/>
    <hyperlink ref="A1005" r:id="rId1809" display="https://finance.yahoo.com/quote/AAPL260618C00090000/" xr:uid="{018C7347-4C3E-4349-A076-EC063CB22BF9}"/>
    <hyperlink ref="C1005" r:id="rId1810" display="https://finance.yahoo.com/quote/AAPL/options/?straddle=false&amp;strike=90&amp;type=all" xr:uid="{295AAFF0-4D56-4C78-8322-59301988EB26}"/>
    <hyperlink ref="A1006" r:id="rId1811" display="https://finance.yahoo.com/quote/AAPL260618C00095000/" xr:uid="{958FD719-5C89-4237-9503-B6AC574B1706}"/>
    <hyperlink ref="C1006" r:id="rId1812" display="https://finance.yahoo.com/quote/AAPL/options/?straddle=false&amp;strike=95&amp;type=all" xr:uid="{16748FD8-0AE6-4C0F-B640-7F0F0D510FC4}"/>
    <hyperlink ref="A1007" r:id="rId1813" display="https://finance.yahoo.com/quote/AAPL260618C00100000/" xr:uid="{47C271BC-2851-46FF-AF3A-14CED9E792D2}"/>
    <hyperlink ref="C1007" r:id="rId1814" display="https://finance.yahoo.com/quote/AAPL/options/?straddle=false&amp;strike=100&amp;type=all" xr:uid="{3B7AF961-1BEF-4650-A473-F53807E385FA}"/>
    <hyperlink ref="A1008" r:id="rId1815" display="https://finance.yahoo.com/quote/AAPL260618C00105000/" xr:uid="{A5535925-2A38-496B-B709-9FF360D699F9}"/>
    <hyperlink ref="C1008" r:id="rId1816" display="https://finance.yahoo.com/quote/AAPL/options/?straddle=false&amp;strike=105&amp;type=all" xr:uid="{2A474526-5733-485D-AEAF-B0F82B2EAB12}"/>
    <hyperlink ref="A1009" r:id="rId1817" display="https://finance.yahoo.com/quote/AAPL260618C00110000/" xr:uid="{6604E332-4D6B-411C-AB3E-6C50CBC84B21}"/>
    <hyperlink ref="C1009" r:id="rId1818" display="https://finance.yahoo.com/quote/AAPL/options/?straddle=false&amp;strike=110&amp;type=all" xr:uid="{FA1F466B-078E-40E2-BD2E-603CF30B0A52}"/>
    <hyperlink ref="A1010" r:id="rId1819" display="https://finance.yahoo.com/quote/AAPL260618C00115000/" xr:uid="{B1CA3160-56BC-4ECE-BFBE-57131F07CE4F}"/>
    <hyperlink ref="C1010" r:id="rId1820" display="https://finance.yahoo.com/quote/AAPL/options/?straddle=false&amp;strike=115&amp;type=all" xr:uid="{1A7C752A-9228-41B8-B6C3-E26CF844E5D3}"/>
    <hyperlink ref="A1011" r:id="rId1821" display="https://finance.yahoo.com/quote/AAPL260618C00120000/" xr:uid="{AC7ADF2B-157E-4D5C-9CC8-F6F5C927828E}"/>
    <hyperlink ref="C1011" r:id="rId1822" display="https://finance.yahoo.com/quote/AAPL/options/?straddle=false&amp;strike=120&amp;type=all" xr:uid="{FFCE39D1-EE69-4609-B358-76AACA2B9147}"/>
    <hyperlink ref="A1012" r:id="rId1823" display="https://finance.yahoo.com/quote/AAPL260618C00125000/" xr:uid="{61D75F8A-50E7-4DAD-AF48-973B6D50A096}"/>
    <hyperlink ref="C1012" r:id="rId1824" display="https://finance.yahoo.com/quote/AAPL/options/?straddle=false&amp;strike=125&amp;type=all" xr:uid="{7F6E9BA0-7147-4F33-8CD3-1EEBD0D5006A}"/>
    <hyperlink ref="A1013" r:id="rId1825" display="https://finance.yahoo.com/quote/AAPL260618C00130000/" xr:uid="{DA8B74AD-9D37-42B6-B4A6-9DA43450D0E7}"/>
    <hyperlink ref="C1013" r:id="rId1826" display="https://finance.yahoo.com/quote/AAPL/options/?straddle=false&amp;strike=130&amp;type=all" xr:uid="{507611BA-BC9E-4B02-95BE-3F226C7CFB56}"/>
    <hyperlink ref="A1014" r:id="rId1827" display="https://finance.yahoo.com/quote/AAPL260618C00135000/" xr:uid="{67736B04-AF32-4B02-9DB1-12276923B9BC}"/>
    <hyperlink ref="C1014" r:id="rId1828" display="https://finance.yahoo.com/quote/AAPL/options/?straddle=false&amp;strike=135&amp;type=all" xr:uid="{A8DA53AC-E5CD-4A70-A2C6-03A6C30B1DBF}"/>
    <hyperlink ref="A1015" r:id="rId1829" display="https://finance.yahoo.com/quote/AAPL260618C00140000/" xr:uid="{A64B0AFE-631E-4695-A34F-54ED3BF645F6}"/>
    <hyperlink ref="C1015" r:id="rId1830" display="https://finance.yahoo.com/quote/AAPL/options/?straddle=false&amp;strike=140&amp;type=all" xr:uid="{601668DF-5B4C-42D7-904A-D5E37948DE94}"/>
    <hyperlink ref="A1016" r:id="rId1831" display="https://finance.yahoo.com/quote/AAPL260618C00145000/" xr:uid="{E257B8CB-B670-41AD-A61B-5248F70CB8E4}"/>
    <hyperlink ref="C1016" r:id="rId1832" display="https://finance.yahoo.com/quote/AAPL/options/?straddle=false&amp;strike=145&amp;type=all" xr:uid="{96ABE8DA-D111-4019-8803-C327641451C8}"/>
    <hyperlink ref="A1017" r:id="rId1833" display="https://finance.yahoo.com/quote/AAPL260618C00150000/" xr:uid="{01D4BF3A-B5CC-4E0F-BE80-0384A059E17F}"/>
    <hyperlink ref="C1017" r:id="rId1834" display="https://finance.yahoo.com/quote/AAPL/options/?straddle=false&amp;strike=150&amp;type=all" xr:uid="{A2883E09-CA40-42EF-BE0C-FFA11B3BFD7F}"/>
    <hyperlink ref="A1018" r:id="rId1835" display="https://finance.yahoo.com/quote/AAPL260618C00155000/" xr:uid="{1944091E-CA6D-4AAC-A494-6F275111418E}"/>
    <hyperlink ref="C1018" r:id="rId1836" display="https://finance.yahoo.com/quote/AAPL/options/?straddle=false&amp;strike=155&amp;type=all" xr:uid="{79958154-D494-4EE9-A48C-AFF9707E5AF3}"/>
    <hyperlink ref="A1019" r:id="rId1837" display="https://finance.yahoo.com/quote/AAPL260618C00160000/" xr:uid="{B45D544E-63E3-4960-B809-C2C8C2F819AB}"/>
    <hyperlink ref="C1019" r:id="rId1838" display="https://finance.yahoo.com/quote/AAPL/options/?straddle=false&amp;strike=160&amp;type=all" xr:uid="{3953AF71-62F3-469D-8861-495DE12364E9}"/>
    <hyperlink ref="A1020" r:id="rId1839" display="https://finance.yahoo.com/quote/AAPL260618C00165000/" xr:uid="{66FB978D-B672-4012-B282-CAA15614C22D}"/>
    <hyperlink ref="C1020" r:id="rId1840" display="https://finance.yahoo.com/quote/AAPL/options/?straddle=false&amp;strike=165&amp;type=all" xr:uid="{602D4271-FF63-4A0D-AD87-61238870BBBB}"/>
    <hyperlink ref="A1021" r:id="rId1841" display="https://finance.yahoo.com/quote/AAPL260618C00170000/" xr:uid="{7802DA83-545D-4243-8E9E-8F65E163352B}"/>
    <hyperlink ref="C1021" r:id="rId1842" display="https://finance.yahoo.com/quote/AAPL/options/?straddle=false&amp;strike=170&amp;type=all" xr:uid="{FF872F95-467D-4608-B833-88DB8728D28B}"/>
    <hyperlink ref="A1022" r:id="rId1843" display="https://finance.yahoo.com/quote/AAPL260618C00175000/" xr:uid="{CC9BCB17-6D85-43E9-9B3D-964E8F137B63}"/>
    <hyperlink ref="C1022" r:id="rId1844" display="https://finance.yahoo.com/quote/AAPL/options/?straddle=false&amp;strike=175&amp;type=all" xr:uid="{94712237-1B7A-4FCC-AC94-28E896094756}"/>
    <hyperlink ref="A1023" r:id="rId1845" display="https://finance.yahoo.com/quote/AAPL260618C00180000/" xr:uid="{37648415-95CD-4C6B-9967-29045689F70A}"/>
    <hyperlink ref="C1023" r:id="rId1846" display="https://finance.yahoo.com/quote/AAPL/options/?straddle=false&amp;strike=180&amp;type=all" xr:uid="{6B7C054F-9CE0-456D-851F-7C3469283105}"/>
    <hyperlink ref="A1024" r:id="rId1847" display="https://finance.yahoo.com/quote/AAPL260618C00185000/" xr:uid="{CE4E6DF9-44D1-4627-9F8F-9C4EC9BDAFB1}"/>
    <hyperlink ref="C1024" r:id="rId1848" display="https://finance.yahoo.com/quote/AAPL/options/?straddle=false&amp;strike=185&amp;type=all" xr:uid="{C1076083-D8FD-42E0-AA96-DC5BDD4662B0}"/>
    <hyperlink ref="A1025" r:id="rId1849" display="https://finance.yahoo.com/quote/AAPL260618C00190000/" xr:uid="{76C0E96A-A43D-4BFE-A22B-7FAB15BC22C0}"/>
    <hyperlink ref="C1025" r:id="rId1850" display="https://finance.yahoo.com/quote/AAPL/options/?straddle=false&amp;strike=190&amp;type=all" xr:uid="{93C14953-95A1-4530-99F3-F23397376CD7}"/>
    <hyperlink ref="A1026" r:id="rId1851" display="https://finance.yahoo.com/quote/AAPL260618C00195000/" xr:uid="{C502C283-8EE5-4A1C-9596-F4CB920F8851}"/>
    <hyperlink ref="C1026" r:id="rId1852" display="https://finance.yahoo.com/quote/AAPL/options/?straddle=false&amp;strike=195&amp;type=all" xr:uid="{86E8C252-669F-4D60-BBDF-770D5F23CBCE}"/>
    <hyperlink ref="A1027" r:id="rId1853" display="https://finance.yahoo.com/quote/AAPL260618C00200000/" xr:uid="{B04136D1-773C-40D0-8705-6FF7622398D1}"/>
    <hyperlink ref="C1027" r:id="rId1854" display="https://finance.yahoo.com/quote/AAPL/options/?straddle=false&amp;strike=200&amp;type=all" xr:uid="{7AA5CB79-795F-41FF-AE5D-DC84ECB23161}"/>
    <hyperlink ref="A1028" r:id="rId1855" display="https://finance.yahoo.com/quote/AAPL260618C00205000/" xr:uid="{83EBF6D1-4F76-475F-B026-B6F6CC5EC91E}"/>
    <hyperlink ref="C1028" r:id="rId1856" display="https://finance.yahoo.com/quote/AAPL/options/?straddle=false&amp;strike=205&amp;type=all" xr:uid="{F9671353-D734-441E-A31E-04DF8994DBDC}"/>
    <hyperlink ref="A1029" r:id="rId1857" display="https://finance.yahoo.com/quote/AAPL260618C00210000/" xr:uid="{8E3BFE65-EAD6-4FB3-BD5B-BD9BC77F3E60}"/>
    <hyperlink ref="C1029" r:id="rId1858" display="https://finance.yahoo.com/quote/AAPL/options/?straddle=false&amp;strike=210&amp;type=all" xr:uid="{9786C706-8268-42E8-A767-B5E4903700BB}"/>
    <hyperlink ref="A1030" r:id="rId1859" display="https://finance.yahoo.com/quote/AAPL260618C00215000/" xr:uid="{CB3EF13E-E077-4A46-BC4A-46266FCD30F3}"/>
    <hyperlink ref="C1030" r:id="rId1860" display="https://finance.yahoo.com/quote/AAPL/options/?straddle=false&amp;strike=215&amp;type=all" xr:uid="{30D2501C-AD30-4CCE-88C5-53AFF4C4F173}"/>
    <hyperlink ref="A1031" r:id="rId1861" display="https://finance.yahoo.com/quote/AAPL260618C00220000/" xr:uid="{493AFF00-6450-482E-A9B6-2F3CF4FD8AFF}"/>
    <hyperlink ref="C1031" r:id="rId1862" display="https://finance.yahoo.com/quote/AAPL/options/?straddle=false&amp;strike=220&amp;type=all" xr:uid="{E721EE3B-589D-4E53-BA97-D17984CCB30D}"/>
    <hyperlink ref="A1032" r:id="rId1863" display="https://finance.yahoo.com/quote/AAPL260618C00225000/" xr:uid="{C129D6C9-EB1E-4433-A165-0AE9E138326F}"/>
    <hyperlink ref="C1032" r:id="rId1864" display="https://finance.yahoo.com/quote/AAPL/options/?straddle=false&amp;strike=225&amp;type=all" xr:uid="{96CD593D-6889-41C1-8A65-8A24D0FE90A0}"/>
    <hyperlink ref="A1033" r:id="rId1865" display="https://finance.yahoo.com/quote/AAPL260618C00230000/" xr:uid="{AEF3E71C-E47C-4938-97AB-42A27335ADC1}"/>
    <hyperlink ref="C1033" r:id="rId1866" display="https://finance.yahoo.com/quote/AAPL/options/?straddle=false&amp;strike=230&amp;type=all" xr:uid="{B84634DE-A8DB-4E91-B4EC-B4F288D2230A}"/>
    <hyperlink ref="A1034" r:id="rId1867" display="https://finance.yahoo.com/quote/AAPL260618C00235000/" xr:uid="{6F6DA903-37AC-4AD8-8100-BE66548F39D3}"/>
    <hyperlink ref="C1034" r:id="rId1868" display="https://finance.yahoo.com/quote/AAPL/options/?straddle=false&amp;strike=235&amp;type=all" xr:uid="{4E8A4AA8-198B-4E72-B8EF-1184F156981A}"/>
    <hyperlink ref="A1035" r:id="rId1869" display="https://finance.yahoo.com/quote/AAPL260618C00240000/" xr:uid="{D4C4AAF8-82BF-45A8-9258-47A55443CFDF}"/>
    <hyperlink ref="C1035" r:id="rId1870" display="https://finance.yahoo.com/quote/AAPL/options/?straddle=false&amp;strike=240&amp;type=all" xr:uid="{6A34E385-8366-4E79-839B-ECE068D86707}"/>
    <hyperlink ref="A1036" r:id="rId1871" display="https://finance.yahoo.com/quote/AAPL260618C00245000/" xr:uid="{A0319C86-0DB1-4D19-A5FB-1EDC54507F60}"/>
    <hyperlink ref="C1036" r:id="rId1872" display="https://finance.yahoo.com/quote/AAPL/options/?straddle=false&amp;strike=245&amp;type=all" xr:uid="{B4C949C6-C979-4A95-807A-539F86527187}"/>
    <hyperlink ref="A1037" r:id="rId1873" display="https://finance.yahoo.com/quote/AAPL260618C00250000/" xr:uid="{21B7BF36-8AFB-451C-920B-5F8F9237A65C}"/>
    <hyperlink ref="C1037" r:id="rId1874" display="https://finance.yahoo.com/quote/AAPL/options/?straddle=false&amp;strike=250&amp;type=all" xr:uid="{55F87F85-60D8-41F1-B730-266D77A1EF42}"/>
    <hyperlink ref="A1038" r:id="rId1875" display="https://finance.yahoo.com/quote/AAPL260618C00255000/" xr:uid="{4513212B-F11E-4013-BDED-DB0C229CAADA}"/>
    <hyperlink ref="C1038" r:id="rId1876" display="https://finance.yahoo.com/quote/AAPL/options/?straddle=false&amp;strike=255&amp;type=all" xr:uid="{477D48A1-7453-46F6-ADC3-F6AD9D830C7D}"/>
    <hyperlink ref="A1039" r:id="rId1877" display="https://finance.yahoo.com/quote/AAPL260618C00260000/" xr:uid="{60D4563A-39C6-4A81-B219-F74A93D66C23}"/>
    <hyperlink ref="C1039" r:id="rId1878" display="https://finance.yahoo.com/quote/AAPL/options/?straddle=false&amp;strike=260&amp;type=all" xr:uid="{58166226-B710-48A2-854C-60617A66D1A1}"/>
    <hyperlink ref="A1040" r:id="rId1879" display="https://finance.yahoo.com/quote/AAPL260618C00265000/" xr:uid="{F84C84A7-87D3-4F09-BC06-989A19B71A39}"/>
    <hyperlink ref="C1040" r:id="rId1880" display="https://finance.yahoo.com/quote/AAPL/options/?straddle=false&amp;strike=265&amp;type=all" xr:uid="{C6DE7839-7261-44CA-9616-675CA97AF8D3}"/>
    <hyperlink ref="A1041" r:id="rId1881" display="https://finance.yahoo.com/quote/AAPL260618C00270000/" xr:uid="{9F2AC8EC-1E63-4B3F-B883-A254C21BDDEB}"/>
    <hyperlink ref="C1041" r:id="rId1882" display="https://finance.yahoo.com/quote/AAPL/options/?straddle=false&amp;strike=270&amp;type=all" xr:uid="{26CA015F-AC0E-404F-A185-B898734D53DC}"/>
    <hyperlink ref="A1042" r:id="rId1883" display="https://finance.yahoo.com/quote/AAPL260618C00275000/" xr:uid="{387BADE5-40C9-472F-85B5-7BE2F0A56E5C}"/>
    <hyperlink ref="C1042" r:id="rId1884" display="https://finance.yahoo.com/quote/AAPL/options/?straddle=false&amp;strike=275&amp;type=all" xr:uid="{8B288ACC-B3AE-421E-B595-5532D9F22BC6}"/>
    <hyperlink ref="A1043" r:id="rId1885" display="https://finance.yahoo.com/quote/AAPL260618C00280000/" xr:uid="{C30D2CFF-11B4-4F2E-BE82-F34F8384D400}"/>
    <hyperlink ref="C1043" r:id="rId1886" display="https://finance.yahoo.com/quote/AAPL/options/?straddle=false&amp;strike=280&amp;type=all" xr:uid="{505DC3BD-AAC4-46E0-BDA3-8E587BD38A36}"/>
    <hyperlink ref="A1044" r:id="rId1887" display="https://finance.yahoo.com/quote/AAPL260618C00285000/" xr:uid="{4AE122A0-22B2-4BDB-B69C-6E4273896CA9}"/>
    <hyperlink ref="C1044" r:id="rId1888" display="https://finance.yahoo.com/quote/AAPL/options/?straddle=false&amp;strike=285&amp;type=all" xr:uid="{81BD8CC9-F694-43B4-A543-52B5585B23A7}"/>
    <hyperlink ref="A1045" r:id="rId1889" display="https://finance.yahoo.com/quote/AAPL260618C00290000/" xr:uid="{1D647918-ACE4-48B1-8BBD-B886EC522AFA}"/>
    <hyperlink ref="C1045" r:id="rId1890" display="https://finance.yahoo.com/quote/AAPL/options/?straddle=false&amp;strike=290&amp;type=all" xr:uid="{95B2904B-0282-4296-B41B-F7B6B7871BC3}"/>
    <hyperlink ref="A1046" r:id="rId1891" display="https://finance.yahoo.com/quote/AAPL260618C00300000/" xr:uid="{F75383A6-46CF-4603-8FD5-FAF3915BB84F}"/>
    <hyperlink ref="C1046" r:id="rId1892" display="https://finance.yahoo.com/quote/AAPL/options/?straddle=false&amp;strike=300&amp;type=all" xr:uid="{D8AC816F-A8F0-469B-B459-4ADD5426756D}"/>
    <hyperlink ref="A1047" r:id="rId1893" display="https://finance.yahoo.com/quote/AAPL260618C00310000/" xr:uid="{AC280202-FCC0-4596-BD1C-765993E004A5}"/>
    <hyperlink ref="C1047" r:id="rId1894" display="https://finance.yahoo.com/quote/AAPL/options/?straddle=false&amp;strike=310&amp;type=all" xr:uid="{3048C03E-4470-4D9C-A3A1-6BC5D9C18266}"/>
    <hyperlink ref="A1048" r:id="rId1895" display="https://finance.yahoo.com/quote/AAPL260618C00320000/" xr:uid="{2EDFE1E7-E7B5-4AA4-8E1B-8F30B987D1F8}"/>
    <hyperlink ref="C1048" r:id="rId1896" display="https://finance.yahoo.com/quote/AAPL/options/?straddle=false&amp;strike=320&amp;type=all" xr:uid="{F436CDF1-6B23-4B80-910B-9ADA3F08BD51}"/>
    <hyperlink ref="A1049" r:id="rId1897" display="https://finance.yahoo.com/quote/AAPL260618C00330000/" xr:uid="{F71A45B0-4E5D-43B8-A16B-A83A7ABD35B7}"/>
    <hyperlink ref="C1049" r:id="rId1898" display="https://finance.yahoo.com/quote/AAPL/options/?straddle=false&amp;strike=330&amp;type=all" xr:uid="{683DB713-9F51-458C-9C31-BBF48D819715}"/>
    <hyperlink ref="A1050" r:id="rId1899" display="https://finance.yahoo.com/quote/AAPL260618C00340000/" xr:uid="{643AFE67-B688-464A-8539-F131593E5641}"/>
    <hyperlink ref="C1050" r:id="rId1900" display="https://finance.yahoo.com/quote/AAPL/options/?straddle=false&amp;strike=340&amp;type=all" xr:uid="{F79C9B01-FE2F-43A7-9EDE-BE9EABCBE26F}"/>
    <hyperlink ref="A1051" r:id="rId1901" display="https://finance.yahoo.com/quote/AAPL260618C00350000/" xr:uid="{92948779-3DDF-4D04-AE9C-AB147AAA63E5}"/>
    <hyperlink ref="C1051" r:id="rId1902" display="https://finance.yahoo.com/quote/AAPL/options/?straddle=false&amp;strike=350&amp;type=all" xr:uid="{180F250B-AEEE-44AA-B6C8-FFCA14A96AE6}"/>
    <hyperlink ref="A1052" r:id="rId1903" display="https://finance.yahoo.com/quote/AAPL260618C00360000/" xr:uid="{6032DE4B-36B2-425D-A2CA-417A5E472607}"/>
    <hyperlink ref="C1052" r:id="rId1904" display="https://finance.yahoo.com/quote/AAPL/options/?straddle=false&amp;strike=360&amp;type=all" xr:uid="{AE21B0A7-F755-40DE-9355-A0EDA4701778}"/>
    <hyperlink ref="A1053" r:id="rId1905" display="https://finance.yahoo.com/quote/AAPL260618C00370000/" xr:uid="{A155104D-881E-49B1-8E74-583B19D1F0AD}"/>
    <hyperlink ref="C1053" r:id="rId1906" display="https://finance.yahoo.com/quote/AAPL/options/?straddle=false&amp;strike=370&amp;type=all" xr:uid="{3A637061-5AA9-437D-A025-4A78653870F6}"/>
    <hyperlink ref="A1054" r:id="rId1907" display="https://finance.yahoo.com/quote/AAPL260618C00380000/" xr:uid="{82D3A680-32BE-48BB-A4BB-C06A6180DBAC}"/>
    <hyperlink ref="C1054" r:id="rId1908" display="https://finance.yahoo.com/quote/AAPL/options/?straddle=false&amp;strike=380&amp;type=all" xr:uid="{C695B4EE-6BCA-4D4E-9B5B-7701F8E91DB9}"/>
    <hyperlink ref="A1055" r:id="rId1909" display="https://finance.yahoo.com/quote/AAPL260618C00390000/" xr:uid="{48E96A13-2901-4904-8BA6-CDAE4514BC55}"/>
    <hyperlink ref="C1055" r:id="rId1910" display="https://finance.yahoo.com/quote/AAPL/options/?straddle=false&amp;strike=390&amp;type=all" xr:uid="{4B1DA0CC-353C-4E6D-9B79-1A8B29152AEC}"/>
    <hyperlink ref="A1056" r:id="rId1911" display="https://finance.yahoo.com/quote/AAPL260618P00005000/" xr:uid="{222BC90D-265A-4C0A-BA39-0D1CBA034F98}"/>
    <hyperlink ref="C1056" r:id="rId1912" display="https://finance.yahoo.com/quote/AAPL/options/?straddle=false&amp;strike=5&amp;type=all" xr:uid="{0682E291-77AC-4998-A0AD-761E20E92798}"/>
    <hyperlink ref="A1057" r:id="rId1913" display="https://finance.yahoo.com/quote/AAPL260618P00010000/" xr:uid="{B90CC113-6208-48CC-AE1F-75B9D2A02747}"/>
    <hyperlink ref="C1057" r:id="rId1914" display="https://finance.yahoo.com/quote/AAPL/options/?straddle=false&amp;strike=10&amp;type=all" xr:uid="{7BB216A5-9990-4F27-B8E4-4F8EA658151A}"/>
    <hyperlink ref="A1058" r:id="rId1915" display="https://finance.yahoo.com/quote/AAPL260618P00015000/" xr:uid="{583F4E6A-6DA8-4C32-9C0B-D9A250DCC151}"/>
    <hyperlink ref="C1058" r:id="rId1916" display="https://finance.yahoo.com/quote/AAPL/options/?straddle=false&amp;strike=15&amp;type=all" xr:uid="{1CC68A88-D1AA-4E41-AFA6-20ADD522CCDA}"/>
    <hyperlink ref="A1059" r:id="rId1917" display="https://finance.yahoo.com/quote/AAPL260618P00020000/" xr:uid="{9706C9AD-9471-4F7E-98BE-A514E3F129C7}"/>
    <hyperlink ref="C1059" r:id="rId1918" display="https://finance.yahoo.com/quote/AAPL/options/?straddle=false&amp;strike=20&amp;type=all" xr:uid="{8E945369-2872-4E64-8F9E-53EB9F7F9632}"/>
    <hyperlink ref="A1060" r:id="rId1919" display="https://finance.yahoo.com/quote/AAPL260618P00025000/" xr:uid="{DA5B1CE1-9DCF-4E8E-92AB-AF77E9205DC0}"/>
    <hyperlink ref="C1060" r:id="rId1920" display="https://finance.yahoo.com/quote/AAPL/options/?straddle=false&amp;strike=25&amp;type=all" xr:uid="{9A999B16-454C-40BA-9E26-4AF41E9A7CA4}"/>
    <hyperlink ref="A1061" r:id="rId1921" display="https://finance.yahoo.com/quote/AAPL260618P00030000/" xr:uid="{88BA5A83-8C51-48BF-A5C4-9DAA28755A8B}"/>
    <hyperlink ref="C1061" r:id="rId1922" display="https://finance.yahoo.com/quote/AAPL/options/?straddle=false&amp;strike=30&amp;type=all" xr:uid="{403ACD61-AB33-4CDF-B47E-0694D64AE887}"/>
    <hyperlink ref="A1062" r:id="rId1923" display="https://finance.yahoo.com/quote/AAPL260618P00035000/" xr:uid="{C0DFAC2C-7119-4FEC-809A-AC41B51FB792}"/>
    <hyperlink ref="C1062" r:id="rId1924" display="https://finance.yahoo.com/quote/AAPL/options/?straddle=false&amp;strike=35&amp;type=all" xr:uid="{E51461F2-69C7-43F0-ACC0-8421009013DB}"/>
    <hyperlink ref="A1063" r:id="rId1925" display="https://finance.yahoo.com/quote/AAPL260618P00040000/" xr:uid="{38D2B5AB-7A5A-46FA-ABD3-880D47818DF7}"/>
    <hyperlink ref="C1063" r:id="rId1926" display="https://finance.yahoo.com/quote/AAPL/options/?straddle=false&amp;strike=40&amp;type=all" xr:uid="{F161682D-5287-4C7C-8970-8A315DBA0A20}"/>
    <hyperlink ref="A1064" r:id="rId1927" display="https://finance.yahoo.com/quote/AAPL260618P00045000/" xr:uid="{15E41E70-84C4-40CE-B6E8-87649384D76F}"/>
    <hyperlink ref="C1064" r:id="rId1928" display="https://finance.yahoo.com/quote/AAPL/options/?straddle=false&amp;strike=45&amp;type=all" xr:uid="{30C13B3C-F8FD-4454-806D-26F61CDCE0DC}"/>
    <hyperlink ref="A1065" r:id="rId1929" display="https://finance.yahoo.com/quote/AAPL260618P00050000/" xr:uid="{B4B23677-47D6-410B-AF21-283249BBBB14}"/>
    <hyperlink ref="C1065" r:id="rId1930" display="https://finance.yahoo.com/quote/AAPL/options/?straddle=false&amp;strike=50&amp;type=all" xr:uid="{1D252655-97BF-49FF-94EE-A77FC5A9F7A7}"/>
    <hyperlink ref="A1066" r:id="rId1931" display="https://finance.yahoo.com/quote/AAPL260618P00055000/" xr:uid="{8560C096-090B-4F94-9A99-56CB25C4777A}"/>
    <hyperlink ref="C1066" r:id="rId1932" display="https://finance.yahoo.com/quote/AAPL/options/?straddle=false&amp;strike=55&amp;type=all" xr:uid="{A7BC9A46-8C1A-4377-ACCF-554670D2BB04}"/>
    <hyperlink ref="A1067" r:id="rId1933" display="https://finance.yahoo.com/quote/AAPL260618P00060000/" xr:uid="{738F1760-65A7-4742-BC38-14A6F5F8567C}"/>
    <hyperlink ref="C1067" r:id="rId1934" display="https://finance.yahoo.com/quote/AAPL/options/?straddle=false&amp;strike=60&amp;type=all" xr:uid="{BF9AECDE-F56F-4099-89E8-532F91997E2F}"/>
    <hyperlink ref="A1068" r:id="rId1935" display="https://finance.yahoo.com/quote/AAPL260618P00065000/" xr:uid="{E7CAD1FF-1833-4E12-B4E3-1C9516FABC65}"/>
    <hyperlink ref="C1068" r:id="rId1936" display="https://finance.yahoo.com/quote/AAPL/options/?straddle=false&amp;strike=65&amp;type=all" xr:uid="{BCA38E6C-C4C6-4647-9885-577AAB838D19}"/>
    <hyperlink ref="A1069" r:id="rId1937" display="https://finance.yahoo.com/quote/AAPL260618P00070000/" xr:uid="{E27C9FB2-1EE4-4A0C-9300-4C07109F56CC}"/>
    <hyperlink ref="C1069" r:id="rId1938" display="https://finance.yahoo.com/quote/AAPL/options/?straddle=false&amp;strike=70&amp;type=all" xr:uid="{52BA897D-E5CE-4D67-9097-3552A0C50B7B}"/>
    <hyperlink ref="A1070" r:id="rId1939" display="https://finance.yahoo.com/quote/AAPL260618P00075000/" xr:uid="{059A1714-F5AF-4C5B-82F0-51D9940E516E}"/>
    <hyperlink ref="C1070" r:id="rId1940" display="https://finance.yahoo.com/quote/AAPL/options/?straddle=false&amp;strike=75&amp;type=all" xr:uid="{0A0CA95D-169F-4A00-9C01-1818FDCD9D12}"/>
    <hyperlink ref="A1071" r:id="rId1941" display="https://finance.yahoo.com/quote/AAPL260618P00080000/" xr:uid="{362DE5F4-8A17-429F-BF47-DC0378B82F92}"/>
    <hyperlink ref="C1071" r:id="rId1942" display="https://finance.yahoo.com/quote/AAPL/options/?straddle=false&amp;strike=80&amp;type=all" xr:uid="{64D96646-D6B6-49F3-A5EF-5DC12EBD774F}"/>
    <hyperlink ref="A1072" r:id="rId1943" display="https://finance.yahoo.com/quote/AAPL260618P00085000/" xr:uid="{FEF9FB36-CA5B-4D2A-A85B-52CF4952D516}"/>
    <hyperlink ref="C1072" r:id="rId1944" display="https://finance.yahoo.com/quote/AAPL/options/?straddle=false&amp;strike=85&amp;type=all" xr:uid="{1F62E87C-8AFC-480D-AD31-71E2846D3F1C}"/>
    <hyperlink ref="A1073" r:id="rId1945" display="https://finance.yahoo.com/quote/AAPL260618P00090000/" xr:uid="{B52CC49E-AB19-4F64-B26D-BFFC4156EC6C}"/>
    <hyperlink ref="C1073" r:id="rId1946" display="https://finance.yahoo.com/quote/AAPL/options/?straddle=false&amp;strike=90&amp;type=all" xr:uid="{9264662C-90BD-4749-A2CC-843F5EFD9C18}"/>
    <hyperlink ref="A1074" r:id="rId1947" display="https://finance.yahoo.com/quote/AAPL260618P00095000/" xr:uid="{C7E59D23-D45D-4394-93B3-0C89704081CC}"/>
    <hyperlink ref="C1074" r:id="rId1948" display="https://finance.yahoo.com/quote/AAPL/options/?straddle=false&amp;strike=95&amp;type=all" xr:uid="{92D43024-8403-4F22-85DF-F94F8873C41D}"/>
    <hyperlink ref="A1075" r:id="rId1949" display="https://finance.yahoo.com/quote/AAPL260618P00100000/" xr:uid="{C912CAB3-C709-41BD-AEA5-7CBCA205C10A}"/>
    <hyperlink ref="C1075" r:id="rId1950" display="https://finance.yahoo.com/quote/AAPL/options/?straddle=false&amp;strike=100&amp;type=all" xr:uid="{46E698BA-3967-46E7-B57C-DF7377C81BCF}"/>
    <hyperlink ref="A1076" r:id="rId1951" display="https://finance.yahoo.com/quote/AAPL260618P00105000/" xr:uid="{7F4D4C1C-29EC-48A2-9A64-52CFB3CB9711}"/>
    <hyperlink ref="C1076" r:id="rId1952" display="https://finance.yahoo.com/quote/AAPL/options/?straddle=false&amp;strike=105&amp;type=all" xr:uid="{528E5ECE-B780-47D5-B7C7-7C0147CBE524}"/>
    <hyperlink ref="A1077" r:id="rId1953" display="https://finance.yahoo.com/quote/AAPL260618P00110000/" xr:uid="{DB817B73-94B1-4A6F-AABB-8D1E7CC448E0}"/>
    <hyperlink ref="C1077" r:id="rId1954" display="https://finance.yahoo.com/quote/AAPL/options/?straddle=false&amp;strike=110&amp;type=all" xr:uid="{24E645C7-72A1-40E6-970A-262C8DB3D54E}"/>
    <hyperlink ref="A1078" r:id="rId1955" display="https://finance.yahoo.com/quote/AAPL260618P00115000/" xr:uid="{3F8AFD82-A206-4801-9BC1-8AEA3F645D72}"/>
    <hyperlink ref="C1078" r:id="rId1956" display="https://finance.yahoo.com/quote/AAPL/options/?straddle=false&amp;strike=115&amp;type=all" xr:uid="{D2DDFDD9-C34C-465D-A569-AE208421A54D}"/>
    <hyperlink ref="A1079" r:id="rId1957" display="https://finance.yahoo.com/quote/AAPL260618P00120000/" xr:uid="{E5B94D4E-456C-46E9-8DE1-57FC79B152ED}"/>
    <hyperlink ref="C1079" r:id="rId1958" display="https://finance.yahoo.com/quote/AAPL/options/?straddle=false&amp;strike=120&amp;type=all" xr:uid="{FA0F161A-2F7A-4819-81A5-828873852D72}"/>
    <hyperlink ref="A1080" r:id="rId1959" display="https://finance.yahoo.com/quote/AAPL260618P00125000/" xr:uid="{3EF34460-CB10-485F-8D91-AAD8BDAC275D}"/>
    <hyperlink ref="C1080" r:id="rId1960" display="https://finance.yahoo.com/quote/AAPL/options/?straddle=false&amp;strike=125&amp;type=all" xr:uid="{5F89B8B3-70C9-4DAF-A91B-6892A51C0430}"/>
    <hyperlink ref="A1081" r:id="rId1961" display="https://finance.yahoo.com/quote/AAPL260618P00130000/" xr:uid="{4A9F4873-A376-4AF3-8EFF-8DD83B8A6B6A}"/>
    <hyperlink ref="C1081" r:id="rId1962" display="https://finance.yahoo.com/quote/AAPL/options/?straddle=false&amp;strike=130&amp;type=all" xr:uid="{A9097194-724D-49C0-A647-294AE00CFAE6}"/>
    <hyperlink ref="A1082" r:id="rId1963" display="https://finance.yahoo.com/quote/AAPL260618P00135000/" xr:uid="{604EF04D-262D-43D0-A400-4BDED5883B11}"/>
    <hyperlink ref="C1082" r:id="rId1964" display="https://finance.yahoo.com/quote/AAPL/options/?straddle=false&amp;strike=135&amp;type=all" xr:uid="{966D7109-2AE1-4E4F-9BE5-F03E24CE05DC}"/>
    <hyperlink ref="A1083" r:id="rId1965" display="https://finance.yahoo.com/quote/AAPL260618P00140000/" xr:uid="{284F7790-CE04-4FC5-9B42-C812BE4854C2}"/>
    <hyperlink ref="C1083" r:id="rId1966" display="https://finance.yahoo.com/quote/AAPL/options/?straddle=false&amp;strike=140&amp;type=all" xr:uid="{1B0E6BDC-E129-4398-9B2C-BEF66F61F27E}"/>
    <hyperlink ref="A1084" r:id="rId1967" display="https://finance.yahoo.com/quote/AAPL260618P00145000/" xr:uid="{26C12A93-62EE-4DC9-BF60-F9A58DF4CDE1}"/>
    <hyperlink ref="C1084" r:id="rId1968" display="https://finance.yahoo.com/quote/AAPL/options/?straddle=false&amp;strike=145&amp;type=all" xr:uid="{E5FB3A12-1BAC-4F99-A3E9-3D83663C7381}"/>
    <hyperlink ref="A1085" r:id="rId1969" display="https://finance.yahoo.com/quote/AAPL260618P00150000/" xr:uid="{041A45D7-2976-4720-88E4-D1A37B25F89B}"/>
    <hyperlink ref="C1085" r:id="rId1970" display="https://finance.yahoo.com/quote/AAPL/options/?straddle=false&amp;strike=150&amp;type=all" xr:uid="{BEC0215F-63BE-4966-8900-6DFD25D37F30}"/>
    <hyperlink ref="A1086" r:id="rId1971" display="https://finance.yahoo.com/quote/AAPL260618P00155000/" xr:uid="{76BC498F-1190-4C8D-B164-7420809A5D68}"/>
    <hyperlink ref="C1086" r:id="rId1972" display="https://finance.yahoo.com/quote/AAPL/options/?straddle=false&amp;strike=155&amp;type=all" xr:uid="{A72861A1-AD09-4858-9C55-2293E85D1157}"/>
    <hyperlink ref="A1087" r:id="rId1973" display="https://finance.yahoo.com/quote/AAPL260618P00160000/" xr:uid="{3378D868-1E0E-4951-A910-BB8E8EABD226}"/>
    <hyperlink ref="C1087" r:id="rId1974" display="https://finance.yahoo.com/quote/AAPL/options/?straddle=false&amp;strike=160&amp;type=all" xr:uid="{13751663-5870-43A7-A926-6B482A3A03BE}"/>
    <hyperlink ref="A1088" r:id="rId1975" display="https://finance.yahoo.com/quote/AAPL260618P00165000/" xr:uid="{6637B8C6-C9B6-4666-99D5-E72AB7F3747C}"/>
    <hyperlink ref="C1088" r:id="rId1976" display="https://finance.yahoo.com/quote/AAPL/options/?straddle=false&amp;strike=165&amp;type=all" xr:uid="{BF948772-9822-42CA-B3D3-A1F96AAA7FF6}"/>
    <hyperlink ref="A1089" r:id="rId1977" display="https://finance.yahoo.com/quote/AAPL260618P00170000/" xr:uid="{3F721C79-0873-40D6-B3A8-9836CD2FF315}"/>
    <hyperlink ref="C1089" r:id="rId1978" display="https://finance.yahoo.com/quote/AAPL/options/?straddle=false&amp;strike=170&amp;type=all" xr:uid="{48B9F731-1E28-4AAA-8182-F4EDD4A20517}"/>
    <hyperlink ref="A1090" r:id="rId1979" display="https://finance.yahoo.com/quote/AAPL260618P00175000/" xr:uid="{7B76F0EB-D5AD-4BBA-9EFF-85361BD3783B}"/>
    <hyperlink ref="C1090" r:id="rId1980" display="https://finance.yahoo.com/quote/AAPL/options/?straddle=false&amp;strike=175&amp;type=all" xr:uid="{46761386-7D17-4BCE-BFB3-0C4455696CE5}"/>
    <hyperlink ref="A1091" r:id="rId1981" display="https://finance.yahoo.com/quote/AAPL260618P00180000/" xr:uid="{DE65C0B0-527F-4B70-A9CD-FDB4C555AEAD}"/>
    <hyperlink ref="C1091" r:id="rId1982" display="https://finance.yahoo.com/quote/AAPL/options/?straddle=false&amp;strike=180&amp;type=all" xr:uid="{F79F35A4-6F0C-42AA-83A1-73C63254E72C}"/>
    <hyperlink ref="A1092" r:id="rId1983" display="https://finance.yahoo.com/quote/AAPL260618P00185000/" xr:uid="{081EB5E0-63C8-4843-A799-13BD63198517}"/>
    <hyperlink ref="C1092" r:id="rId1984" display="https://finance.yahoo.com/quote/AAPL/options/?straddle=false&amp;strike=185&amp;type=all" xr:uid="{18A2B1BE-A54C-4D05-9361-A7B087B3DE24}"/>
    <hyperlink ref="A1093" r:id="rId1985" display="https://finance.yahoo.com/quote/AAPL260618P00190000/" xr:uid="{A7484F23-D22D-4BDB-B702-81F4E27D1549}"/>
    <hyperlink ref="C1093" r:id="rId1986" display="https://finance.yahoo.com/quote/AAPL/options/?straddle=false&amp;strike=190&amp;type=all" xr:uid="{82A294D4-1677-4C2C-A05B-D2B186D733F7}"/>
    <hyperlink ref="A1094" r:id="rId1987" display="https://finance.yahoo.com/quote/AAPL260618P00195000/" xr:uid="{0E49727C-087C-404F-9CB0-4E7D459F8C1D}"/>
    <hyperlink ref="C1094" r:id="rId1988" display="https://finance.yahoo.com/quote/AAPL/options/?straddle=false&amp;strike=195&amp;type=all" xr:uid="{1E7487FA-83C0-4186-A45F-5F3C0C26E9DF}"/>
    <hyperlink ref="A1095" r:id="rId1989" display="https://finance.yahoo.com/quote/AAPL260618P00200000/" xr:uid="{BA336493-57CF-40FA-9061-648F85E10860}"/>
    <hyperlink ref="C1095" r:id="rId1990" display="https://finance.yahoo.com/quote/AAPL/options/?straddle=false&amp;strike=200&amp;type=all" xr:uid="{BDCD96D0-3FBB-473B-9787-9BD1FE9954C5}"/>
    <hyperlink ref="A1096" r:id="rId1991" display="https://finance.yahoo.com/quote/AAPL260618P00205000/" xr:uid="{2D1F108C-4AD9-4AF4-A63E-E95EEB2E3967}"/>
    <hyperlink ref="C1096" r:id="rId1992" display="https://finance.yahoo.com/quote/AAPL/options/?straddle=false&amp;strike=205&amp;type=all" xr:uid="{D99575B1-B904-47A0-95F8-533D76EAF8DE}"/>
    <hyperlink ref="A1097" r:id="rId1993" display="https://finance.yahoo.com/quote/AAPL260618P00210000/" xr:uid="{157BE094-11E3-4D5A-AAE0-00285EFE8CBA}"/>
    <hyperlink ref="C1097" r:id="rId1994" display="https://finance.yahoo.com/quote/AAPL/options/?straddle=false&amp;strike=210&amp;type=all" xr:uid="{ECC53562-D674-46BB-BA09-2475D5942241}"/>
    <hyperlink ref="A1098" r:id="rId1995" display="https://finance.yahoo.com/quote/AAPL260618P00215000/" xr:uid="{2C2963B5-0898-4BF9-A249-04F9C4FB45BA}"/>
    <hyperlink ref="C1098" r:id="rId1996" display="https://finance.yahoo.com/quote/AAPL/options/?straddle=false&amp;strike=215&amp;type=all" xr:uid="{2D2E0FC6-0EC0-40AF-84B4-8A07BA9113F1}"/>
    <hyperlink ref="A1099" r:id="rId1997" display="https://finance.yahoo.com/quote/AAPL260618P00220000/" xr:uid="{4CD4497F-AB88-4E4B-9777-B8F116BBD26C}"/>
    <hyperlink ref="C1099" r:id="rId1998" display="https://finance.yahoo.com/quote/AAPL/options/?straddle=false&amp;strike=220&amp;type=all" xr:uid="{32FF5CC1-D89A-4A26-A877-689ABF9D3996}"/>
    <hyperlink ref="A1100" r:id="rId1999" display="https://finance.yahoo.com/quote/AAPL260618P00225000/" xr:uid="{226F6BC1-376E-4CC2-8E36-36B006908E6D}"/>
    <hyperlink ref="C1100" r:id="rId2000" display="https://finance.yahoo.com/quote/AAPL/options/?straddle=false&amp;strike=225&amp;type=all" xr:uid="{3056644E-A4E0-4304-8870-C93FFD144587}"/>
    <hyperlink ref="A1101" r:id="rId2001" display="https://finance.yahoo.com/quote/AAPL260618P00230000/" xr:uid="{D6EEAD27-CF72-4993-9B3F-F07FA69D3802}"/>
    <hyperlink ref="C1101" r:id="rId2002" display="https://finance.yahoo.com/quote/AAPL/options/?straddle=false&amp;strike=230&amp;type=all" xr:uid="{E0943D86-2F79-4AD9-B195-EB521CEC82D7}"/>
    <hyperlink ref="A1102" r:id="rId2003" display="https://finance.yahoo.com/quote/AAPL260618P00235000/" xr:uid="{2D20DC94-22C8-4254-9B09-D34946A3A327}"/>
    <hyperlink ref="C1102" r:id="rId2004" display="https://finance.yahoo.com/quote/AAPL/options/?straddle=false&amp;strike=235&amp;type=all" xr:uid="{B3A2491A-ECBE-40C2-B935-7372CA43454C}"/>
    <hyperlink ref="A1103" r:id="rId2005" display="https://finance.yahoo.com/quote/AAPL260618P00240000/" xr:uid="{59BD37F4-C98C-4E10-B282-AF8138B6618C}"/>
    <hyperlink ref="C1103" r:id="rId2006" display="https://finance.yahoo.com/quote/AAPL/options/?straddle=false&amp;strike=240&amp;type=all" xr:uid="{94F7A392-C0D7-4213-86A7-8420E09195FF}"/>
    <hyperlink ref="A1104" r:id="rId2007" display="https://finance.yahoo.com/quote/AAPL260618P00245000/" xr:uid="{E9C5825F-C5DA-45A5-88F6-29421F0158E7}"/>
    <hyperlink ref="C1104" r:id="rId2008" display="https://finance.yahoo.com/quote/AAPL/options/?straddle=false&amp;strike=245&amp;type=all" xr:uid="{28BB55AB-627D-4B3F-977E-2382242B65A8}"/>
    <hyperlink ref="A1105" r:id="rId2009" display="https://finance.yahoo.com/quote/AAPL260618P00250000/" xr:uid="{F4850961-40F7-4747-869F-FF6A0EC8B8BC}"/>
    <hyperlink ref="C1105" r:id="rId2010" display="https://finance.yahoo.com/quote/AAPL/options/?straddle=false&amp;strike=250&amp;type=all" xr:uid="{E5E59E73-683B-48AF-8478-C26D07FA37DF}"/>
    <hyperlink ref="A1106" r:id="rId2011" display="https://finance.yahoo.com/quote/AAPL260618P00255000/" xr:uid="{84541373-F444-4168-9454-5D2888180968}"/>
    <hyperlink ref="C1106" r:id="rId2012" display="https://finance.yahoo.com/quote/AAPL/options/?straddle=false&amp;strike=255&amp;type=all" xr:uid="{1EA0C367-0961-454A-9EE7-F5237DCDC3A0}"/>
    <hyperlink ref="A1107" r:id="rId2013" display="https://finance.yahoo.com/quote/AAPL260618P00260000/" xr:uid="{38D46665-C8FC-472E-833A-D8ED4ABD1A73}"/>
    <hyperlink ref="C1107" r:id="rId2014" display="https://finance.yahoo.com/quote/AAPL/options/?straddle=false&amp;strike=260&amp;type=all" xr:uid="{D08DA186-88CB-4622-9812-08DF075D1742}"/>
    <hyperlink ref="A1108" r:id="rId2015" display="https://finance.yahoo.com/quote/AAPL260618P00265000/" xr:uid="{4DA9DC22-761B-452F-8449-6BB6DA7EB587}"/>
    <hyperlink ref="C1108" r:id="rId2016" display="https://finance.yahoo.com/quote/AAPL/options/?straddle=false&amp;strike=265&amp;type=all" xr:uid="{2CFBFDBF-AF4E-4954-8397-4F2F0EEF36C7}"/>
    <hyperlink ref="A1109" r:id="rId2017" display="https://finance.yahoo.com/quote/AAPL260618P00270000/" xr:uid="{3BCEE8B3-BCED-4C4B-8D68-75C221E1A520}"/>
    <hyperlink ref="C1109" r:id="rId2018" display="https://finance.yahoo.com/quote/AAPL/options/?straddle=false&amp;strike=270&amp;type=all" xr:uid="{E6F2A52B-4989-4FA2-8D0F-18800804AC95}"/>
    <hyperlink ref="A1110" r:id="rId2019" display="https://finance.yahoo.com/quote/AAPL260618P00275000/" xr:uid="{2AAD8544-EACB-4FE9-A5E2-912E0195573A}"/>
    <hyperlink ref="C1110" r:id="rId2020" display="https://finance.yahoo.com/quote/AAPL/options/?straddle=false&amp;strike=275&amp;type=all" xr:uid="{472D4174-2CCA-4878-AAF9-B228C50CE251}"/>
    <hyperlink ref="A1111" r:id="rId2021" display="https://finance.yahoo.com/quote/AAPL260618P00280000/" xr:uid="{A6EEE4C2-E9E6-4C58-8D69-31327F69F403}"/>
    <hyperlink ref="C1111" r:id="rId2022" display="https://finance.yahoo.com/quote/AAPL/options/?straddle=false&amp;strike=280&amp;type=all" xr:uid="{546810E3-C4C1-4F18-A6A5-E6A4B4859EDC}"/>
    <hyperlink ref="A1112" r:id="rId2023" display="https://finance.yahoo.com/quote/AAPL260618P00285000/" xr:uid="{E7E23D16-9670-48D8-8117-DA1C191F2D83}"/>
    <hyperlink ref="C1112" r:id="rId2024" display="https://finance.yahoo.com/quote/AAPL/options/?straddle=false&amp;strike=285&amp;type=all" xr:uid="{2E4181D3-25C0-4894-B8F5-311647A44CF0}"/>
    <hyperlink ref="A1113" r:id="rId2025" display="https://finance.yahoo.com/quote/AAPL260618P00290000/" xr:uid="{E06D8BE3-760C-446E-8654-C977F055CCFB}"/>
    <hyperlink ref="C1113" r:id="rId2026" display="https://finance.yahoo.com/quote/AAPL/options/?straddle=false&amp;strike=290&amp;type=all" xr:uid="{98383B1B-510A-42AA-AD8A-F8D4D679172B}"/>
    <hyperlink ref="A1114" r:id="rId2027" display="https://finance.yahoo.com/quote/AAPL260618P00300000/" xr:uid="{3EF0D426-9C5E-4F3C-A8E9-CB278B6B5DBF}"/>
    <hyperlink ref="C1114" r:id="rId2028" display="https://finance.yahoo.com/quote/AAPL/options/?straddle=false&amp;strike=300&amp;type=all" xr:uid="{8B29B682-FE3D-427C-8474-69BE14DFFA95}"/>
    <hyperlink ref="A1115" r:id="rId2029" display="https://finance.yahoo.com/quote/AAPL260618P00310000/" xr:uid="{928A8C18-0416-4667-A697-7D2FA3A17EBE}"/>
    <hyperlink ref="C1115" r:id="rId2030" display="https://finance.yahoo.com/quote/AAPL/options/?straddle=false&amp;strike=310&amp;type=all" xr:uid="{B0A66BBE-8DA0-4C27-838A-CB62C6979890}"/>
    <hyperlink ref="A1116" r:id="rId2031" display="https://finance.yahoo.com/quote/AAPL260618P00320000/" xr:uid="{1B67A763-0629-4EA1-AE74-9D8636181959}"/>
    <hyperlink ref="C1116" r:id="rId2032" display="https://finance.yahoo.com/quote/AAPL/options/?straddle=false&amp;strike=320&amp;type=all" xr:uid="{1D736AD1-2461-4A98-8728-882AEB5382D6}"/>
    <hyperlink ref="A1117" r:id="rId2033" display="https://finance.yahoo.com/quote/AAPL260618P00330000/" xr:uid="{D68D782E-C18A-463C-90B6-3FB2233249BA}"/>
    <hyperlink ref="C1117" r:id="rId2034" display="https://finance.yahoo.com/quote/AAPL/options/?straddle=false&amp;strike=330&amp;type=all" xr:uid="{2F69CB5E-9C14-4CA8-9AE7-53713AE9E136}"/>
    <hyperlink ref="A1118" r:id="rId2035" display="https://finance.yahoo.com/quote/AAPL260618P00340000/" xr:uid="{288F8438-060D-4DA4-B538-CFA23F693D97}"/>
    <hyperlink ref="C1118" r:id="rId2036" display="https://finance.yahoo.com/quote/AAPL/options/?straddle=false&amp;strike=340&amp;type=all" xr:uid="{3A89A8D0-6ADF-49F5-BDF0-E10D4EDA23D5}"/>
    <hyperlink ref="A1119" r:id="rId2037" display="https://finance.yahoo.com/quote/AAPL260618P00350000/" xr:uid="{79FE404A-3759-486F-A613-BBB948C00B63}"/>
    <hyperlink ref="C1119" r:id="rId2038" display="https://finance.yahoo.com/quote/AAPL/options/?straddle=false&amp;strike=350&amp;type=all" xr:uid="{D111B88E-FA81-4DCA-8926-E88DC38D0C18}"/>
    <hyperlink ref="A1120" r:id="rId2039" display="https://finance.yahoo.com/quote/AAPL260618P00360000/" xr:uid="{659C32B4-CBA3-41BE-A387-CF8997879D84}"/>
    <hyperlink ref="C1120" r:id="rId2040" display="https://finance.yahoo.com/quote/AAPL/options/?straddle=false&amp;strike=360&amp;type=all" xr:uid="{1B2E188B-FC0A-4FA8-8F1A-E856D2F7BC5C}"/>
    <hyperlink ref="A1121" r:id="rId2041" display="https://finance.yahoo.com/quote/AAPL260618P00370000/" xr:uid="{9AFAB5B0-0F63-43BA-A1DD-CA7F9A52ADCD}"/>
    <hyperlink ref="C1121" r:id="rId2042" display="https://finance.yahoo.com/quote/AAPL/options/?straddle=false&amp;strike=370&amp;type=all" xr:uid="{8A9A736F-E4A6-438C-8A5F-C411B73648B7}"/>
    <hyperlink ref="A1122" r:id="rId2043" display="https://finance.yahoo.com/quote/AAPL260618P00380000/" xr:uid="{3EB4D958-EBD8-4EE2-942C-88EF6D83762E}"/>
    <hyperlink ref="C1122" r:id="rId2044" display="https://finance.yahoo.com/quote/AAPL/options/?straddle=false&amp;strike=380&amp;type=all" xr:uid="{1A62B576-6825-42FB-8888-8F68609837A2}"/>
    <hyperlink ref="A1123" r:id="rId2045" display="https://finance.yahoo.com/quote/AAPL260618P00390000/" xr:uid="{7037AD73-9463-4750-8114-61881F11AC81}"/>
    <hyperlink ref="C1123" r:id="rId2046" display="https://finance.yahoo.com/quote/AAPL/options/?straddle=false&amp;strike=390&amp;type=all" xr:uid="{EABB8C60-4AEB-4E81-9275-C8098CE50E97}"/>
    <hyperlink ref="A1124" r:id="rId2047" display="https://finance.yahoo.com/quote/AAPL260821C00115000/" xr:uid="{00450907-CCDE-4054-B513-708F1EF9EDBA}"/>
    <hyperlink ref="C1124" r:id="rId2048" display="https://finance.yahoo.com/quote/AAPL/options/?straddle=false&amp;strike=115&amp;type=all" xr:uid="{B48497AF-5D8D-4F49-95B0-50947B958807}"/>
    <hyperlink ref="A1125" r:id="rId2049" display="https://finance.yahoo.com/quote/AAPL260821C00120000/" xr:uid="{F8BAC045-CB0A-4335-8C08-B6F66B65A128}"/>
    <hyperlink ref="C1125" r:id="rId2050" display="https://finance.yahoo.com/quote/AAPL/options/?straddle=false&amp;strike=120&amp;type=all" xr:uid="{D92B8699-6E94-4267-891F-EB1B6478B42F}"/>
    <hyperlink ref="A1126" r:id="rId2051" display="https://finance.yahoo.com/quote/AAPL260821C00125000/" xr:uid="{DF85A61A-1F5B-4E65-BC73-758BBBA672AF}"/>
    <hyperlink ref="C1126" r:id="rId2052" display="https://finance.yahoo.com/quote/AAPL/options/?straddle=false&amp;strike=125&amp;type=all" xr:uid="{045D9973-6F65-49F8-822A-A65A11729C63}"/>
    <hyperlink ref="A1127" r:id="rId2053" display="https://finance.yahoo.com/quote/AAPL260821C00130000/" xr:uid="{4E5630E8-C2FC-46E9-854C-2C869D7B89CD}"/>
    <hyperlink ref="C1127" r:id="rId2054" display="https://finance.yahoo.com/quote/AAPL/options/?straddle=false&amp;strike=130&amp;type=all" xr:uid="{1F8FCFE2-27F6-4ED2-BAE8-4E1D0BFE5F51}"/>
    <hyperlink ref="A1128" r:id="rId2055" display="https://finance.yahoo.com/quote/AAPL260821C00135000/" xr:uid="{E4AE6921-AA40-41D9-93FE-D52794DE0A89}"/>
    <hyperlink ref="C1128" r:id="rId2056" display="https://finance.yahoo.com/quote/AAPL/options/?straddle=false&amp;strike=135&amp;type=all" xr:uid="{C80ED701-E566-40F3-A287-D6D2914431DC}"/>
    <hyperlink ref="A1129" r:id="rId2057" display="https://finance.yahoo.com/quote/AAPL260821C00140000/" xr:uid="{7171C4E5-F56A-4794-8D66-65E4AF842B21}"/>
    <hyperlink ref="C1129" r:id="rId2058" display="https://finance.yahoo.com/quote/AAPL/options/?straddle=false&amp;strike=140&amp;type=all" xr:uid="{F66A54BB-D6A1-4964-8E99-63361C81146B}"/>
    <hyperlink ref="A1130" r:id="rId2059" display="https://finance.yahoo.com/quote/AAPL260821C00145000/" xr:uid="{4E4F93E9-69AF-45FD-B205-2CD7F3EEAADA}"/>
    <hyperlink ref="C1130" r:id="rId2060" display="https://finance.yahoo.com/quote/AAPL/options/?straddle=false&amp;strike=145&amp;type=all" xr:uid="{FC61C826-F675-41DE-84D8-A6C43874F05F}"/>
    <hyperlink ref="A1131" r:id="rId2061" display="https://finance.yahoo.com/quote/AAPL260821C00150000/" xr:uid="{1708B921-41C9-4749-9C33-7FD7563EC865}"/>
    <hyperlink ref="C1131" r:id="rId2062" display="https://finance.yahoo.com/quote/AAPL/options/?straddle=false&amp;strike=150&amp;type=all" xr:uid="{2E0D692E-CFE8-4B71-8510-729EA8D377EF}"/>
    <hyperlink ref="A1132" r:id="rId2063" display="https://finance.yahoo.com/quote/AAPL260821C00155000/" xr:uid="{53397F10-282C-4E29-B140-A58DA5943797}"/>
    <hyperlink ref="C1132" r:id="rId2064" display="https://finance.yahoo.com/quote/AAPL/options/?straddle=false&amp;strike=155&amp;type=all" xr:uid="{44732041-2A35-423F-AB79-10952302CCBE}"/>
    <hyperlink ref="A1133" r:id="rId2065" display="https://finance.yahoo.com/quote/AAPL260821C00160000/" xr:uid="{E180D3D3-E80B-48E2-9ABC-B0E6FCB2945F}"/>
    <hyperlink ref="C1133" r:id="rId2066" display="https://finance.yahoo.com/quote/AAPL/options/?straddle=false&amp;strike=160&amp;type=all" xr:uid="{4C1CDCD2-361A-4A56-BC52-F1EBD755E4FB}"/>
    <hyperlink ref="A1134" r:id="rId2067" display="https://finance.yahoo.com/quote/AAPL260821C00165000/" xr:uid="{2BC7E445-629F-45B9-8DB7-2424D063BBD6}"/>
    <hyperlink ref="C1134" r:id="rId2068" display="https://finance.yahoo.com/quote/AAPL/options/?straddle=false&amp;strike=165&amp;type=all" xr:uid="{D0B29F6C-101C-4810-8870-9FFA88083F1A}"/>
    <hyperlink ref="A1135" r:id="rId2069" display="https://finance.yahoo.com/quote/AAPL260821C00170000/" xr:uid="{5E68F29D-0E6D-4B97-ACDA-7EA08A39985A}"/>
    <hyperlink ref="C1135" r:id="rId2070" display="https://finance.yahoo.com/quote/AAPL/options/?straddle=false&amp;strike=170&amp;type=all" xr:uid="{850D94D1-3B03-45D4-A2F9-A2E56C50DB46}"/>
    <hyperlink ref="A1136" r:id="rId2071" display="https://finance.yahoo.com/quote/AAPL260821C00175000/" xr:uid="{C80C8CEA-1C2F-45AD-A9BD-E32485513B12}"/>
    <hyperlink ref="C1136" r:id="rId2072" display="https://finance.yahoo.com/quote/AAPL/options/?straddle=false&amp;strike=175&amp;type=all" xr:uid="{F6A7D1C7-A886-458A-A5C1-AC40D5108326}"/>
    <hyperlink ref="A1137" r:id="rId2073" display="https://finance.yahoo.com/quote/AAPL260821C00180000/" xr:uid="{B83F6EE8-81BA-492E-A378-68CF0F8C5E79}"/>
    <hyperlink ref="C1137" r:id="rId2074" display="https://finance.yahoo.com/quote/AAPL/options/?straddle=false&amp;strike=180&amp;type=all" xr:uid="{066E27BE-5F57-4279-85AD-99876CDDBC10}"/>
    <hyperlink ref="A1138" r:id="rId2075" display="https://finance.yahoo.com/quote/AAPL260821C00185000/" xr:uid="{89780E72-8F93-452F-88C1-0BDB312413D2}"/>
    <hyperlink ref="C1138" r:id="rId2076" display="https://finance.yahoo.com/quote/AAPL/options/?straddle=false&amp;strike=185&amp;type=all" xr:uid="{7DE086B3-E1CC-4593-B25A-6A0E67C32E2E}"/>
    <hyperlink ref="A1139" r:id="rId2077" display="https://finance.yahoo.com/quote/AAPL260821C00190000/" xr:uid="{BC2A6D80-85D9-4F16-B313-226742E22C92}"/>
    <hyperlink ref="C1139" r:id="rId2078" display="https://finance.yahoo.com/quote/AAPL/options/?straddle=false&amp;strike=190&amp;type=all" xr:uid="{51D269A8-AD79-43F7-AFD1-9939647CE1B0}"/>
    <hyperlink ref="A1140" r:id="rId2079" display="https://finance.yahoo.com/quote/AAPL260821C00195000/" xr:uid="{BC4372BB-A724-4C7A-AA4A-2E2B53D16BE4}"/>
    <hyperlink ref="C1140" r:id="rId2080" display="https://finance.yahoo.com/quote/AAPL/options/?straddle=false&amp;strike=195&amp;type=all" xr:uid="{8A888D34-7050-413A-A241-7F497E2D864E}"/>
    <hyperlink ref="A1141" r:id="rId2081" display="https://finance.yahoo.com/quote/AAPL260821C00200000/" xr:uid="{E7CD278C-F0D1-461D-A2E3-C51CDA73EA3E}"/>
    <hyperlink ref="C1141" r:id="rId2082" display="https://finance.yahoo.com/quote/AAPL/options/?straddle=false&amp;strike=200&amp;type=all" xr:uid="{38F8F8D6-AF6D-407F-A1D5-5A6E5B7469EB}"/>
    <hyperlink ref="A1142" r:id="rId2083" display="https://finance.yahoo.com/quote/AAPL260821C00210000/" xr:uid="{A55E0632-9602-46E7-A9F0-A613C56F3D4F}"/>
    <hyperlink ref="C1142" r:id="rId2084" display="https://finance.yahoo.com/quote/AAPL/options/?straddle=false&amp;strike=210&amp;type=all" xr:uid="{C12CC851-B1FA-402B-9C6B-CFE9D6E237A6}"/>
    <hyperlink ref="A1143" r:id="rId2085" display="https://finance.yahoo.com/quote/AAPL260821C00220000/" xr:uid="{FBBC34ED-4572-4A5D-B278-DB73A9577F23}"/>
    <hyperlink ref="C1143" r:id="rId2086" display="https://finance.yahoo.com/quote/AAPL/options/?straddle=false&amp;strike=220&amp;type=all" xr:uid="{989F3DE1-06AD-4AEF-8ED1-76827B8C8583}"/>
    <hyperlink ref="A1144" r:id="rId2087" display="https://finance.yahoo.com/quote/AAPL260821C00230000/" xr:uid="{E3B0AF58-1DFA-480D-877A-FB1A80572572}"/>
    <hyperlink ref="C1144" r:id="rId2088" display="https://finance.yahoo.com/quote/AAPL/options/?straddle=false&amp;strike=230&amp;type=all" xr:uid="{DDA60C37-9F3E-4372-9302-824258D3FB53}"/>
    <hyperlink ref="A1145" r:id="rId2089" display="https://finance.yahoo.com/quote/AAPL260821C00240000/" xr:uid="{F84F5AB0-4C1A-47B8-9DF4-A8BB5967CAEF}"/>
    <hyperlink ref="C1145" r:id="rId2090" display="https://finance.yahoo.com/quote/AAPL/options/?straddle=false&amp;strike=240&amp;type=all" xr:uid="{31B8164E-8C7D-451E-B49C-C7D42BC0E8B8}"/>
    <hyperlink ref="A1146" r:id="rId2091" display="https://finance.yahoo.com/quote/AAPL260821C00250000/" xr:uid="{5CD91B68-5A4C-424A-9AED-06170BCA002F}"/>
    <hyperlink ref="C1146" r:id="rId2092" display="https://finance.yahoo.com/quote/AAPL/options/?straddle=false&amp;strike=250&amp;type=all" xr:uid="{433072C4-95EB-4766-B83D-74D799B92188}"/>
    <hyperlink ref="A1147" r:id="rId2093" display="https://finance.yahoo.com/quote/AAPL260821C00260000/" xr:uid="{69900733-B36A-4E2B-85D3-4560AE92FBC9}"/>
    <hyperlink ref="C1147" r:id="rId2094" display="https://finance.yahoo.com/quote/AAPL/options/?straddle=false&amp;strike=260&amp;type=all" xr:uid="{68A44B87-51D9-4BA3-A71A-83839A90F76B}"/>
    <hyperlink ref="A1148" r:id="rId2095" display="https://finance.yahoo.com/quote/AAPL260821C00270000/" xr:uid="{CB68E7F8-1D5B-4CBC-A36F-FEFFE2F59BE1}"/>
    <hyperlink ref="C1148" r:id="rId2096" display="https://finance.yahoo.com/quote/AAPL/options/?straddle=false&amp;strike=270&amp;type=all" xr:uid="{5946CA50-4793-4591-8D66-D5D34B436C1C}"/>
    <hyperlink ref="A1149" r:id="rId2097" display="https://finance.yahoo.com/quote/AAPL260821C00280000/" xr:uid="{57BBAE2F-5F59-4B9D-B464-F3AE936E6D8A}"/>
    <hyperlink ref="C1149" r:id="rId2098" display="https://finance.yahoo.com/quote/AAPL/options/?straddle=false&amp;strike=280&amp;type=all" xr:uid="{557E80AA-D01B-4E60-861D-0DC90AE40317}"/>
    <hyperlink ref="A1150" r:id="rId2099" display="https://finance.yahoo.com/quote/AAPL260821C00290000/" xr:uid="{BA979C9C-1777-4BAA-A86A-CFA2C0CD1AA1}"/>
    <hyperlink ref="C1150" r:id="rId2100" display="https://finance.yahoo.com/quote/AAPL/options/?straddle=false&amp;strike=290&amp;type=all" xr:uid="{2FD24C5F-3F8C-47CE-B461-9E77249BD438}"/>
    <hyperlink ref="A1151" r:id="rId2101" display="https://finance.yahoo.com/quote/AAPL260821C00300000/" xr:uid="{80AF6BBD-5B29-4BBB-96B6-C4355949FFD7}"/>
    <hyperlink ref="C1151" r:id="rId2102" display="https://finance.yahoo.com/quote/AAPL/options/?straddle=false&amp;strike=300&amp;type=all" xr:uid="{11E0627F-2F1E-4EAA-911A-17460FD53B77}"/>
    <hyperlink ref="A1152" r:id="rId2103" display="https://finance.yahoo.com/quote/AAPL260821C00310000/" xr:uid="{58791048-B2F8-4B36-8734-31C29171DD87}"/>
    <hyperlink ref="C1152" r:id="rId2104" display="https://finance.yahoo.com/quote/AAPL/options/?straddle=false&amp;strike=310&amp;type=all" xr:uid="{8FE17EB5-0439-4C83-98E3-BFE55F320FE7}"/>
    <hyperlink ref="A1153" r:id="rId2105" display="https://finance.yahoo.com/quote/AAPL260821C00320000/" xr:uid="{77B86153-9577-460E-8199-4BF06968DE68}"/>
    <hyperlink ref="C1153" r:id="rId2106" display="https://finance.yahoo.com/quote/AAPL/options/?straddle=false&amp;strike=320&amp;type=all" xr:uid="{B34511E6-C422-4ADA-807A-A25E5C443DCE}"/>
    <hyperlink ref="A1154" r:id="rId2107" display="https://finance.yahoo.com/quote/AAPL260821C00330000/" xr:uid="{330D090D-2A96-489F-8E8E-F8C32C7689E1}"/>
    <hyperlink ref="C1154" r:id="rId2108" display="https://finance.yahoo.com/quote/AAPL/options/?straddle=false&amp;strike=330&amp;type=all" xr:uid="{166C0859-8E48-4A9D-AFB0-96DF19A1CCA1}"/>
    <hyperlink ref="A1155" r:id="rId2109" display="https://finance.yahoo.com/quote/AAPL260821C00340000/" xr:uid="{F9E755B2-4AC2-41DE-B896-A6403A73A2E6}"/>
    <hyperlink ref="C1155" r:id="rId2110" display="https://finance.yahoo.com/quote/AAPL/options/?straddle=false&amp;strike=340&amp;type=all" xr:uid="{C49C3B64-7FB9-479B-A648-7D2A0B4F446F}"/>
    <hyperlink ref="A1156" r:id="rId2111" display="https://finance.yahoo.com/quote/AAPL260821C00350000/" xr:uid="{C1B87AF6-597D-4DD7-B7D5-409184268F7E}"/>
    <hyperlink ref="C1156" r:id="rId2112" display="https://finance.yahoo.com/quote/AAPL/options/?straddle=false&amp;strike=350&amp;type=all" xr:uid="{934FAD35-6B05-4224-AFE6-A53522BB2353}"/>
    <hyperlink ref="A1157" r:id="rId2113" display="https://finance.yahoo.com/quote/AAPL260821P00110000/" xr:uid="{D1C86B24-0DC3-4A7B-BDB3-F21702A3200B}"/>
    <hyperlink ref="C1157" r:id="rId2114" display="https://finance.yahoo.com/quote/AAPL/options/?straddle=false&amp;strike=110&amp;type=all" xr:uid="{1D325230-E17A-4EE4-9B80-60C352145AED}"/>
    <hyperlink ref="A1158" r:id="rId2115" display="https://finance.yahoo.com/quote/AAPL260821P00115000/" xr:uid="{6AAECFFC-9B57-453F-85E5-C0E9F4AAE9A8}"/>
    <hyperlink ref="C1158" r:id="rId2116" display="https://finance.yahoo.com/quote/AAPL/options/?straddle=false&amp;strike=115&amp;type=all" xr:uid="{5FC5CF32-5443-479B-ACDD-FBC97EC56EA8}"/>
    <hyperlink ref="A1159" r:id="rId2117" display="https://finance.yahoo.com/quote/AAPL260821P00120000/" xr:uid="{F0123EBE-4CAD-4016-8542-99B35DC5ACE4}"/>
    <hyperlink ref="C1159" r:id="rId2118" display="https://finance.yahoo.com/quote/AAPL/options/?straddle=false&amp;strike=120&amp;type=all" xr:uid="{933016DA-F08E-43A1-8BF8-CE7450788674}"/>
    <hyperlink ref="A1160" r:id="rId2119" display="https://finance.yahoo.com/quote/AAPL260821P00125000/" xr:uid="{87E3A718-6574-40D1-9AFF-3CFF4C44F550}"/>
    <hyperlink ref="C1160" r:id="rId2120" display="https://finance.yahoo.com/quote/AAPL/options/?straddle=false&amp;strike=125&amp;type=all" xr:uid="{07567376-A58E-4D7A-B7B1-C765E7E5EFEF}"/>
    <hyperlink ref="A1161" r:id="rId2121" display="https://finance.yahoo.com/quote/AAPL260821P00130000/" xr:uid="{046BEF5F-ED42-4390-B667-40FEAD454CE7}"/>
    <hyperlink ref="C1161" r:id="rId2122" display="https://finance.yahoo.com/quote/AAPL/options/?straddle=false&amp;strike=130&amp;type=all" xr:uid="{3041A917-3807-4BE9-BE69-7B890BDE13DE}"/>
    <hyperlink ref="A1162" r:id="rId2123" display="https://finance.yahoo.com/quote/AAPL260821P00135000/" xr:uid="{DD46B2BA-2671-459E-A28F-AC4DDEE48D4A}"/>
    <hyperlink ref="C1162" r:id="rId2124" display="https://finance.yahoo.com/quote/AAPL/options/?straddle=false&amp;strike=135&amp;type=all" xr:uid="{3ED59A66-54CA-4D7E-AF28-08017D5DEEB7}"/>
    <hyperlink ref="A1163" r:id="rId2125" display="https://finance.yahoo.com/quote/AAPL260821P00140000/" xr:uid="{5DAFC4E4-5562-467A-8204-F903574C1977}"/>
    <hyperlink ref="C1163" r:id="rId2126" display="https://finance.yahoo.com/quote/AAPL/options/?straddle=false&amp;strike=140&amp;type=all" xr:uid="{731D64F6-2050-4DEC-B44C-34118BD02028}"/>
    <hyperlink ref="A1164" r:id="rId2127" display="https://finance.yahoo.com/quote/AAPL260821P00145000/" xr:uid="{9A820190-8B90-47B0-A052-A709FCF9D690}"/>
    <hyperlink ref="C1164" r:id="rId2128" display="https://finance.yahoo.com/quote/AAPL/options/?straddle=false&amp;strike=145&amp;type=all" xr:uid="{64EA8489-7BC7-452E-8F75-84989CA3B5BB}"/>
    <hyperlink ref="A1165" r:id="rId2129" display="https://finance.yahoo.com/quote/AAPL260821P00150000/" xr:uid="{9CB6C39D-8BB5-45EC-B889-97182F9FC587}"/>
    <hyperlink ref="C1165" r:id="rId2130" display="https://finance.yahoo.com/quote/AAPL/options/?straddle=false&amp;strike=150&amp;type=all" xr:uid="{7273A35B-E7F3-4F2A-ABEC-6C2500113542}"/>
    <hyperlink ref="A1166" r:id="rId2131" display="https://finance.yahoo.com/quote/AAPL260821P00155000/" xr:uid="{C426748C-BCDE-4663-BEB9-E47810C8D29B}"/>
    <hyperlink ref="C1166" r:id="rId2132" display="https://finance.yahoo.com/quote/AAPL/options/?straddle=false&amp;strike=155&amp;type=all" xr:uid="{A0A0DE71-5A69-4AA4-8CDA-E32867FDBCCA}"/>
    <hyperlink ref="A1167" r:id="rId2133" display="https://finance.yahoo.com/quote/AAPL260821P00160000/" xr:uid="{B451AFB4-D928-4E2E-83F1-26ADE2530187}"/>
    <hyperlink ref="C1167" r:id="rId2134" display="https://finance.yahoo.com/quote/AAPL/options/?straddle=false&amp;strike=160&amp;type=all" xr:uid="{11C666A5-84A8-449C-8069-2A89555B4E00}"/>
    <hyperlink ref="A1168" r:id="rId2135" display="https://finance.yahoo.com/quote/AAPL260821P00165000/" xr:uid="{CE78E31A-9371-41E6-BA98-CEE77A89E4AC}"/>
    <hyperlink ref="C1168" r:id="rId2136" display="https://finance.yahoo.com/quote/AAPL/options/?straddle=false&amp;strike=165&amp;type=all" xr:uid="{745324A3-A2AA-49B1-A2FE-275142806C34}"/>
    <hyperlink ref="A1169" r:id="rId2137" display="https://finance.yahoo.com/quote/AAPL260821P00170000/" xr:uid="{95D3C799-AF8F-4EC7-9E9F-5F238C4F84A2}"/>
    <hyperlink ref="C1169" r:id="rId2138" display="https://finance.yahoo.com/quote/AAPL/options/?straddle=false&amp;strike=170&amp;type=all" xr:uid="{3002C11B-84C2-4007-B071-96DF08564391}"/>
    <hyperlink ref="A1170" r:id="rId2139" display="https://finance.yahoo.com/quote/AAPL260821P00175000/" xr:uid="{A5F4A848-C71C-4C7B-A296-ECFD8CB9692C}"/>
    <hyperlink ref="C1170" r:id="rId2140" display="https://finance.yahoo.com/quote/AAPL/options/?straddle=false&amp;strike=175&amp;type=all" xr:uid="{9E636D4F-9A58-4D53-B1E1-3DF12B24EDCA}"/>
    <hyperlink ref="A1171" r:id="rId2141" display="https://finance.yahoo.com/quote/AAPL260821P00180000/" xr:uid="{9DE1582B-8972-446C-AFA5-B193B8E818D6}"/>
    <hyperlink ref="C1171" r:id="rId2142" display="https://finance.yahoo.com/quote/AAPL/options/?straddle=false&amp;strike=180&amp;type=all" xr:uid="{79FAB408-DF0D-4861-A233-A8F7899148A5}"/>
    <hyperlink ref="A1172" r:id="rId2143" display="https://finance.yahoo.com/quote/AAPL260821P00185000/" xr:uid="{EF3A12C7-64AD-495D-B4CB-9651B172B9A4}"/>
    <hyperlink ref="C1172" r:id="rId2144" display="https://finance.yahoo.com/quote/AAPL/options/?straddle=false&amp;strike=185&amp;type=all" xr:uid="{EA95828F-E363-4042-92F2-3F2703AE7632}"/>
    <hyperlink ref="A1173" r:id="rId2145" display="https://finance.yahoo.com/quote/AAPL260821P00190000/" xr:uid="{0539B4A8-0C0C-4279-AE5D-7D17E1E3979C}"/>
    <hyperlink ref="C1173" r:id="rId2146" display="https://finance.yahoo.com/quote/AAPL/options/?straddle=false&amp;strike=190&amp;type=all" xr:uid="{CDAA2D9A-A8A5-42D1-9087-9C576AA95BBA}"/>
    <hyperlink ref="A1174" r:id="rId2147" display="https://finance.yahoo.com/quote/AAPL260821P00195000/" xr:uid="{C83440DA-C861-4BF5-8EF9-0494834EFEC9}"/>
    <hyperlink ref="C1174" r:id="rId2148" display="https://finance.yahoo.com/quote/AAPL/options/?straddle=false&amp;strike=195&amp;type=all" xr:uid="{622BFD48-88DE-4686-AD2F-69C5CF7EAA2E}"/>
    <hyperlink ref="A1175" r:id="rId2149" display="https://finance.yahoo.com/quote/AAPL260821P00200000/" xr:uid="{327F61CF-98DA-4B51-880D-102F3CF7F030}"/>
    <hyperlink ref="C1175" r:id="rId2150" display="https://finance.yahoo.com/quote/AAPL/options/?straddle=false&amp;strike=200&amp;type=all" xr:uid="{ADD10435-9FB2-4A50-AE3C-FB155A994EB5}"/>
    <hyperlink ref="A1176" r:id="rId2151" display="https://finance.yahoo.com/quote/AAPL260821P00210000/" xr:uid="{CCCA54F9-AE70-45FD-BAF1-AF4A11C5F58E}"/>
    <hyperlink ref="C1176" r:id="rId2152" display="https://finance.yahoo.com/quote/AAPL/options/?straddle=false&amp;strike=210&amp;type=all" xr:uid="{9D79F9AB-D571-4DB5-B1E4-7C13357B3C53}"/>
    <hyperlink ref="A1177" r:id="rId2153" display="https://finance.yahoo.com/quote/AAPL260821P00220000/" xr:uid="{9F18D131-5F7B-4373-9D9E-0642A52B312F}"/>
    <hyperlink ref="C1177" r:id="rId2154" display="https://finance.yahoo.com/quote/AAPL/options/?straddle=false&amp;strike=220&amp;type=all" xr:uid="{C79E4474-F314-437F-A9CE-55D198055AD3}"/>
    <hyperlink ref="A1178" r:id="rId2155" display="https://finance.yahoo.com/quote/AAPL260821P00230000/" xr:uid="{3C6A65D3-6E52-4F0B-A09C-B8326A152D68}"/>
    <hyperlink ref="C1178" r:id="rId2156" display="https://finance.yahoo.com/quote/AAPL/options/?straddle=false&amp;strike=230&amp;type=all" xr:uid="{814AC922-0F20-471A-943F-60D654F44C94}"/>
    <hyperlink ref="A1179" r:id="rId2157" display="https://finance.yahoo.com/quote/AAPL260821P00240000/" xr:uid="{5F07B16A-6896-424B-9155-417FD224F6D0}"/>
    <hyperlink ref="C1179" r:id="rId2158" display="https://finance.yahoo.com/quote/AAPL/options/?straddle=false&amp;strike=240&amp;type=all" xr:uid="{B9DBE522-2F35-4A28-986D-724E922A8626}"/>
    <hyperlink ref="A1180" r:id="rId2159" display="https://finance.yahoo.com/quote/AAPL260821P00250000/" xr:uid="{E479C29D-5E88-4402-8357-F276050BC1C8}"/>
    <hyperlink ref="C1180" r:id="rId2160" display="https://finance.yahoo.com/quote/AAPL/options/?straddle=false&amp;strike=250&amp;type=all" xr:uid="{75FCC1E1-CB8C-42FF-B65B-FC8A6A6159E8}"/>
    <hyperlink ref="A1181" r:id="rId2161" display="https://finance.yahoo.com/quote/AAPL260821P00260000/" xr:uid="{1E9A8917-12E7-45EB-8A4D-3F3EBD04051B}"/>
    <hyperlink ref="C1181" r:id="rId2162" display="https://finance.yahoo.com/quote/AAPL/options/?straddle=false&amp;strike=260&amp;type=all" xr:uid="{B5C0B7C9-2BCF-4C02-9921-15AB3F6D431B}"/>
    <hyperlink ref="A1182" r:id="rId2163" display="https://finance.yahoo.com/quote/AAPL260821P00270000/" xr:uid="{E2B20593-12EB-45D8-8BEA-A2EDFA11636F}"/>
    <hyperlink ref="C1182" r:id="rId2164" display="https://finance.yahoo.com/quote/AAPL/options/?straddle=false&amp;strike=270&amp;type=all" xr:uid="{1C36684D-4553-4C57-AD1B-DBEECAE1330C}"/>
    <hyperlink ref="A1183" r:id="rId2165" display="https://finance.yahoo.com/quote/AAPL260821P00280000/" xr:uid="{F76FCB3B-078C-423B-AE18-66A227FCCF56}"/>
    <hyperlink ref="C1183" r:id="rId2166" display="https://finance.yahoo.com/quote/AAPL/options/?straddle=false&amp;strike=280&amp;type=all" xr:uid="{A9DB7683-8B18-4623-8719-DDCDB4511598}"/>
    <hyperlink ref="A1184" r:id="rId2167" display="https://finance.yahoo.com/quote/AAPL260821P00290000/" xr:uid="{851DB8C8-0672-42A8-BDD0-81C9ED863C78}"/>
    <hyperlink ref="C1184" r:id="rId2168" display="https://finance.yahoo.com/quote/AAPL/options/?straddle=false&amp;strike=290&amp;type=all" xr:uid="{FC6E23D6-CBE7-40AF-B550-AC243998A918}"/>
    <hyperlink ref="A1185" r:id="rId2169" display="https://finance.yahoo.com/quote/AAPL260821P00300000/" xr:uid="{1D74B2EF-32A6-48CD-BF3B-85A694464367}"/>
    <hyperlink ref="C1185" r:id="rId2170" display="https://finance.yahoo.com/quote/AAPL/options/?straddle=false&amp;strike=300&amp;type=all" xr:uid="{D3274AE3-667D-47A2-8488-42E92B5FB150}"/>
    <hyperlink ref="A1186" r:id="rId2171" display="https://finance.yahoo.com/quote/AAPL260821P00310000/" xr:uid="{AFC71296-EA8F-4332-BA72-D5CDE8BB13E8}"/>
    <hyperlink ref="C1186" r:id="rId2172" display="https://finance.yahoo.com/quote/AAPL/options/?straddle=false&amp;strike=310&amp;type=all" xr:uid="{14F8C3E9-882A-4803-9AA3-79BE3233B296}"/>
    <hyperlink ref="A1187" r:id="rId2173" display="https://finance.yahoo.com/quote/AAPL260821P00320000/" xr:uid="{61BC8259-9D92-4D57-881B-EB3737955F09}"/>
    <hyperlink ref="C1187" r:id="rId2174" display="https://finance.yahoo.com/quote/AAPL/options/?straddle=false&amp;strike=320&amp;type=all" xr:uid="{ED01929D-F9F3-4F38-BDFD-11EA0B2E32EA}"/>
    <hyperlink ref="A1188" r:id="rId2175" display="https://finance.yahoo.com/quote/AAPL260821P00330000/" xr:uid="{EA15856B-3C95-4332-80D1-15F90E69CF3F}"/>
    <hyperlink ref="C1188" r:id="rId2176" display="https://finance.yahoo.com/quote/AAPL/options/?straddle=false&amp;strike=330&amp;type=all" xr:uid="{4FB324F4-598F-4F00-A7FA-B548652659F8}"/>
    <hyperlink ref="A1189" r:id="rId2177" display="https://finance.yahoo.com/quote/AAPL260821P00340000/" xr:uid="{0903CE3D-991C-4D36-A7DE-F241521CF249}"/>
    <hyperlink ref="C1189" r:id="rId2178" display="https://finance.yahoo.com/quote/AAPL/options/?straddle=false&amp;strike=340&amp;type=all" xr:uid="{A14287DE-98BE-4D1B-A37C-815CF29387E4}"/>
    <hyperlink ref="A1190" r:id="rId2179" display="https://finance.yahoo.com/quote/AAPL260918C00050000/" xr:uid="{B2A699A7-34A2-40D7-92C7-186BA41B2035}"/>
    <hyperlink ref="C1190" r:id="rId2180" display="https://finance.yahoo.com/quote/AAPL/options/?straddle=false&amp;strike=50&amp;type=all" xr:uid="{C1546FD6-956A-4FF9-8968-66CAB15CC917}"/>
    <hyperlink ref="A1191" r:id="rId2181" display="https://finance.yahoo.com/quote/AAPL260918C00055000/" xr:uid="{9D705348-A5CF-44FF-A274-CEFD4FF3D0A0}"/>
    <hyperlink ref="C1191" r:id="rId2182" display="https://finance.yahoo.com/quote/AAPL/options/?straddle=false&amp;strike=55&amp;type=all" xr:uid="{DDB2A560-7788-4A3B-B17F-12130EBBCAF2}"/>
    <hyperlink ref="A1192" r:id="rId2183" display="https://finance.yahoo.com/quote/AAPL260918C00060000/" xr:uid="{81DB07B3-D009-4AB9-83C4-3A7370F47627}"/>
    <hyperlink ref="C1192" r:id="rId2184" display="https://finance.yahoo.com/quote/AAPL/options/?straddle=false&amp;strike=60&amp;type=all" xr:uid="{F73C06F9-F3E0-4D2A-83B7-5770DBD13CB2}"/>
    <hyperlink ref="A1193" r:id="rId2185" display="https://finance.yahoo.com/quote/AAPL260918C00065000/" xr:uid="{040E735B-2855-4A7A-97AD-4852BED23918}"/>
    <hyperlink ref="C1193" r:id="rId2186" display="https://finance.yahoo.com/quote/AAPL/options/?straddle=false&amp;strike=65&amp;type=all" xr:uid="{538EEC35-F703-4475-A405-04A120D6CA65}"/>
    <hyperlink ref="A1194" r:id="rId2187" display="https://finance.yahoo.com/quote/AAPL260918C00070000/" xr:uid="{BE6B011D-3463-4341-88DB-E3CFF57E55A6}"/>
    <hyperlink ref="C1194" r:id="rId2188" display="https://finance.yahoo.com/quote/AAPL/options/?straddle=false&amp;strike=70&amp;type=all" xr:uid="{C8F95CCE-2BF2-4334-9B81-778A3B3C5313}"/>
    <hyperlink ref="A1195" r:id="rId2189" display="https://finance.yahoo.com/quote/AAPL260918C00075000/" xr:uid="{AC0702D6-8D65-4726-BF64-5891DEA35EC3}"/>
    <hyperlink ref="C1195" r:id="rId2190" display="https://finance.yahoo.com/quote/AAPL/options/?straddle=false&amp;strike=75&amp;type=all" xr:uid="{49E0F052-E2F5-4F3E-88BA-78BFD35E79D9}"/>
    <hyperlink ref="A1196" r:id="rId2191" display="https://finance.yahoo.com/quote/AAPL260918C00080000/" xr:uid="{EB60FA1A-DD06-4B8A-90B7-9AFE5E9D0B42}"/>
    <hyperlink ref="C1196" r:id="rId2192" display="https://finance.yahoo.com/quote/AAPL/options/?straddle=false&amp;strike=80&amp;type=all" xr:uid="{43064EEC-F2F6-418C-B3A9-5D23F0E8381F}"/>
    <hyperlink ref="A1197" r:id="rId2193" display="https://finance.yahoo.com/quote/AAPL260918C00085000/" xr:uid="{57AB4B8E-20B7-435C-8152-4105964B793E}"/>
    <hyperlink ref="C1197" r:id="rId2194" display="https://finance.yahoo.com/quote/AAPL/options/?straddle=false&amp;strike=85&amp;type=all" xr:uid="{95D51547-F35B-461C-8EB2-7B99390C6747}"/>
    <hyperlink ref="A1198" r:id="rId2195" display="https://finance.yahoo.com/quote/AAPL260918C00090000/" xr:uid="{97CB545B-A54A-4DEE-A1FB-CE41AEFE28FF}"/>
    <hyperlink ref="C1198" r:id="rId2196" display="https://finance.yahoo.com/quote/AAPL/options/?straddle=false&amp;strike=90&amp;type=all" xr:uid="{4ED3C5B1-9A11-4D36-8F20-10B52D0AD3EC}"/>
    <hyperlink ref="A1199" r:id="rId2197" display="https://finance.yahoo.com/quote/AAPL260918C00095000/" xr:uid="{54194B94-8505-455D-BFDD-8CEF8A0532D8}"/>
    <hyperlink ref="C1199" r:id="rId2198" display="https://finance.yahoo.com/quote/AAPL/options/?straddle=false&amp;strike=95&amp;type=all" xr:uid="{59DD49BF-7964-4702-A8A2-CD94909FC468}"/>
    <hyperlink ref="A1200" r:id="rId2199" display="https://finance.yahoo.com/quote/AAPL260918C00100000/" xr:uid="{C75705C9-46D1-4088-BC61-CFAAFFF58396}"/>
    <hyperlink ref="C1200" r:id="rId2200" display="https://finance.yahoo.com/quote/AAPL/options/?straddle=false&amp;strike=100&amp;type=all" xr:uid="{438B760C-40EA-41E0-9F39-737C4EA14853}"/>
    <hyperlink ref="A1201" r:id="rId2201" display="https://finance.yahoo.com/quote/AAPL260918C00105000/" xr:uid="{A3289A79-41AB-447C-A2C2-73FA55551CC9}"/>
    <hyperlink ref="C1201" r:id="rId2202" display="https://finance.yahoo.com/quote/AAPL/options/?straddle=false&amp;strike=105&amp;type=all" xr:uid="{0804D911-BF43-49B1-A009-CD00AC86828F}"/>
    <hyperlink ref="A1202" r:id="rId2203" display="https://finance.yahoo.com/quote/AAPL260918C00110000/" xr:uid="{C44FEA33-2853-4AAE-A3D6-C3B1341E30CB}"/>
    <hyperlink ref="C1202" r:id="rId2204" display="https://finance.yahoo.com/quote/AAPL/options/?straddle=false&amp;strike=110&amp;type=all" xr:uid="{CCBAD407-850C-4136-9209-3AD068866552}"/>
    <hyperlink ref="A1203" r:id="rId2205" display="https://finance.yahoo.com/quote/AAPL260918C00115000/" xr:uid="{7D7B6BCE-DE17-4007-84E3-332020DC6B79}"/>
    <hyperlink ref="C1203" r:id="rId2206" display="https://finance.yahoo.com/quote/AAPL/options/?straddle=false&amp;strike=115&amp;type=all" xr:uid="{6C5A17A8-EE7D-4CCF-89DF-4614CA7A8854}"/>
    <hyperlink ref="A1204" r:id="rId2207" display="https://finance.yahoo.com/quote/AAPL260918C00120000/" xr:uid="{F284AF00-6B3A-4499-BD03-ED7F56E840EB}"/>
    <hyperlink ref="C1204" r:id="rId2208" display="https://finance.yahoo.com/quote/AAPL/options/?straddle=false&amp;strike=120&amp;type=all" xr:uid="{46D778DB-22B3-42A4-B6D5-CDD3ADD99C45}"/>
    <hyperlink ref="A1205" r:id="rId2209" display="https://finance.yahoo.com/quote/AAPL260918C00125000/" xr:uid="{AFB080CA-0FCA-41A0-A102-B6BE43591632}"/>
    <hyperlink ref="C1205" r:id="rId2210" display="https://finance.yahoo.com/quote/AAPL/options/?straddle=false&amp;strike=125&amp;type=all" xr:uid="{7E249590-9974-492D-A1E2-54FE41404AC2}"/>
    <hyperlink ref="A1206" r:id="rId2211" display="https://finance.yahoo.com/quote/AAPL260918C00130000/" xr:uid="{6E3D8DED-5AB1-4C3C-A246-0BEBFE1625EF}"/>
    <hyperlink ref="C1206" r:id="rId2212" display="https://finance.yahoo.com/quote/AAPL/options/?straddle=false&amp;strike=130&amp;type=all" xr:uid="{3602684F-94BA-409D-95A3-C27823FF7352}"/>
    <hyperlink ref="A1207" r:id="rId2213" display="https://finance.yahoo.com/quote/AAPL260918C00135000/" xr:uid="{B96D82C7-2A62-485D-A415-A32B03DF3DE1}"/>
    <hyperlink ref="C1207" r:id="rId2214" display="https://finance.yahoo.com/quote/AAPL/options/?straddle=false&amp;strike=135&amp;type=all" xr:uid="{2B15825C-BFC3-4491-9D28-3EF95B585BF4}"/>
    <hyperlink ref="A1208" r:id="rId2215" display="https://finance.yahoo.com/quote/AAPL260918C00140000/" xr:uid="{7D29F66E-ACCA-459C-B952-5562D681E75F}"/>
    <hyperlink ref="C1208" r:id="rId2216" display="https://finance.yahoo.com/quote/AAPL/options/?straddle=false&amp;strike=140&amp;type=all" xr:uid="{D4E0ACA0-110F-483B-A118-F59B7D629232}"/>
    <hyperlink ref="A1209" r:id="rId2217" display="https://finance.yahoo.com/quote/AAPL260918C00145000/" xr:uid="{3E83681E-C430-4B78-976F-857FFF064E2E}"/>
    <hyperlink ref="C1209" r:id="rId2218" display="https://finance.yahoo.com/quote/AAPL/options/?straddle=false&amp;strike=145&amp;type=all" xr:uid="{348FC693-BB5E-448F-9EDC-21C143769097}"/>
    <hyperlink ref="A1210" r:id="rId2219" display="https://finance.yahoo.com/quote/AAPL260918C00150000/" xr:uid="{13729D63-B45D-4439-9D26-25515699BFE8}"/>
    <hyperlink ref="C1210" r:id="rId2220" display="https://finance.yahoo.com/quote/AAPL/options/?straddle=false&amp;strike=150&amp;type=all" xr:uid="{1279184C-FDDF-48F7-A0F4-C0F89987F058}"/>
    <hyperlink ref="A1211" r:id="rId2221" display="https://finance.yahoo.com/quote/AAPL260918C00155000/" xr:uid="{E247E583-CA74-4F36-AB22-C3618451E290}"/>
    <hyperlink ref="C1211" r:id="rId2222" display="https://finance.yahoo.com/quote/AAPL/options/?straddle=false&amp;strike=155&amp;type=all" xr:uid="{6CD639D5-B6BF-43F9-B121-B0CF7B312F0C}"/>
    <hyperlink ref="A1212" r:id="rId2223" display="https://finance.yahoo.com/quote/AAPL260918C00160000/" xr:uid="{6BCEECA4-FEBE-4553-A759-E4BDE1C60D9C}"/>
    <hyperlink ref="C1212" r:id="rId2224" display="https://finance.yahoo.com/quote/AAPL/options/?straddle=false&amp;strike=160&amp;type=all" xr:uid="{FB9075F2-138B-4875-B4BC-9E4B68397F00}"/>
    <hyperlink ref="A1213" r:id="rId2225" display="https://finance.yahoo.com/quote/AAPL260918C00165000/" xr:uid="{704EAA7C-7823-4A80-924A-7A0E441EC0EC}"/>
    <hyperlink ref="C1213" r:id="rId2226" display="https://finance.yahoo.com/quote/AAPL/options/?straddle=false&amp;strike=165&amp;type=all" xr:uid="{70BFCAE3-B7E6-4F8E-938B-0DFBDD3FD0A2}"/>
    <hyperlink ref="A1214" r:id="rId2227" display="https://finance.yahoo.com/quote/AAPL260918C00170000/" xr:uid="{AB987BB4-A755-4F1B-ABAF-6765A0D72C0F}"/>
    <hyperlink ref="C1214" r:id="rId2228" display="https://finance.yahoo.com/quote/AAPL/options/?straddle=false&amp;strike=170&amp;type=all" xr:uid="{3822BF8B-AECD-436D-A417-8DA32497FD59}"/>
    <hyperlink ref="A1215" r:id="rId2229" display="https://finance.yahoo.com/quote/AAPL260918C00175000/" xr:uid="{F520C276-2591-4CE2-BF5A-158A25179D72}"/>
    <hyperlink ref="C1215" r:id="rId2230" display="https://finance.yahoo.com/quote/AAPL/options/?straddle=false&amp;strike=175&amp;type=all" xr:uid="{EB12C262-A0F2-481B-A952-B1C507A53773}"/>
    <hyperlink ref="A1216" r:id="rId2231" display="https://finance.yahoo.com/quote/AAPL260918C00180000/" xr:uid="{B5221FB6-2FE8-4EEA-9409-745016268C48}"/>
    <hyperlink ref="C1216" r:id="rId2232" display="https://finance.yahoo.com/quote/AAPL/options/?straddle=false&amp;strike=180&amp;type=all" xr:uid="{3B8C19DC-55EF-4808-902C-0178A58A3867}"/>
    <hyperlink ref="A1217" r:id="rId2233" display="https://finance.yahoo.com/quote/AAPL260918C00185000/" xr:uid="{B6E9187F-D836-4864-8EB8-CD5C84400FC6}"/>
    <hyperlink ref="C1217" r:id="rId2234" display="https://finance.yahoo.com/quote/AAPL/options/?straddle=false&amp;strike=185&amp;type=all" xr:uid="{4F44629F-5604-4A9F-9CEA-8ECAC5AE31A8}"/>
    <hyperlink ref="A1218" r:id="rId2235" display="https://finance.yahoo.com/quote/AAPL260918C00190000/" xr:uid="{161ED4D3-AD3A-4327-837A-DFABA617B9D3}"/>
    <hyperlink ref="C1218" r:id="rId2236" display="https://finance.yahoo.com/quote/AAPL/options/?straddle=false&amp;strike=190&amp;type=all" xr:uid="{633EB2CE-04F4-470C-A3EA-7AEF9E1A8AC1}"/>
    <hyperlink ref="A1219" r:id="rId2237" display="https://finance.yahoo.com/quote/AAPL260918C00195000/" xr:uid="{5CA2697C-CA0D-4374-A94F-EA6886C8F7D7}"/>
    <hyperlink ref="C1219" r:id="rId2238" display="https://finance.yahoo.com/quote/AAPL/options/?straddle=false&amp;strike=195&amp;type=all" xr:uid="{84498327-FB1D-4D60-A1EB-22B724F64E45}"/>
    <hyperlink ref="A1220" r:id="rId2239" display="https://finance.yahoo.com/quote/AAPL260918C00200000/" xr:uid="{4E6A3B2E-8A41-4497-B9FE-29360628F845}"/>
    <hyperlink ref="C1220" r:id="rId2240" display="https://finance.yahoo.com/quote/AAPL/options/?straddle=false&amp;strike=200&amp;type=all" xr:uid="{FFD876A4-03E0-4AD2-90C4-0E4604EB24FD}"/>
    <hyperlink ref="A1221" r:id="rId2241" display="https://finance.yahoo.com/quote/AAPL260918C00205000/" xr:uid="{96E8D2D0-AAE4-4460-8682-174CF7F998A2}"/>
    <hyperlink ref="C1221" r:id="rId2242" display="https://finance.yahoo.com/quote/AAPL/options/?straddle=false&amp;strike=205&amp;type=all" xr:uid="{8B9B2D6D-A2C7-40F0-9B5C-D5931A727E04}"/>
    <hyperlink ref="A1222" r:id="rId2243" display="https://finance.yahoo.com/quote/AAPL260918C00210000/" xr:uid="{43AAAF07-8F54-4D8A-BCA1-2544299C3A05}"/>
    <hyperlink ref="C1222" r:id="rId2244" display="https://finance.yahoo.com/quote/AAPL/options/?straddle=false&amp;strike=210&amp;type=all" xr:uid="{00ACD4F6-8DF8-46FB-AC43-CC0D37040F15}"/>
    <hyperlink ref="A1223" r:id="rId2245" display="https://finance.yahoo.com/quote/AAPL260918C00215000/" xr:uid="{F5FF600E-3031-4C7E-BB31-C7DBBB66F7B8}"/>
    <hyperlink ref="C1223" r:id="rId2246" display="https://finance.yahoo.com/quote/AAPL/options/?straddle=false&amp;strike=215&amp;type=all" xr:uid="{5EE2AC35-E750-444C-B502-AAFE366F6D3C}"/>
    <hyperlink ref="A1224" r:id="rId2247" display="https://finance.yahoo.com/quote/AAPL260918C00220000/" xr:uid="{45D1C4EE-BF2F-4AA2-AB8E-FF22FF176A08}"/>
    <hyperlink ref="C1224" r:id="rId2248" display="https://finance.yahoo.com/quote/AAPL/options/?straddle=false&amp;strike=220&amp;type=all" xr:uid="{1A448C9B-EEAA-43D8-B723-C827933C5188}"/>
    <hyperlink ref="A1225" r:id="rId2249" display="https://finance.yahoo.com/quote/AAPL260918C00225000/" xr:uid="{3AE38507-6289-484C-A5CD-271BB299D1B0}"/>
    <hyperlink ref="C1225" r:id="rId2250" display="https://finance.yahoo.com/quote/AAPL/options/?straddle=false&amp;strike=225&amp;type=all" xr:uid="{716BF852-0D20-485C-9C5D-CD845C0F4A76}"/>
    <hyperlink ref="A1226" r:id="rId2251" display="https://finance.yahoo.com/quote/AAPL260918C00230000/" xr:uid="{43B97587-C05A-4A92-AFDC-6969EDE72376}"/>
    <hyperlink ref="C1226" r:id="rId2252" display="https://finance.yahoo.com/quote/AAPL/options/?straddle=false&amp;strike=230&amp;type=all" xr:uid="{25C37803-ADAD-48A7-B56B-053617B19639}"/>
    <hyperlink ref="A1227" r:id="rId2253" display="https://finance.yahoo.com/quote/AAPL260918C00235000/" xr:uid="{97C71ED3-AA88-46B4-B86F-C078141068DC}"/>
    <hyperlink ref="C1227" r:id="rId2254" display="https://finance.yahoo.com/quote/AAPL/options/?straddle=false&amp;strike=235&amp;type=all" xr:uid="{969BADA2-92CF-4147-A073-EED1EBC083C5}"/>
    <hyperlink ref="A1228" r:id="rId2255" display="https://finance.yahoo.com/quote/AAPL260918C00240000/" xr:uid="{F7AC26C7-E80F-42C8-805C-CFE60418EEF1}"/>
    <hyperlink ref="C1228" r:id="rId2256" display="https://finance.yahoo.com/quote/AAPL/options/?straddle=false&amp;strike=240&amp;type=all" xr:uid="{E0BF3334-B15D-4F97-AA9D-92A701E5C8BE}"/>
    <hyperlink ref="A1229" r:id="rId2257" display="https://finance.yahoo.com/quote/AAPL260918C00245000/" xr:uid="{71CD324C-D6AF-47F3-8A6A-CD61C050766C}"/>
    <hyperlink ref="C1229" r:id="rId2258" display="https://finance.yahoo.com/quote/AAPL/options/?straddle=false&amp;strike=245&amp;type=all" xr:uid="{2CBF5DA6-AF86-4E99-AFB9-B906B24E5406}"/>
    <hyperlink ref="A1230" r:id="rId2259" display="https://finance.yahoo.com/quote/AAPL260918C00250000/" xr:uid="{60FFE316-9114-4E98-AE3A-DB35F017C06A}"/>
    <hyperlink ref="C1230" r:id="rId2260" display="https://finance.yahoo.com/quote/AAPL/options/?straddle=false&amp;strike=250&amp;type=all" xr:uid="{35AAE8B0-D8CC-407F-AFC4-122B91CA7826}"/>
    <hyperlink ref="A1231" r:id="rId2261" display="https://finance.yahoo.com/quote/AAPL260918C00255000/" xr:uid="{C18E1A4A-84E6-42C3-A050-F22E8D7E83E8}"/>
    <hyperlink ref="C1231" r:id="rId2262" display="https://finance.yahoo.com/quote/AAPL/options/?straddle=false&amp;strike=255&amp;type=all" xr:uid="{5D218570-A12C-4292-ADD7-1E014DD0D4B7}"/>
    <hyperlink ref="A1232" r:id="rId2263" display="https://finance.yahoo.com/quote/AAPL260918C00260000/" xr:uid="{C7E3C566-D608-43CF-84B0-82C8ACDD11A6}"/>
    <hyperlink ref="C1232" r:id="rId2264" display="https://finance.yahoo.com/quote/AAPL/options/?straddle=false&amp;strike=260&amp;type=all" xr:uid="{6FE3B337-793B-4124-9A95-19A918ADCDE8}"/>
    <hyperlink ref="A1233" r:id="rId2265" display="https://finance.yahoo.com/quote/AAPL260918C00265000/" xr:uid="{E589E18B-4632-466F-BA73-059DC177FBCE}"/>
    <hyperlink ref="C1233" r:id="rId2266" display="https://finance.yahoo.com/quote/AAPL/options/?straddle=false&amp;strike=265&amp;type=all" xr:uid="{DAD14AF6-7B07-4087-8C8E-839BE6E3BDCD}"/>
    <hyperlink ref="A1234" r:id="rId2267" display="https://finance.yahoo.com/quote/AAPL260918C00270000/" xr:uid="{3A2E6BEE-6C04-4B17-B16C-D42404564F2D}"/>
    <hyperlink ref="C1234" r:id="rId2268" display="https://finance.yahoo.com/quote/AAPL/options/?straddle=false&amp;strike=270&amp;type=all" xr:uid="{EB4581B8-4317-45A2-84DF-1D0D6D0E1686}"/>
    <hyperlink ref="A1235" r:id="rId2269" display="https://finance.yahoo.com/quote/AAPL260918C00275000/" xr:uid="{1EE00F78-A2C5-4792-8B79-C88A92BE5E00}"/>
    <hyperlink ref="C1235" r:id="rId2270" display="https://finance.yahoo.com/quote/AAPL/options/?straddle=false&amp;strike=275&amp;type=all" xr:uid="{413654D1-2E89-44C7-816D-D5DDE2203005}"/>
    <hyperlink ref="A1236" r:id="rId2271" display="https://finance.yahoo.com/quote/AAPL260918C00280000/" xr:uid="{7F34D8C3-F1F4-4906-AF2C-4475F0AF6128}"/>
    <hyperlink ref="C1236" r:id="rId2272" display="https://finance.yahoo.com/quote/AAPL/options/?straddle=false&amp;strike=280&amp;type=all" xr:uid="{5DE13E08-0AA5-4FF3-8BCC-F803D128925A}"/>
    <hyperlink ref="A1237" r:id="rId2273" display="https://finance.yahoo.com/quote/AAPL260918C00285000/" xr:uid="{F0A6BC20-AF4F-4E8E-B908-471F8A1F97ED}"/>
    <hyperlink ref="C1237" r:id="rId2274" display="https://finance.yahoo.com/quote/AAPL/options/?straddle=false&amp;strike=285&amp;type=all" xr:uid="{9D080112-8C11-4C67-9552-DBF3E979E462}"/>
    <hyperlink ref="A1238" r:id="rId2275" display="https://finance.yahoo.com/quote/AAPL260918C00290000/" xr:uid="{C82DF9C0-DD6A-46EA-B182-94245BBD7060}"/>
    <hyperlink ref="C1238" r:id="rId2276" display="https://finance.yahoo.com/quote/AAPL/options/?straddle=false&amp;strike=290&amp;type=all" xr:uid="{9A25AEE1-7F86-415F-86CA-D20D7AA15977}"/>
    <hyperlink ref="A1239" r:id="rId2277" display="https://finance.yahoo.com/quote/AAPL260918C00295000/" xr:uid="{E128846F-56A5-4ECB-8051-3F9C81E60C3E}"/>
    <hyperlink ref="C1239" r:id="rId2278" display="https://finance.yahoo.com/quote/AAPL/options/?straddle=false&amp;strike=295&amp;type=all" xr:uid="{0AEDD0C5-13D3-42AC-BE70-099B271CE16A}"/>
    <hyperlink ref="A1240" r:id="rId2279" display="https://finance.yahoo.com/quote/AAPL260918C00300000/" xr:uid="{34D4E5B4-6DAA-4C55-8337-23ABD63D75D3}"/>
    <hyperlink ref="C1240" r:id="rId2280" display="https://finance.yahoo.com/quote/AAPL/options/?straddle=false&amp;strike=300&amp;type=all" xr:uid="{4440E0A1-BB4C-495C-978B-CA75E844A6DC}"/>
    <hyperlink ref="A1241" r:id="rId2281" display="https://finance.yahoo.com/quote/AAPL260918C00310000/" xr:uid="{4696EEDE-364F-4271-807B-1D8D32134021}"/>
    <hyperlink ref="C1241" r:id="rId2282" display="https://finance.yahoo.com/quote/AAPL/options/?straddle=false&amp;strike=310&amp;type=all" xr:uid="{D70BAC19-8BEF-4536-B55F-864D487503EC}"/>
    <hyperlink ref="A1242" r:id="rId2283" display="https://finance.yahoo.com/quote/AAPL260918C00320000/" xr:uid="{0A8E8325-442D-4431-A66F-0AF9A3CB5101}"/>
    <hyperlink ref="C1242" r:id="rId2284" display="https://finance.yahoo.com/quote/AAPL/options/?straddle=false&amp;strike=320&amp;type=all" xr:uid="{64D59B40-05D5-4263-BDAB-991AC1A25F26}"/>
    <hyperlink ref="A1243" r:id="rId2285" display="https://finance.yahoo.com/quote/AAPL260918C00330000/" xr:uid="{E8909859-B244-4CF3-AB6D-2414850CBFF1}"/>
    <hyperlink ref="C1243" r:id="rId2286" display="https://finance.yahoo.com/quote/AAPL/options/?straddle=false&amp;strike=330&amp;type=all" xr:uid="{78EDC809-F5CB-43C3-8BBE-F70FF74B9B35}"/>
    <hyperlink ref="A1244" r:id="rId2287" display="https://finance.yahoo.com/quote/AAPL260918C00340000/" xr:uid="{6ADF9D3C-F82F-4E33-A822-64BC9A92B68C}"/>
    <hyperlink ref="C1244" r:id="rId2288" display="https://finance.yahoo.com/quote/AAPL/options/?straddle=false&amp;strike=340&amp;type=all" xr:uid="{15D0FAC9-BBCE-46FF-9FD8-A48553F8C4B0}"/>
    <hyperlink ref="A1245" r:id="rId2289" display="https://finance.yahoo.com/quote/AAPL260918C00350000/" xr:uid="{B4355827-430A-4F9E-BF45-6C1AADA36BC0}"/>
    <hyperlink ref="C1245" r:id="rId2290" display="https://finance.yahoo.com/quote/AAPL/options/?straddle=false&amp;strike=350&amp;type=all" xr:uid="{7CBC3439-6406-4679-809F-5678A943B491}"/>
    <hyperlink ref="A1246" r:id="rId2291" display="https://finance.yahoo.com/quote/AAPL260918C00360000/" xr:uid="{6BCC11F9-CBEE-4FDE-9A5C-EDCB184D5FEC}"/>
    <hyperlink ref="C1246" r:id="rId2292" display="https://finance.yahoo.com/quote/AAPL/options/?straddle=false&amp;strike=360&amp;type=all" xr:uid="{A017ADF3-C082-42CD-BE05-B739BEB462D8}"/>
    <hyperlink ref="A1247" r:id="rId2293" display="https://finance.yahoo.com/quote/AAPL260918C00370000/" xr:uid="{06309EBA-A44C-49D5-BF56-23D31D80597F}"/>
    <hyperlink ref="C1247" r:id="rId2294" display="https://finance.yahoo.com/quote/AAPL/options/?straddle=false&amp;strike=370&amp;type=all" xr:uid="{E48FD40A-474F-43A3-8CCF-1062E26C8B4E}"/>
    <hyperlink ref="A1248" r:id="rId2295" display="https://finance.yahoo.com/quote/AAPL260918C00380000/" xr:uid="{04C1B63C-674E-4FCE-BA2B-5D515283539D}"/>
    <hyperlink ref="C1248" r:id="rId2296" display="https://finance.yahoo.com/quote/AAPL/options/?straddle=false&amp;strike=380&amp;type=all" xr:uid="{6D757F55-DE13-4725-942E-39D7C5D8DB81}"/>
    <hyperlink ref="A1249" r:id="rId2297" display="https://finance.yahoo.com/quote/AAPL260918C00390000/" xr:uid="{2012694E-D084-4790-A11E-B4A550136F88}"/>
    <hyperlink ref="C1249" r:id="rId2298" display="https://finance.yahoo.com/quote/AAPL/options/?straddle=false&amp;strike=390&amp;type=all" xr:uid="{6E123A4C-1608-4D3E-BA0A-6443F44DF666}"/>
    <hyperlink ref="A1250" r:id="rId2299" display="https://finance.yahoo.com/quote/AAPL260918C00400000/" xr:uid="{CEECE23C-6DE8-42B0-A935-F304769FA9C9}"/>
    <hyperlink ref="C1250" r:id="rId2300" display="https://finance.yahoo.com/quote/AAPL/options/?straddle=false&amp;strike=400&amp;type=all" xr:uid="{88B53516-A211-4888-90A3-D22A574C2525}"/>
    <hyperlink ref="A1251" r:id="rId2301" display="https://finance.yahoo.com/quote/AAPL260918P00050000/" xr:uid="{07168E4D-68B7-408C-9B7A-AA0E25A0D705}"/>
    <hyperlink ref="C1251" r:id="rId2302" display="https://finance.yahoo.com/quote/AAPL/options/?straddle=false&amp;strike=50&amp;type=all" xr:uid="{22EBE58E-D4BE-4B4C-BE77-CE3C69C07CC6}"/>
    <hyperlink ref="A1252" r:id="rId2303" display="https://finance.yahoo.com/quote/AAPL260918P00055000/" xr:uid="{7D2B1072-10ED-4636-A704-3686B5AAC0EB}"/>
    <hyperlink ref="C1252" r:id="rId2304" display="https://finance.yahoo.com/quote/AAPL/options/?straddle=false&amp;strike=55&amp;type=all" xr:uid="{89805B6C-9889-40DB-953C-B60F61AD1AD5}"/>
    <hyperlink ref="A1253" r:id="rId2305" display="https://finance.yahoo.com/quote/AAPL260918P00060000/" xr:uid="{0FB7B843-2CA8-4CD4-8270-7F5F4E130C2D}"/>
    <hyperlink ref="C1253" r:id="rId2306" display="https://finance.yahoo.com/quote/AAPL/options/?straddle=false&amp;strike=60&amp;type=all" xr:uid="{A8559285-565A-4B25-A925-CBD2DB60F0B2}"/>
    <hyperlink ref="A1254" r:id="rId2307" display="https://finance.yahoo.com/quote/AAPL260918P00065000/" xr:uid="{E086ABF5-4CBC-4045-8575-85EE14EBA287}"/>
    <hyperlink ref="C1254" r:id="rId2308" display="https://finance.yahoo.com/quote/AAPL/options/?straddle=false&amp;strike=65&amp;type=all" xr:uid="{119DCCAE-4A1A-4103-9FAA-922998F2ED2F}"/>
    <hyperlink ref="A1255" r:id="rId2309" display="https://finance.yahoo.com/quote/AAPL260918P00070000/" xr:uid="{5679055F-A28C-4098-A83A-F91266F7E5DA}"/>
    <hyperlink ref="C1255" r:id="rId2310" display="https://finance.yahoo.com/quote/AAPL/options/?straddle=false&amp;strike=70&amp;type=all" xr:uid="{9DB26547-D177-4707-B0CA-ACAF14B2B056}"/>
    <hyperlink ref="A1256" r:id="rId2311" display="https://finance.yahoo.com/quote/AAPL260918P00075000/" xr:uid="{E08FCF9A-36F7-4B03-90A8-07C57F2170ED}"/>
    <hyperlink ref="C1256" r:id="rId2312" display="https://finance.yahoo.com/quote/AAPL/options/?straddle=false&amp;strike=75&amp;type=all" xr:uid="{6417D51B-85C4-498C-A37D-4BC24EDF52D6}"/>
    <hyperlink ref="A1257" r:id="rId2313" display="https://finance.yahoo.com/quote/AAPL260918P00080000/" xr:uid="{C6CA4ED5-0AD2-4ADD-B15E-398A3CCBABD6}"/>
    <hyperlink ref="C1257" r:id="rId2314" display="https://finance.yahoo.com/quote/AAPL/options/?straddle=false&amp;strike=80&amp;type=all" xr:uid="{CB2225D5-F434-4E5B-8960-B648C95EC0C9}"/>
    <hyperlink ref="A1258" r:id="rId2315" display="https://finance.yahoo.com/quote/AAPL260918P00085000/" xr:uid="{51ACA34D-DF7A-4918-BF44-E3744E0C2912}"/>
    <hyperlink ref="C1258" r:id="rId2316" display="https://finance.yahoo.com/quote/AAPL/options/?straddle=false&amp;strike=85&amp;type=all" xr:uid="{BD5AC044-AD80-460E-8378-8E4F394E5173}"/>
    <hyperlink ref="A1259" r:id="rId2317" display="https://finance.yahoo.com/quote/AAPL260918P00090000/" xr:uid="{D3155422-1629-465E-8F12-2770569FC7E4}"/>
    <hyperlink ref="C1259" r:id="rId2318" display="https://finance.yahoo.com/quote/AAPL/options/?straddle=false&amp;strike=90&amp;type=all" xr:uid="{5ACC0276-5295-41D2-AA5B-F5CC50002FE0}"/>
    <hyperlink ref="A1260" r:id="rId2319" display="https://finance.yahoo.com/quote/AAPL260918P00095000/" xr:uid="{E06BD04A-8B15-4136-A11B-BE131CEC095A}"/>
    <hyperlink ref="C1260" r:id="rId2320" display="https://finance.yahoo.com/quote/AAPL/options/?straddle=false&amp;strike=95&amp;type=all" xr:uid="{1DC913BE-72BC-406C-97AB-10C57F939B91}"/>
    <hyperlink ref="A1261" r:id="rId2321" display="https://finance.yahoo.com/quote/AAPL260918P00100000/" xr:uid="{0790E0BF-462E-472A-86CC-50A005FA8CBD}"/>
    <hyperlink ref="C1261" r:id="rId2322" display="https://finance.yahoo.com/quote/AAPL/options/?straddle=false&amp;strike=100&amp;type=all" xr:uid="{7FB7BCBF-D82E-4E7F-A364-7A1DA9CA5EC7}"/>
    <hyperlink ref="A1262" r:id="rId2323" display="https://finance.yahoo.com/quote/AAPL260918P00105000/" xr:uid="{D44C3799-6DFE-44B5-9061-6B72EC8BFB69}"/>
    <hyperlink ref="C1262" r:id="rId2324" display="https://finance.yahoo.com/quote/AAPL/options/?straddle=false&amp;strike=105&amp;type=all" xr:uid="{E3445BE2-DDFE-40BD-817F-45B60FF40ED0}"/>
    <hyperlink ref="A1263" r:id="rId2325" display="https://finance.yahoo.com/quote/AAPL260918P00110000/" xr:uid="{0FB30E41-AE43-4C69-A187-B2BE1499EE3D}"/>
    <hyperlink ref="C1263" r:id="rId2326" display="https://finance.yahoo.com/quote/AAPL/options/?straddle=false&amp;strike=110&amp;type=all" xr:uid="{0D4B9AA0-313B-4FB1-9207-B960A1049576}"/>
    <hyperlink ref="A1264" r:id="rId2327" display="https://finance.yahoo.com/quote/AAPL260918P00115000/" xr:uid="{44307492-A41E-4650-8CFB-880CA943E620}"/>
    <hyperlink ref="C1264" r:id="rId2328" display="https://finance.yahoo.com/quote/AAPL/options/?straddle=false&amp;strike=115&amp;type=all" xr:uid="{37E3B0AE-900C-4E16-B17D-229525ECEBC4}"/>
    <hyperlink ref="A1265" r:id="rId2329" display="https://finance.yahoo.com/quote/AAPL260918P00120000/" xr:uid="{EF43AB7F-4612-4BAC-B1E4-2EBE4FBBE5FE}"/>
    <hyperlink ref="C1265" r:id="rId2330" display="https://finance.yahoo.com/quote/AAPL/options/?straddle=false&amp;strike=120&amp;type=all" xr:uid="{EABCB1E4-A2F8-49A3-BEFD-05D8D69C3D02}"/>
    <hyperlink ref="A1266" r:id="rId2331" display="https://finance.yahoo.com/quote/AAPL260918P00125000/" xr:uid="{845688DD-9F1E-4300-93F0-677152C6981E}"/>
    <hyperlink ref="C1266" r:id="rId2332" display="https://finance.yahoo.com/quote/AAPL/options/?straddle=false&amp;strike=125&amp;type=all" xr:uid="{2EE6FCB3-DB78-42D6-B25F-4336AB37957C}"/>
    <hyperlink ref="A1267" r:id="rId2333" display="https://finance.yahoo.com/quote/AAPL260918P00130000/" xr:uid="{46D94D9B-C32F-4CA5-B402-528D5324F44F}"/>
    <hyperlink ref="C1267" r:id="rId2334" display="https://finance.yahoo.com/quote/AAPL/options/?straddle=false&amp;strike=130&amp;type=all" xr:uid="{3FCF474B-3C07-406F-8FB9-0D49557ED067}"/>
    <hyperlink ref="A1268" r:id="rId2335" display="https://finance.yahoo.com/quote/AAPL260918P00135000/" xr:uid="{D2854B38-887C-4725-AADD-E0CC5B812EC4}"/>
    <hyperlink ref="C1268" r:id="rId2336" display="https://finance.yahoo.com/quote/AAPL/options/?straddle=false&amp;strike=135&amp;type=all" xr:uid="{472CB1BC-83BF-4161-95FA-CA986B55FB3D}"/>
    <hyperlink ref="A1269" r:id="rId2337" display="https://finance.yahoo.com/quote/AAPL260918P00140000/" xr:uid="{71FAB1D6-6E7C-4DAA-B768-D33DBE6EDB96}"/>
    <hyperlink ref="C1269" r:id="rId2338" display="https://finance.yahoo.com/quote/AAPL/options/?straddle=false&amp;strike=140&amp;type=all" xr:uid="{A2024BF3-A59A-41F7-804D-382C19E45F4F}"/>
    <hyperlink ref="A1270" r:id="rId2339" display="https://finance.yahoo.com/quote/AAPL260918P00145000/" xr:uid="{C43D4006-83B6-40FA-916C-2C44274F5666}"/>
    <hyperlink ref="C1270" r:id="rId2340" display="https://finance.yahoo.com/quote/AAPL/options/?straddle=false&amp;strike=145&amp;type=all" xr:uid="{58DECD4A-28A6-416E-BBFA-A371C5B22E87}"/>
    <hyperlink ref="A1271" r:id="rId2341" display="https://finance.yahoo.com/quote/AAPL260918P00150000/" xr:uid="{B3CE8EF5-7B56-47F7-BC63-3D10D92039D3}"/>
    <hyperlink ref="C1271" r:id="rId2342" display="https://finance.yahoo.com/quote/AAPL/options/?straddle=false&amp;strike=150&amp;type=all" xr:uid="{21439159-431B-4117-A5F2-02CF6BB75EFE}"/>
    <hyperlink ref="A1272" r:id="rId2343" display="https://finance.yahoo.com/quote/AAPL260918P00155000/" xr:uid="{1C581053-93CB-400F-A60E-D69766581BD0}"/>
    <hyperlink ref="C1272" r:id="rId2344" display="https://finance.yahoo.com/quote/AAPL/options/?straddle=false&amp;strike=155&amp;type=all" xr:uid="{47B0E944-ECBF-438F-B2AF-EC289F3B6D61}"/>
    <hyperlink ref="A1273" r:id="rId2345" display="https://finance.yahoo.com/quote/AAPL260918P00160000/" xr:uid="{D9687688-5DB4-41F0-8FD4-4C18A64DABB9}"/>
    <hyperlink ref="C1273" r:id="rId2346" display="https://finance.yahoo.com/quote/AAPL/options/?straddle=false&amp;strike=160&amp;type=all" xr:uid="{69AD3646-8225-483C-9E28-872BB148311F}"/>
    <hyperlink ref="A1274" r:id="rId2347" display="https://finance.yahoo.com/quote/AAPL260918P00165000/" xr:uid="{BD763497-321E-464A-BE06-CA9C1092C1CA}"/>
    <hyperlink ref="C1274" r:id="rId2348" display="https://finance.yahoo.com/quote/AAPL/options/?straddle=false&amp;strike=165&amp;type=all" xr:uid="{552C64F4-8A23-4CE7-BFC3-B22488515C47}"/>
    <hyperlink ref="A1275" r:id="rId2349" display="https://finance.yahoo.com/quote/AAPL260918P00170000/" xr:uid="{05CA431C-BBC3-4686-A075-0F96C18219EB}"/>
    <hyperlink ref="C1275" r:id="rId2350" display="https://finance.yahoo.com/quote/AAPL/options/?straddle=false&amp;strike=170&amp;type=all" xr:uid="{E646F6D5-B6DE-4D69-8497-7141E6377AE0}"/>
    <hyperlink ref="A1276" r:id="rId2351" display="https://finance.yahoo.com/quote/AAPL260918P00175000/" xr:uid="{37857BF3-AE9C-4F82-9079-A60689C38148}"/>
    <hyperlink ref="C1276" r:id="rId2352" display="https://finance.yahoo.com/quote/AAPL/options/?straddle=false&amp;strike=175&amp;type=all" xr:uid="{000D06BB-C8BA-4C39-ACE0-7BB150D64A0C}"/>
    <hyperlink ref="A1277" r:id="rId2353" display="https://finance.yahoo.com/quote/AAPL260918P00180000/" xr:uid="{1C3659C4-6D03-4C60-BDB9-478BA8B21BB7}"/>
    <hyperlink ref="C1277" r:id="rId2354" display="https://finance.yahoo.com/quote/AAPL/options/?straddle=false&amp;strike=180&amp;type=all" xr:uid="{981E0C4C-1D60-4DE8-94C4-E033A4E88C4F}"/>
    <hyperlink ref="A1278" r:id="rId2355" display="https://finance.yahoo.com/quote/AAPL260918P00185000/" xr:uid="{86D2237B-2F1D-4F38-8BB6-48AFC3846CAE}"/>
    <hyperlink ref="C1278" r:id="rId2356" display="https://finance.yahoo.com/quote/AAPL/options/?straddle=false&amp;strike=185&amp;type=all" xr:uid="{57443075-415A-4813-8FB4-2409E2E2829C}"/>
    <hyperlink ref="A1279" r:id="rId2357" display="https://finance.yahoo.com/quote/AAPL260918P00190000/" xr:uid="{F16C3944-EFE7-4DB4-B8ED-D1F27CFD169F}"/>
    <hyperlink ref="C1279" r:id="rId2358" display="https://finance.yahoo.com/quote/AAPL/options/?straddle=false&amp;strike=190&amp;type=all" xr:uid="{276F4EBB-B923-47EB-A967-06E1F538DB3A}"/>
    <hyperlink ref="A1280" r:id="rId2359" display="https://finance.yahoo.com/quote/AAPL260918P00195000/" xr:uid="{E0FA54AE-DE51-41EC-A797-7D378FB7E5B1}"/>
    <hyperlink ref="C1280" r:id="rId2360" display="https://finance.yahoo.com/quote/AAPL/options/?straddle=false&amp;strike=195&amp;type=all" xr:uid="{A97BE645-5B35-4DA1-A2EF-BEDC2A53C905}"/>
    <hyperlink ref="A1281" r:id="rId2361" display="https://finance.yahoo.com/quote/AAPL260918P00200000/" xr:uid="{10392BC1-E839-46F3-96F5-8A8EDAEBEF1C}"/>
    <hyperlink ref="C1281" r:id="rId2362" display="https://finance.yahoo.com/quote/AAPL/options/?straddle=false&amp;strike=200&amp;type=all" xr:uid="{B4DD5FAC-7CA2-4116-9EF8-DEFD8102DAF2}"/>
    <hyperlink ref="A1282" r:id="rId2363" display="https://finance.yahoo.com/quote/AAPL260918P00205000/" xr:uid="{83C0F560-BD6E-46A9-83D2-F4E9F27A54E4}"/>
    <hyperlink ref="C1282" r:id="rId2364" display="https://finance.yahoo.com/quote/AAPL/options/?straddle=false&amp;strike=205&amp;type=all" xr:uid="{275A16B2-4B0C-4C1B-A20B-2034823666BB}"/>
    <hyperlink ref="A1283" r:id="rId2365" display="https://finance.yahoo.com/quote/AAPL260918P00210000/" xr:uid="{B08962E6-EA3B-4DF3-A19B-C5A454B6D14C}"/>
    <hyperlink ref="C1283" r:id="rId2366" display="https://finance.yahoo.com/quote/AAPL/options/?straddle=false&amp;strike=210&amp;type=all" xr:uid="{A22FCE66-ADA5-4725-AEE5-AEDC3B981214}"/>
    <hyperlink ref="A1284" r:id="rId2367" display="https://finance.yahoo.com/quote/AAPL260918P00215000/" xr:uid="{4529BB66-A47C-47D1-AA9B-34F2BBCC8D51}"/>
    <hyperlink ref="C1284" r:id="rId2368" display="https://finance.yahoo.com/quote/AAPL/options/?straddle=false&amp;strike=215&amp;type=all" xr:uid="{627B621C-CF39-40EC-B8C8-DD73B8B0EF48}"/>
    <hyperlink ref="A1285" r:id="rId2369" display="https://finance.yahoo.com/quote/AAPL260918P00220000/" xr:uid="{19E090A6-EAB4-4E55-9FF1-9AEB75565D7B}"/>
    <hyperlink ref="C1285" r:id="rId2370" display="https://finance.yahoo.com/quote/AAPL/options/?straddle=false&amp;strike=220&amp;type=all" xr:uid="{30347C2D-424D-45AC-B15D-471B11D51235}"/>
    <hyperlink ref="A1286" r:id="rId2371" display="https://finance.yahoo.com/quote/AAPL260918P00225000/" xr:uid="{F8D0744C-0DFD-4C97-9F2B-BDEDD14B5489}"/>
    <hyperlink ref="C1286" r:id="rId2372" display="https://finance.yahoo.com/quote/AAPL/options/?straddle=false&amp;strike=225&amp;type=all" xr:uid="{E090E78F-F56B-4A66-8A49-97027E458E97}"/>
    <hyperlink ref="A1287" r:id="rId2373" display="https://finance.yahoo.com/quote/AAPL260918P00230000/" xr:uid="{DF220B81-559A-46FF-8F2F-EC606038AEFC}"/>
    <hyperlink ref="C1287" r:id="rId2374" display="https://finance.yahoo.com/quote/AAPL/options/?straddle=false&amp;strike=230&amp;type=all" xr:uid="{BC40D312-6B3A-4F02-8A5D-F6FC329C0572}"/>
    <hyperlink ref="A1288" r:id="rId2375" display="https://finance.yahoo.com/quote/AAPL260918P00235000/" xr:uid="{47593C14-0926-4B32-A54F-B29BC7AC4299}"/>
    <hyperlink ref="C1288" r:id="rId2376" display="https://finance.yahoo.com/quote/AAPL/options/?straddle=false&amp;strike=235&amp;type=all" xr:uid="{D64A2D7A-3136-4453-A547-B8833B691B05}"/>
    <hyperlink ref="A1289" r:id="rId2377" display="https://finance.yahoo.com/quote/AAPL260918P00240000/" xr:uid="{621934EF-290E-43EE-99F9-EAE997F97331}"/>
    <hyperlink ref="C1289" r:id="rId2378" display="https://finance.yahoo.com/quote/AAPL/options/?straddle=false&amp;strike=240&amp;type=all" xr:uid="{12297493-B351-4603-9BFA-A16A405C3815}"/>
    <hyperlink ref="A1290" r:id="rId2379" display="https://finance.yahoo.com/quote/AAPL260918P00245000/" xr:uid="{457BB5E3-90B5-405F-98FB-FF962995A00F}"/>
    <hyperlink ref="C1290" r:id="rId2380" display="https://finance.yahoo.com/quote/AAPL/options/?straddle=false&amp;strike=245&amp;type=all" xr:uid="{C22ADD81-5803-4573-B091-AD7B592A45E3}"/>
    <hyperlink ref="A1291" r:id="rId2381" display="https://finance.yahoo.com/quote/AAPL260918P00250000/" xr:uid="{EA022840-66FD-4B14-92A3-0A8C8EB12AF3}"/>
    <hyperlink ref="C1291" r:id="rId2382" display="https://finance.yahoo.com/quote/AAPL/options/?straddle=false&amp;strike=250&amp;type=all" xr:uid="{F86AAA3B-7246-41C8-8214-45E1DCB6AB9C}"/>
    <hyperlink ref="A1292" r:id="rId2383" display="https://finance.yahoo.com/quote/AAPL260918P00255000/" xr:uid="{1F612ABD-6581-459C-8DE0-D5ED9B6148BF}"/>
    <hyperlink ref="C1292" r:id="rId2384" display="https://finance.yahoo.com/quote/AAPL/options/?straddle=false&amp;strike=255&amp;type=all" xr:uid="{8887AF3A-380F-47DF-BD5D-857A548E9BA3}"/>
    <hyperlink ref="A1293" r:id="rId2385" display="https://finance.yahoo.com/quote/AAPL260918P00260000/" xr:uid="{C9C40D46-2BD8-4433-AADA-21E6D3866150}"/>
    <hyperlink ref="C1293" r:id="rId2386" display="https://finance.yahoo.com/quote/AAPL/options/?straddle=false&amp;strike=260&amp;type=all" xr:uid="{C886D4AF-F99F-4D2C-9E7A-0E3DF57EB8F9}"/>
    <hyperlink ref="A1294" r:id="rId2387" display="https://finance.yahoo.com/quote/AAPL260918P00265000/" xr:uid="{658E7569-9030-47B0-8849-FDB66D98B968}"/>
    <hyperlink ref="C1294" r:id="rId2388" display="https://finance.yahoo.com/quote/AAPL/options/?straddle=false&amp;strike=265&amp;type=all" xr:uid="{8EC7DEB2-0CBC-4CF6-9919-3A7471046F0B}"/>
    <hyperlink ref="A1295" r:id="rId2389" display="https://finance.yahoo.com/quote/AAPL260918P00270000/" xr:uid="{C6790E6F-7D58-46A5-85E1-0EEBE20F0E9C}"/>
    <hyperlink ref="C1295" r:id="rId2390" display="https://finance.yahoo.com/quote/AAPL/options/?straddle=false&amp;strike=270&amp;type=all" xr:uid="{27662C56-3D60-4309-BF28-C5E488E24D57}"/>
    <hyperlink ref="A1296" r:id="rId2391" display="https://finance.yahoo.com/quote/AAPL260918P00275000/" xr:uid="{4E2D7F22-F073-4536-9A72-355569546715}"/>
    <hyperlink ref="C1296" r:id="rId2392" display="https://finance.yahoo.com/quote/AAPL/options/?straddle=false&amp;strike=275&amp;type=all" xr:uid="{C439CBDE-0A8F-4DBD-96E5-7A6BC0A4C10B}"/>
    <hyperlink ref="A1297" r:id="rId2393" display="https://finance.yahoo.com/quote/AAPL260918P00280000/" xr:uid="{3F851C67-8A45-480B-AE65-807D96F9C7F0}"/>
    <hyperlink ref="C1297" r:id="rId2394" display="https://finance.yahoo.com/quote/AAPL/options/?straddle=false&amp;strike=280&amp;type=all" xr:uid="{290EE4EA-75D9-40AC-A99E-E0AA5ECF85F3}"/>
    <hyperlink ref="A1298" r:id="rId2395" display="https://finance.yahoo.com/quote/AAPL260918P00285000/" xr:uid="{9DC200CC-9453-43CA-8C30-E459E890ECA7}"/>
    <hyperlink ref="C1298" r:id="rId2396" display="https://finance.yahoo.com/quote/AAPL/options/?straddle=false&amp;strike=285&amp;type=all" xr:uid="{2C9320E9-B140-4D0D-87F2-2A264CCCAAD4}"/>
    <hyperlink ref="A1299" r:id="rId2397" display="https://finance.yahoo.com/quote/AAPL260918P00290000/" xr:uid="{D391C8D7-028D-49A7-A459-EC6AD83AD0A3}"/>
    <hyperlink ref="C1299" r:id="rId2398" display="https://finance.yahoo.com/quote/AAPL/options/?straddle=false&amp;strike=290&amp;type=all" xr:uid="{FE93AFF6-7600-4A8B-99F1-A8B0E99A9959}"/>
    <hyperlink ref="A1300" r:id="rId2399" display="https://finance.yahoo.com/quote/AAPL260918P00295000/" xr:uid="{827231FA-FB6E-4717-953F-BD61471D74A6}"/>
    <hyperlink ref="C1300" r:id="rId2400" display="https://finance.yahoo.com/quote/AAPL/options/?straddle=false&amp;strike=295&amp;type=all" xr:uid="{DC8985DD-BE55-450B-B155-4D5F0231F9E4}"/>
    <hyperlink ref="A1301" r:id="rId2401" display="https://finance.yahoo.com/quote/AAPL260918P00300000/" xr:uid="{358B0EDB-ED39-4C70-836D-6AD577E7F442}"/>
    <hyperlink ref="C1301" r:id="rId2402" display="https://finance.yahoo.com/quote/AAPL/options/?straddle=false&amp;strike=300&amp;type=all" xr:uid="{A851A303-3C73-43A7-9076-0A933CDC1F6F}"/>
    <hyperlink ref="A1302" r:id="rId2403" display="https://finance.yahoo.com/quote/AAPL260918P00310000/" xr:uid="{3AF7AEDE-D186-4E1B-B045-A0659AF61552}"/>
    <hyperlink ref="C1302" r:id="rId2404" display="https://finance.yahoo.com/quote/AAPL/options/?straddle=false&amp;strike=310&amp;type=all" xr:uid="{43954D78-C64D-48B3-98B5-B0822BF5D54F}"/>
    <hyperlink ref="A1303" r:id="rId2405" display="https://finance.yahoo.com/quote/AAPL260918P00320000/" xr:uid="{D652FE8C-90FA-4D1F-8B87-335046021864}"/>
    <hyperlink ref="C1303" r:id="rId2406" display="https://finance.yahoo.com/quote/AAPL/options/?straddle=false&amp;strike=320&amp;type=all" xr:uid="{FD1041FD-DFE3-4EE6-BB86-0E7C89D149AA}"/>
    <hyperlink ref="A1304" r:id="rId2407" display="https://finance.yahoo.com/quote/AAPL260918P00350000/" xr:uid="{28C2E00C-AB9D-47F9-93C9-6ADC6AC4D4AD}"/>
    <hyperlink ref="C1304" r:id="rId2408" display="https://finance.yahoo.com/quote/AAPL/options/?straddle=false&amp;strike=350&amp;type=all" xr:uid="{B6137741-D9F1-41F2-B858-A7B8E1200D8A}"/>
    <hyperlink ref="A1305" r:id="rId2409" display="https://finance.yahoo.com/quote/AAPL260918P00360000/" xr:uid="{D523C524-4A60-48FF-B12D-853BECFF1D5D}"/>
    <hyperlink ref="C1305" r:id="rId2410" display="https://finance.yahoo.com/quote/AAPL/options/?straddle=false&amp;strike=360&amp;type=all" xr:uid="{21989CCF-0289-48B7-8DCA-E053A18D0F66}"/>
    <hyperlink ref="A1306" r:id="rId2411" display="https://finance.yahoo.com/quote/AAPL260918P00400000/" xr:uid="{071D874E-9BCD-4595-AB10-65A1024B761E}"/>
    <hyperlink ref="C1306" r:id="rId2412" display="https://finance.yahoo.com/quote/AAPL/options/?straddle=false&amp;strike=400&amp;type=all" xr:uid="{E4E1AD3A-8D41-40F7-9ADB-8B86E30222ED}"/>
    <hyperlink ref="A1307" r:id="rId2413" display="https://finance.yahoo.com/quote/AAPL261218C00005000/" xr:uid="{96297B0C-3BA6-499C-B971-0E0022253100}"/>
    <hyperlink ref="C1307" r:id="rId2414" display="https://finance.yahoo.com/quote/AAPL/options/?straddle=false&amp;strike=5&amp;type=all" xr:uid="{504183AB-1BD3-4766-B8AB-2C5500C929B8}"/>
    <hyperlink ref="A1308" r:id="rId2415" display="https://finance.yahoo.com/quote/AAPL261218C00010000/" xr:uid="{3C25C794-64B1-46F6-9D92-53347A1DC2DD}"/>
    <hyperlink ref="C1308" r:id="rId2416" display="https://finance.yahoo.com/quote/AAPL/options/?straddle=false&amp;strike=10&amp;type=all" xr:uid="{7C505C68-8546-45AA-9309-CBF2854B65E0}"/>
    <hyperlink ref="A1309" r:id="rId2417" display="https://finance.yahoo.com/quote/AAPL261218C00015000/" xr:uid="{C3DE77C6-DD6C-497F-A28D-13550E6AFA43}"/>
    <hyperlink ref="C1309" r:id="rId2418" display="https://finance.yahoo.com/quote/AAPL/options/?straddle=false&amp;strike=15&amp;type=all" xr:uid="{70C1FB4B-A6C3-4416-851E-8A1B7C0165EF}"/>
    <hyperlink ref="A1310" r:id="rId2419" display="https://finance.yahoo.com/quote/AAPL261218C00020000/" xr:uid="{7E15939C-4C80-4C8C-9F85-29922067B141}"/>
    <hyperlink ref="C1310" r:id="rId2420" display="https://finance.yahoo.com/quote/AAPL/options/?straddle=false&amp;strike=20&amp;type=all" xr:uid="{F210D831-3BAE-4E10-A06F-35078B391D86}"/>
    <hyperlink ref="A1311" r:id="rId2421" display="https://finance.yahoo.com/quote/AAPL261218C00025000/" xr:uid="{627EFFE2-3D96-4821-848E-D22B9699CB50}"/>
    <hyperlink ref="C1311" r:id="rId2422" display="https://finance.yahoo.com/quote/AAPL/options/?straddle=false&amp;strike=25&amp;type=all" xr:uid="{FAE31C63-39C5-40FD-964C-E33985640913}"/>
    <hyperlink ref="A1312" r:id="rId2423" display="https://finance.yahoo.com/quote/AAPL261218C00030000/" xr:uid="{38BE2C82-351E-48C9-BD55-49753CFDF214}"/>
    <hyperlink ref="C1312" r:id="rId2424" display="https://finance.yahoo.com/quote/AAPL/options/?straddle=false&amp;strike=30&amp;type=all" xr:uid="{D5381DFC-94B1-4937-A563-BAC2C15FC5F4}"/>
    <hyperlink ref="A1313" r:id="rId2425" display="https://finance.yahoo.com/quote/AAPL261218C00035000/" xr:uid="{195EAF43-6618-47D2-B1E5-D6148BDF6692}"/>
    <hyperlink ref="C1313" r:id="rId2426" display="https://finance.yahoo.com/quote/AAPL/options/?straddle=false&amp;strike=35&amp;type=all" xr:uid="{9833C8CC-3770-4FF7-AB5A-BD105ADDBC92}"/>
    <hyperlink ref="A1314" r:id="rId2427" display="https://finance.yahoo.com/quote/AAPL261218C00040000/" xr:uid="{CF1DB687-E122-4D37-8ECB-3F565086AB67}"/>
    <hyperlink ref="C1314" r:id="rId2428" display="https://finance.yahoo.com/quote/AAPL/options/?straddle=false&amp;strike=40&amp;type=all" xr:uid="{E36C98DD-D4A2-48B6-827F-88E335C9C00F}"/>
    <hyperlink ref="A1315" r:id="rId2429" display="https://finance.yahoo.com/quote/AAPL261218C00045000/" xr:uid="{A4E053AC-3771-4D61-BF64-F5F3E69D67CB}"/>
    <hyperlink ref="C1315" r:id="rId2430" display="https://finance.yahoo.com/quote/AAPL/options/?straddle=false&amp;strike=45&amp;type=all" xr:uid="{5F8B787D-2045-4CDB-A2A9-C90475EBD109}"/>
    <hyperlink ref="A1316" r:id="rId2431" display="https://finance.yahoo.com/quote/AAPL261218C00050000/" xr:uid="{99A0E5CD-AD45-4D37-871D-7BC6EBFBC9F6}"/>
    <hyperlink ref="C1316" r:id="rId2432" display="https://finance.yahoo.com/quote/AAPL/options/?straddle=false&amp;strike=50&amp;type=all" xr:uid="{134E8AED-09FB-4C31-8FAE-FB34D3B726DC}"/>
    <hyperlink ref="A1317" r:id="rId2433" display="https://finance.yahoo.com/quote/AAPL261218C00060000/" xr:uid="{5B52D1CC-01C2-423C-ACE6-DD6879C62338}"/>
    <hyperlink ref="C1317" r:id="rId2434" display="https://finance.yahoo.com/quote/AAPL/options/?straddle=false&amp;strike=60&amp;type=all" xr:uid="{4DF262DE-5138-4BEC-869F-F0B3506995C7}"/>
    <hyperlink ref="A1318" r:id="rId2435" display="https://finance.yahoo.com/quote/AAPL261218C00070000/" xr:uid="{4C927611-475B-4AA9-817A-0354AF75E7D4}"/>
    <hyperlink ref="C1318" r:id="rId2436" display="https://finance.yahoo.com/quote/AAPL/options/?straddle=false&amp;strike=70&amp;type=all" xr:uid="{B2452E13-A926-4FAC-B72E-1072C1A58FB4}"/>
    <hyperlink ref="A1319" r:id="rId2437" display="https://finance.yahoo.com/quote/AAPL261218C00080000/" xr:uid="{8CB9D847-91E5-4DFD-B340-5905238E8878}"/>
    <hyperlink ref="C1319" r:id="rId2438" display="https://finance.yahoo.com/quote/AAPL/options/?straddle=false&amp;strike=80&amp;type=all" xr:uid="{85363680-F959-47AD-9CED-EFCE5A46D6ED}"/>
    <hyperlink ref="A1320" r:id="rId2439" display="https://finance.yahoo.com/quote/AAPL261218C00085000/" xr:uid="{20625B37-213D-448D-B7A7-4C2E80663EC4}"/>
    <hyperlink ref="C1320" r:id="rId2440" display="https://finance.yahoo.com/quote/AAPL/options/?straddle=false&amp;strike=85&amp;type=all" xr:uid="{8BD05329-35E1-49DB-9E64-14BAE55DF4E7}"/>
    <hyperlink ref="A1321" r:id="rId2441" display="https://finance.yahoo.com/quote/AAPL261218C00090000/" xr:uid="{ED1D7951-4041-4462-AD20-C39819647AD6}"/>
    <hyperlink ref="C1321" r:id="rId2442" display="https://finance.yahoo.com/quote/AAPL/options/?straddle=false&amp;strike=90&amp;type=all" xr:uid="{7847652B-B126-4FB6-875F-2AC647BEAC10}"/>
    <hyperlink ref="A1322" r:id="rId2443" display="https://finance.yahoo.com/quote/AAPL261218C00095000/" xr:uid="{B4EA7A01-29C4-47AB-BC59-3E69364FB7FC}"/>
    <hyperlink ref="C1322" r:id="rId2444" display="https://finance.yahoo.com/quote/AAPL/options/?straddle=false&amp;strike=95&amp;type=all" xr:uid="{6B9A6A5D-83D7-47F1-A1F6-8E42DA6DEB4A}"/>
    <hyperlink ref="A1323" r:id="rId2445" display="https://finance.yahoo.com/quote/AAPL261218C00100000/" xr:uid="{AC15106A-0626-453E-A433-2170059C293D}"/>
    <hyperlink ref="C1323" r:id="rId2446" display="https://finance.yahoo.com/quote/AAPL/options/?straddle=false&amp;strike=100&amp;type=all" xr:uid="{FE1E60C9-9A90-4A13-8AA1-15B78960B675}"/>
    <hyperlink ref="A1324" r:id="rId2447" display="https://finance.yahoo.com/quote/AAPL261218C00105000/" xr:uid="{9B2CB6A1-EA32-4247-9642-5697D74680A6}"/>
    <hyperlink ref="C1324" r:id="rId2448" display="https://finance.yahoo.com/quote/AAPL/options/?straddle=false&amp;strike=105&amp;type=all" xr:uid="{7633BBA5-36ED-4DFB-A533-56FCAA4BB033}"/>
    <hyperlink ref="A1325" r:id="rId2449" display="https://finance.yahoo.com/quote/AAPL261218C00110000/" xr:uid="{BBDF670E-36B1-4A3F-81AA-EA97018324D0}"/>
    <hyperlink ref="C1325" r:id="rId2450" display="https://finance.yahoo.com/quote/AAPL/options/?straddle=false&amp;strike=110&amp;type=all" xr:uid="{41F9DBE8-20D3-4306-B528-BB8427B5E142}"/>
    <hyperlink ref="A1326" r:id="rId2451" display="https://finance.yahoo.com/quote/AAPL261218C00115000/" xr:uid="{A4026CE5-4BBB-40CE-A809-534CAB6E15C7}"/>
    <hyperlink ref="C1326" r:id="rId2452" display="https://finance.yahoo.com/quote/AAPL/options/?straddle=false&amp;strike=115&amp;type=all" xr:uid="{5826769C-0426-4214-B718-315C60F0E007}"/>
    <hyperlink ref="A1327" r:id="rId2453" display="https://finance.yahoo.com/quote/AAPL261218C00120000/" xr:uid="{4DFD4BEF-FE39-4363-94F7-9A74B95DB13C}"/>
    <hyperlink ref="C1327" r:id="rId2454" display="https://finance.yahoo.com/quote/AAPL/options/?straddle=false&amp;strike=120&amp;type=all" xr:uid="{5F40ED62-ECF9-4FBE-AFA8-24FEF82E3BC5}"/>
    <hyperlink ref="A1328" r:id="rId2455" display="https://finance.yahoo.com/quote/AAPL261218C00125000/" xr:uid="{285F44D5-2B13-4943-A1FF-36CB674A96C9}"/>
    <hyperlink ref="C1328" r:id="rId2456" display="https://finance.yahoo.com/quote/AAPL/options/?straddle=false&amp;strike=125&amp;type=all" xr:uid="{F03AEBB2-625C-4F09-9930-3B1AFBFED0B6}"/>
    <hyperlink ref="A1329" r:id="rId2457" display="https://finance.yahoo.com/quote/AAPL261218C00130000/" xr:uid="{BAC4913F-5898-477E-BFAC-900A4F928777}"/>
    <hyperlink ref="C1329" r:id="rId2458" display="https://finance.yahoo.com/quote/AAPL/options/?straddle=false&amp;strike=130&amp;type=all" xr:uid="{29DD3E99-FA98-49AF-BEE4-D8F246E9F925}"/>
    <hyperlink ref="A1330" r:id="rId2459" display="https://finance.yahoo.com/quote/AAPL261218C00135000/" xr:uid="{3F23BEBD-9008-48D9-BFB1-2559581DB78F}"/>
    <hyperlink ref="C1330" r:id="rId2460" display="https://finance.yahoo.com/quote/AAPL/options/?straddle=false&amp;strike=135&amp;type=all" xr:uid="{CEF8768B-A6D1-4D32-9BDD-4047652B067B}"/>
    <hyperlink ref="A1331" r:id="rId2461" display="https://finance.yahoo.com/quote/AAPL261218C00140000/" xr:uid="{24EF7CB5-A55C-4539-972A-CD9A365B5629}"/>
    <hyperlink ref="C1331" r:id="rId2462" display="https://finance.yahoo.com/quote/AAPL/options/?straddle=false&amp;strike=140&amp;type=all" xr:uid="{7D687BC5-1AA5-42AD-AFFB-A58DB5F840A1}"/>
    <hyperlink ref="A1332" r:id="rId2463" display="https://finance.yahoo.com/quote/AAPL261218C00145000/" xr:uid="{F21F45FD-B5A8-4794-9395-53BF2BAFAC89}"/>
    <hyperlink ref="C1332" r:id="rId2464" display="https://finance.yahoo.com/quote/AAPL/options/?straddle=false&amp;strike=145&amp;type=all" xr:uid="{D33CB217-486B-4319-9EBD-67309185250F}"/>
    <hyperlink ref="A1333" r:id="rId2465" display="https://finance.yahoo.com/quote/AAPL261218C00150000/" xr:uid="{2B946D42-5109-4048-8830-F65523943D52}"/>
    <hyperlink ref="C1333" r:id="rId2466" display="https://finance.yahoo.com/quote/AAPL/options/?straddle=false&amp;strike=150&amp;type=all" xr:uid="{942E266F-639A-43D6-A3A9-167FE3559D19}"/>
    <hyperlink ref="A1334" r:id="rId2467" display="https://finance.yahoo.com/quote/AAPL261218C00155000/" xr:uid="{BCCCE382-6D71-470D-868B-78E3783E918F}"/>
    <hyperlink ref="C1334" r:id="rId2468" display="https://finance.yahoo.com/quote/AAPL/options/?straddle=false&amp;strike=155&amp;type=all" xr:uid="{6473B6E3-FAA4-4007-8489-783933F87286}"/>
    <hyperlink ref="A1335" r:id="rId2469" display="https://finance.yahoo.com/quote/AAPL261218C00160000/" xr:uid="{CCCB1E7A-615D-4139-A98A-BE6E2CB07849}"/>
    <hyperlink ref="C1335" r:id="rId2470" display="https://finance.yahoo.com/quote/AAPL/options/?straddle=false&amp;strike=160&amp;type=all" xr:uid="{F6B38CF9-3A1B-4E85-95F5-964C39D795DF}"/>
    <hyperlink ref="A1336" r:id="rId2471" display="https://finance.yahoo.com/quote/AAPL261218C00165000/" xr:uid="{BFA427E9-EA0C-4C4E-8CC2-64383F5C7C12}"/>
    <hyperlink ref="C1336" r:id="rId2472" display="https://finance.yahoo.com/quote/AAPL/options/?straddle=false&amp;strike=165&amp;type=all" xr:uid="{EBDF7B2E-B6D2-4EA3-810F-5058FA8662E6}"/>
    <hyperlink ref="A1337" r:id="rId2473" display="https://finance.yahoo.com/quote/AAPL261218C00170000/" xr:uid="{79F039F6-E9DA-4A45-AA13-BD53FAAE1DDB}"/>
    <hyperlink ref="C1337" r:id="rId2474" display="https://finance.yahoo.com/quote/AAPL/options/?straddle=false&amp;strike=170&amp;type=all" xr:uid="{66198FA4-2CFB-499C-8DFB-57D3521702DF}"/>
    <hyperlink ref="A1338" r:id="rId2475" display="https://finance.yahoo.com/quote/AAPL261218C00175000/" xr:uid="{DDBCF4D5-E9AD-4AEC-B0CB-C6EAF9E1CD4A}"/>
    <hyperlink ref="C1338" r:id="rId2476" display="https://finance.yahoo.com/quote/AAPL/options/?straddle=false&amp;strike=175&amp;type=all" xr:uid="{A69CDEFD-0FE2-4225-904F-E3EF72352416}"/>
    <hyperlink ref="A1339" r:id="rId2477" display="https://finance.yahoo.com/quote/AAPL261218C00180000/" xr:uid="{75D31A35-A587-43A5-9368-C3B1E5E53F55}"/>
    <hyperlink ref="C1339" r:id="rId2478" display="https://finance.yahoo.com/quote/AAPL/options/?straddle=false&amp;strike=180&amp;type=all" xr:uid="{59895EBD-9793-41C6-A627-94FEF7565837}"/>
    <hyperlink ref="A1340" r:id="rId2479" display="https://finance.yahoo.com/quote/AAPL261218C00185000/" xr:uid="{F66504AD-CFFB-41ED-BCC6-0F3DAF15821C}"/>
    <hyperlink ref="C1340" r:id="rId2480" display="https://finance.yahoo.com/quote/AAPL/options/?straddle=false&amp;strike=185&amp;type=all" xr:uid="{8A93E914-057A-4DA1-94F5-5358CD0FC8F6}"/>
    <hyperlink ref="A1341" r:id="rId2481" display="https://finance.yahoo.com/quote/AAPL261218C00190000/" xr:uid="{B5604F65-706B-4C8D-9ABA-16C65CC97A3F}"/>
    <hyperlink ref="C1341" r:id="rId2482" display="https://finance.yahoo.com/quote/AAPL/options/?straddle=false&amp;strike=190&amp;type=all" xr:uid="{A1CC66C4-B6CE-463C-A224-0ABD7DAE16B1}"/>
    <hyperlink ref="A1342" r:id="rId2483" display="https://finance.yahoo.com/quote/AAPL261218C00195000/" xr:uid="{D7B35E0A-CBC0-4EEC-B2FF-7C5B43ACF9D9}"/>
    <hyperlink ref="C1342" r:id="rId2484" display="https://finance.yahoo.com/quote/AAPL/options/?straddle=false&amp;strike=195&amp;type=all" xr:uid="{9EFE0C48-749E-4123-A578-E80541EEDB06}"/>
    <hyperlink ref="A1343" r:id="rId2485" display="https://finance.yahoo.com/quote/AAPL261218C00200000/" xr:uid="{C9802E30-8561-4360-B624-25A432AB88A9}"/>
    <hyperlink ref="C1343" r:id="rId2486" display="https://finance.yahoo.com/quote/AAPL/options/?straddle=false&amp;strike=200&amp;type=all" xr:uid="{D3F82C74-FBCB-4133-AAC2-B49D8ECD1EAB}"/>
    <hyperlink ref="A1344" r:id="rId2487" display="https://finance.yahoo.com/quote/AAPL261218C00210000/" xr:uid="{06EE51EF-6319-4DCD-918F-A27B7E9076E4}"/>
    <hyperlink ref="C1344" r:id="rId2488" display="https://finance.yahoo.com/quote/AAPL/options/?straddle=false&amp;strike=210&amp;type=all" xr:uid="{9B218709-B52B-4ACD-BC75-1EB3ED54F3FA}"/>
    <hyperlink ref="A1345" r:id="rId2489" display="https://finance.yahoo.com/quote/AAPL261218C00220000/" xr:uid="{36F16C31-4266-4369-9EB4-B241B00BF37C}"/>
    <hyperlink ref="C1345" r:id="rId2490" display="https://finance.yahoo.com/quote/AAPL/options/?straddle=false&amp;strike=220&amp;type=all" xr:uid="{2FB0D7CA-E6FF-41DD-9998-C39D9A25FD59}"/>
    <hyperlink ref="A1346" r:id="rId2491" display="https://finance.yahoo.com/quote/AAPL261218C00230000/" xr:uid="{EBD77E10-D9FF-4338-9018-BE6E5DBEF12C}"/>
    <hyperlink ref="C1346" r:id="rId2492" display="https://finance.yahoo.com/quote/AAPL/options/?straddle=false&amp;strike=230&amp;type=all" xr:uid="{4CAC26C8-DC12-4CC2-B149-877A12DDCB75}"/>
    <hyperlink ref="A1347" r:id="rId2493" display="https://finance.yahoo.com/quote/AAPL261218C00240000/" xr:uid="{358D31CA-DE1F-4D7B-A36D-95306FC093B2}"/>
    <hyperlink ref="C1347" r:id="rId2494" display="https://finance.yahoo.com/quote/AAPL/options/?straddle=false&amp;strike=240&amp;type=all" xr:uid="{745B5588-C6FD-43CA-AEBE-A9F7168FC07B}"/>
    <hyperlink ref="A1348" r:id="rId2495" display="https://finance.yahoo.com/quote/AAPL261218C00250000/" xr:uid="{DF38D3EB-85F8-42CF-9CD8-7F4B3DFA0D4D}"/>
    <hyperlink ref="C1348" r:id="rId2496" display="https://finance.yahoo.com/quote/AAPL/options/?straddle=false&amp;strike=250&amp;type=all" xr:uid="{1696FD01-B356-4BC3-95F2-8C949CDBD25B}"/>
    <hyperlink ref="A1349" r:id="rId2497" display="https://finance.yahoo.com/quote/AAPL261218C00260000/" xr:uid="{F262B578-16C2-4D45-8BD0-52C08D62099C}"/>
    <hyperlink ref="C1349" r:id="rId2498" display="https://finance.yahoo.com/quote/AAPL/options/?straddle=false&amp;strike=260&amp;type=all" xr:uid="{73590D84-33C5-4CFF-A6A1-86A0516251AA}"/>
    <hyperlink ref="A1350" r:id="rId2499" display="https://finance.yahoo.com/quote/AAPL261218C00270000/" xr:uid="{DD8B3E24-4B25-4CD1-8AF5-08206D48A301}"/>
    <hyperlink ref="C1350" r:id="rId2500" display="https://finance.yahoo.com/quote/AAPL/options/?straddle=false&amp;strike=270&amp;type=all" xr:uid="{F9E674C3-CB6E-4E21-BCEB-2B6811C1DEE6}"/>
    <hyperlink ref="A1351" r:id="rId2501" display="https://finance.yahoo.com/quote/AAPL261218C00280000/" xr:uid="{DC44A1BB-33FE-43BC-9F89-B44EB4E69E79}"/>
    <hyperlink ref="C1351" r:id="rId2502" display="https://finance.yahoo.com/quote/AAPL/options/?straddle=false&amp;strike=280&amp;type=all" xr:uid="{A0EC7462-33BF-4DAF-96F1-BFBF8CB857DA}"/>
    <hyperlink ref="A1352" r:id="rId2503" display="https://finance.yahoo.com/quote/AAPL261218C00290000/" xr:uid="{B321D08C-35B5-41C9-B6DA-0E3332B233AF}"/>
    <hyperlink ref="C1352" r:id="rId2504" display="https://finance.yahoo.com/quote/AAPL/options/?straddle=false&amp;strike=290&amp;type=all" xr:uid="{86D5E5B5-A725-4175-9134-EBCF9F7D318A}"/>
    <hyperlink ref="A1353" r:id="rId2505" display="https://finance.yahoo.com/quote/AAPL261218C00300000/" xr:uid="{346EBC1E-031C-4AA9-8B49-2588C87BFA21}"/>
    <hyperlink ref="C1353" r:id="rId2506" display="https://finance.yahoo.com/quote/AAPL/options/?straddle=false&amp;strike=300&amp;type=all" xr:uid="{F00FF0D1-6AD8-48D5-B601-1B7ECF9C4A78}"/>
    <hyperlink ref="A1354" r:id="rId2507" display="https://finance.yahoo.com/quote/AAPL261218C00310000/" xr:uid="{9064B1C6-0BE7-44CC-89B6-F5D1D48C9FC6}"/>
    <hyperlink ref="C1354" r:id="rId2508" display="https://finance.yahoo.com/quote/AAPL/options/?straddle=false&amp;strike=310&amp;type=all" xr:uid="{5BEC6B4C-2073-4533-ADC0-6AEE1F1B0B1E}"/>
    <hyperlink ref="A1355" r:id="rId2509" display="https://finance.yahoo.com/quote/AAPL261218C00320000/" xr:uid="{CADCEEC0-3F2B-4540-9898-42309A23E7BB}"/>
    <hyperlink ref="C1355" r:id="rId2510" display="https://finance.yahoo.com/quote/AAPL/options/?straddle=false&amp;strike=320&amp;type=all" xr:uid="{E2D97714-713C-40F2-9A08-619F268227B9}"/>
    <hyperlink ref="A1356" r:id="rId2511" display="https://finance.yahoo.com/quote/AAPL261218C00330000/" xr:uid="{91647E96-A50F-495E-8E23-39B27373D625}"/>
    <hyperlink ref="C1356" r:id="rId2512" display="https://finance.yahoo.com/quote/AAPL/options/?straddle=false&amp;strike=330&amp;type=all" xr:uid="{44216F24-E769-49A1-BF53-F0D8D81B858C}"/>
    <hyperlink ref="A1357" r:id="rId2513" display="https://finance.yahoo.com/quote/AAPL261218C00340000/" xr:uid="{D5BD338A-07AB-4DAD-BEF5-18C32C205B45}"/>
    <hyperlink ref="C1357" r:id="rId2514" display="https://finance.yahoo.com/quote/AAPL/options/?straddle=false&amp;strike=340&amp;type=all" xr:uid="{4A8BF3AE-D861-4EF6-981B-ECC984EAC7E6}"/>
    <hyperlink ref="A1358" r:id="rId2515" display="https://finance.yahoo.com/quote/AAPL261218C00350000/" xr:uid="{0182B922-9254-4E90-BD52-87BA7B25E300}"/>
    <hyperlink ref="C1358" r:id="rId2516" display="https://finance.yahoo.com/quote/AAPL/options/?straddle=false&amp;strike=350&amp;type=all" xr:uid="{533DF12D-8495-4784-9D31-7E2FD1B23339}"/>
    <hyperlink ref="A1359" r:id="rId2517" display="https://finance.yahoo.com/quote/AAPL261218C00360000/" xr:uid="{160CD954-BEB5-4DC7-897A-A8413E894EE2}"/>
    <hyperlink ref="C1359" r:id="rId2518" display="https://finance.yahoo.com/quote/AAPL/options/?straddle=false&amp;strike=360&amp;type=all" xr:uid="{AB089D45-123F-4D41-BF5A-2CFF67F80EA6}"/>
    <hyperlink ref="A1360" r:id="rId2519" display="https://finance.yahoo.com/quote/AAPL261218C00370000/" xr:uid="{45FB044E-AD29-4785-92C3-CDA8C7FCCBCC}"/>
    <hyperlink ref="C1360" r:id="rId2520" display="https://finance.yahoo.com/quote/AAPL/options/?straddle=false&amp;strike=370&amp;type=all" xr:uid="{CE8023C7-8A7A-4CD4-BD35-B8BC91C1E96E}"/>
    <hyperlink ref="A1361" r:id="rId2521" display="https://finance.yahoo.com/quote/AAPL261218C00380000/" xr:uid="{0605EF0E-B0B6-4B2A-9CBE-C5DAFB7A3821}"/>
    <hyperlink ref="C1361" r:id="rId2522" display="https://finance.yahoo.com/quote/AAPL/options/?straddle=false&amp;strike=380&amp;type=all" xr:uid="{E2DD603F-5589-4C48-8F5B-8DDB394C2AF7}"/>
    <hyperlink ref="A1362" r:id="rId2523" display="https://finance.yahoo.com/quote/AAPL261218C00390000/" xr:uid="{D0A8CBE5-FF16-42C0-BFE6-1C15E59DE294}"/>
    <hyperlink ref="C1362" r:id="rId2524" display="https://finance.yahoo.com/quote/AAPL/options/?straddle=false&amp;strike=390&amp;type=all" xr:uid="{C9F0E7DB-19A2-4B41-B3A4-649335E690AC}"/>
    <hyperlink ref="A1363" r:id="rId2525" display="https://finance.yahoo.com/quote/AAPL261218C00400000/" xr:uid="{C8905562-0710-4635-A9C1-4937D01A9232}"/>
    <hyperlink ref="C1363" r:id="rId2526" display="https://finance.yahoo.com/quote/AAPL/options/?straddle=false&amp;strike=400&amp;type=all" xr:uid="{A2F8EC21-7B8C-4A57-B278-414B38A26F29}"/>
    <hyperlink ref="A1364" r:id="rId2527" display="https://finance.yahoo.com/quote/AAPL261218C00410000/" xr:uid="{911E7708-74DA-4362-A286-7E9A344CC019}"/>
    <hyperlink ref="C1364" r:id="rId2528" display="https://finance.yahoo.com/quote/AAPL/options/?straddle=false&amp;strike=410&amp;type=all" xr:uid="{259D21B3-41B5-4302-B4DB-3E82B3F4E5FC}"/>
    <hyperlink ref="A1365" r:id="rId2529" display="https://finance.yahoo.com/quote/AAPL261218C00420000/" xr:uid="{4B8B4F8B-17AC-4516-9A27-89A7D5E51FA3}"/>
    <hyperlink ref="C1365" r:id="rId2530" display="https://finance.yahoo.com/quote/AAPL/options/?straddle=false&amp;strike=420&amp;type=all" xr:uid="{051597AB-E799-44E2-9AEA-4F20B5F527A8}"/>
    <hyperlink ref="A1366" r:id="rId2531" display="https://finance.yahoo.com/quote/AAPL261218C00430000/" xr:uid="{DB4724FE-6430-4677-AD22-8C816D1F37D7}"/>
    <hyperlink ref="C1366" r:id="rId2532" display="https://finance.yahoo.com/quote/AAPL/options/?straddle=false&amp;strike=430&amp;type=all" xr:uid="{0565F6E0-9449-466E-8DEB-5AF0B7A600EF}"/>
    <hyperlink ref="A1367" r:id="rId2533" display="https://finance.yahoo.com/quote/AAPL261218C00440000/" xr:uid="{A50D1B7E-E463-4D7E-902A-625D333D64E6}"/>
    <hyperlink ref="C1367" r:id="rId2534" display="https://finance.yahoo.com/quote/AAPL/options/?straddle=false&amp;strike=440&amp;type=all" xr:uid="{5784F635-B1CC-4E94-AC83-A6513FCC93E7}"/>
    <hyperlink ref="A1368" r:id="rId2535" display="https://finance.yahoo.com/quote/AAPL261218C00450000/" xr:uid="{EB222DBC-1C17-4D0C-9C42-E75572347153}"/>
    <hyperlink ref="C1368" r:id="rId2536" display="https://finance.yahoo.com/quote/AAPL/options/?straddle=false&amp;strike=450&amp;type=all" xr:uid="{6A07F8D5-FAB1-4EDA-A3AF-84A16B40A51A}"/>
    <hyperlink ref="A1369" r:id="rId2537" display="https://finance.yahoo.com/quote/AAPL261218P00005000/" xr:uid="{7A3A9D23-15E9-4B6E-99EF-B33EEB121064}"/>
    <hyperlink ref="C1369" r:id="rId2538" display="https://finance.yahoo.com/quote/AAPL/options/?straddle=false&amp;strike=5&amp;type=all" xr:uid="{2A43323D-EC49-4B34-9BD1-7AD68E015FA0}"/>
    <hyperlink ref="A1370" r:id="rId2539" display="https://finance.yahoo.com/quote/AAPL261218P00010000/" xr:uid="{C3AD46CF-964C-4E46-8ADE-ED270770724B}"/>
    <hyperlink ref="C1370" r:id="rId2540" display="https://finance.yahoo.com/quote/AAPL/options/?straddle=false&amp;strike=10&amp;type=all" xr:uid="{80B68406-6D33-421B-814F-DCCC178C1C83}"/>
    <hyperlink ref="A1371" r:id="rId2541" display="https://finance.yahoo.com/quote/AAPL261218P00015000/" xr:uid="{185CCD32-AFD2-4952-8562-8B30E0FCB990}"/>
    <hyperlink ref="C1371" r:id="rId2542" display="https://finance.yahoo.com/quote/AAPL/options/?straddle=false&amp;strike=15&amp;type=all" xr:uid="{136C242C-5528-4FE7-AA38-C9F62FE8EE99}"/>
    <hyperlink ref="A1372" r:id="rId2543" display="https://finance.yahoo.com/quote/AAPL261218P00020000/" xr:uid="{9B06282D-FE23-40F9-9635-543D80B3FC10}"/>
    <hyperlink ref="C1372" r:id="rId2544" display="https://finance.yahoo.com/quote/AAPL/options/?straddle=false&amp;strike=20&amp;type=all" xr:uid="{139251E5-B803-469A-8FDA-CE9F4144EEA2}"/>
    <hyperlink ref="A1373" r:id="rId2545" display="https://finance.yahoo.com/quote/AAPL261218P00025000/" xr:uid="{7975037D-13A4-4A11-8556-8C281F8CEA62}"/>
    <hyperlink ref="C1373" r:id="rId2546" display="https://finance.yahoo.com/quote/AAPL/options/?straddle=false&amp;strike=25&amp;type=all" xr:uid="{0805CF3D-01EA-4F51-A6F6-39C25E9C633D}"/>
    <hyperlink ref="A1374" r:id="rId2547" display="https://finance.yahoo.com/quote/AAPL261218P00030000/" xr:uid="{0DB93597-6B28-4115-8ECE-9AA37F4101DF}"/>
    <hyperlink ref="C1374" r:id="rId2548" display="https://finance.yahoo.com/quote/AAPL/options/?straddle=false&amp;strike=30&amp;type=all" xr:uid="{10CA22C4-DEEB-4651-98FE-3E04A65B46F8}"/>
    <hyperlink ref="A1375" r:id="rId2549" display="https://finance.yahoo.com/quote/AAPL261218P00035000/" xr:uid="{41DBCF9C-09D0-4A4A-9716-C5B18A042FF1}"/>
    <hyperlink ref="C1375" r:id="rId2550" display="https://finance.yahoo.com/quote/AAPL/options/?straddle=false&amp;strike=35&amp;type=all" xr:uid="{380976FE-92DC-444F-B797-9FCE89E53CE6}"/>
    <hyperlink ref="A1376" r:id="rId2551" display="https://finance.yahoo.com/quote/AAPL261218P00040000/" xr:uid="{2C3D1E90-3A9D-48B9-BE26-D8EAF60D3969}"/>
    <hyperlink ref="C1376" r:id="rId2552" display="https://finance.yahoo.com/quote/AAPL/options/?straddle=false&amp;strike=40&amp;type=all" xr:uid="{733059E4-171B-4DD3-8F9B-12D502C21FF3}"/>
    <hyperlink ref="A1377" r:id="rId2553" display="https://finance.yahoo.com/quote/AAPL261218P00045000/" xr:uid="{50904327-6312-4237-AB84-D0FE2A0F78D8}"/>
    <hyperlink ref="C1377" r:id="rId2554" display="https://finance.yahoo.com/quote/AAPL/options/?straddle=false&amp;strike=45&amp;type=all" xr:uid="{719C581F-BB1A-44A6-AB4B-557551661989}"/>
    <hyperlink ref="A1378" r:id="rId2555" display="https://finance.yahoo.com/quote/AAPL261218P00050000/" xr:uid="{AC84E15B-EEAE-4C5F-B328-47204CD84B59}"/>
    <hyperlink ref="C1378" r:id="rId2556" display="https://finance.yahoo.com/quote/AAPL/options/?straddle=false&amp;strike=50&amp;type=all" xr:uid="{151B7F72-E72D-47EA-8AF2-FACCAAA48A6B}"/>
    <hyperlink ref="A1379" r:id="rId2557" display="https://finance.yahoo.com/quote/AAPL261218P00060000/" xr:uid="{9BB28F2C-D9FB-4584-A7A4-464EECC717F5}"/>
    <hyperlink ref="C1379" r:id="rId2558" display="https://finance.yahoo.com/quote/AAPL/options/?straddle=false&amp;strike=60&amp;type=all" xr:uid="{50623FEE-0963-4EDA-846D-774D9EF0A680}"/>
    <hyperlink ref="A1380" r:id="rId2559" display="https://finance.yahoo.com/quote/AAPL261218P00070000/" xr:uid="{E3AD637C-5B7E-4FB1-B938-598C24E0571C}"/>
    <hyperlink ref="C1380" r:id="rId2560" display="https://finance.yahoo.com/quote/AAPL/options/?straddle=false&amp;strike=70&amp;type=all" xr:uid="{8DB39CF0-B8B1-4BFF-98F5-977C592E551B}"/>
    <hyperlink ref="A1381" r:id="rId2561" display="https://finance.yahoo.com/quote/AAPL261218P00080000/" xr:uid="{18EBDB89-842A-4335-9BEC-B3374680B5F9}"/>
    <hyperlink ref="C1381" r:id="rId2562" display="https://finance.yahoo.com/quote/AAPL/options/?straddle=false&amp;strike=80&amp;type=all" xr:uid="{9F517786-2466-4A24-959D-BA561623052D}"/>
    <hyperlink ref="A1382" r:id="rId2563" display="https://finance.yahoo.com/quote/AAPL261218P00085000/" xr:uid="{76364DA3-1ADF-4A98-8D7C-59D3BCF4FD84}"/>
    <hyperlink ref="C1382" r:id="rId2564" display="https://finance.yahoo.com/quote/AAPL/options/?straddle=false&amp;strike=85&amp;type=all" xr:uid="{C6807B64-5944-48E3-AF7B-CB586652A410}"/>
    <hyperlink ref="A1383" r:id="rId2565" display="https://finance.yahoo.com/quote/AAPL261218P00090000/" xr:uid="{09A181DB-8607-4BED-A721-87FD3C7187EE}"/>
    <hyperlink ref="C1383" r:id="rId2566" display="https://finance.yahoo.com/quote/AAPL/options/?straddle=false&amp;strike=90&amp;type=all" xr:uid="{0C7C5C1D-FA68-4312-BDC0-21FF11A0C6C4}"/>
    <hyperlink ref="A1384" r:id="rId2567" display="https://finance.yahoo.com/quote/AAPL261218P00095000/" xr:uid="{3E3618D1-35D1-425B-B8D0-8739E2EEBA06}"/>
    <hyperlink ref="C1384" r:id="rId2568" display="https://finance.yahoo.com/quote/AAPL/options/?straddle=false&amp;strike=95&amp;type=all" xr:uid="{7904A8D6-EC8B-4798-93EF-30B8C76D64D9}"/>
    <hyperlink ref="A1385" r:id="rId2569" display="https://finance.yahoo.com/quote/AAPL261218P00100000/" xr:uid="{64D8CF63-70B2-4646-8EB4-6DDFF2338F49}"/>
    <hyperlink ref="C1385" r:id="rId2570" display="https://finance.yahoo.com/quote/AAPL/options/?straddle=false&amp;strike=100&amp;type=all" xr:uid="{9F4DEA37-AA4B-44EE-A88E-7BFE90C2EE93}"/>
    <hyperlink ref="A1386" r:id="rId2571" display="https://finance.yahoo.com/quote/AAPL261218P00105000/" xr:uid="{450B6C08-FE0B-45B5-A0A2-9484FFB8D37D}"/>
    <hyperlink ref="C1386" r:id="rId2572" display="https://finance.yahoo.com/quote/AAPL/options/?straddle=false&amp;strike=105&amp;type=all" xr:uid="{0D253772-B465-463C-88E5-78B8F5AEB51B}"/>
    <hyperlink ref="A1387" r:id="rId2573" display="https://finance.yahoo.com/quote/AAPL261218P00110000/" xr:uid="{2D57BBCB-7608-4DFF-A12A-D972573A30B6}"/>
    <hyperlink ref="C1387" r:id="rId2574" display="https://finance.yahoo.com/quote/AAPL/options/?straddle=false&amp;strike=110&amp;type=all" xr:uid="{ED5158F8-EF4E-4CD7-BDD0-F9696E81730A}"/>
    <hyperlink ref="A1388" r:id="rId2575" display="https://finance.yahoo.com/quote/AAPL261218P00115000/" xr:uid="{30829F6B-9D25-46BB-8AA1-143A5FA41E77}"/>
    <hyperlink ref="C1388" r:id="rId2576" display="https://finance.yahoo.com/quote/AAPL/options/?straddle=false&amp;strike=115&amp;type=all" xr:uid="{2B5C64BB-DAF3-46F8-83BB-22BA2351ED3C}"/>
    <hyperlink ref="A1389" r:id="rId2577" display="https://finance.yahoo.com/quote/AAPL261218P00120000/" xr:uid="{1FA59371-D6D1-404A-B05D-8ABCF268FA72}"/>
    <hyperlink ref="C1389" r:id="rId2578" display="https://finance.yahoo.com/quote/AAPL/options/?straddle=false&amp;strike=120&amp;type=all" xr:uid="{C0D54C9C-0EEA-498D-9090-0D17CB32D39E}"/>
    <hyperlink ref="A1390" r:id="rId2579" display="https://finance.yahoo.com/quote/AAPL261218P00125000/" xr:uid="{B661D124-D00B-4039-A7EE-253300C6DE66}"/>
    <hyperlink ref="C1390" r:id="rId2580" display="https://finance.yahoo.com/quote/AAPL/options/?straddle=false&amp;strike=125&amp;type=all" xr:uid="{A291F3E2-1E43-45D7-B144-111791215498}"/>
    <hyperlink ref="A1391" r:id="rId2581" display="https://finance.yahoo.com/quote/AAPL261218P00130000/" xr:uid="{5DC34690-92D6-4437-A9AA-CFB0D5C701B3}"/>
    <hyperlink ref="C1391" r:id="rId2582" display="https://finance.yahoo.com/quote/AAPL/options/?straddle=false&amp;strike=130&amp;type=all" xr:uid="{20B0237B-FA1E-4946-854A-FAB05B411B2D}"/>
    <hyperlink ref="A1392" r:id="rId2583" display="https://finance.yahoo.com/quote/AAPL261218P00135000/" xr:uid="{A9F87537-B708-4783-9DBB-981438CF3DF8}"/>
    <hyperlink ref="C1392" r:id="rId2584" display="https://finance.yahoo.com/quote/AAPL/options/?straddle=false&amp;strike=135&amp;type=all" xr:uid="{FFFFD8F9-ABBA-4249-B30D-47A24CE7C35F}"/>
    <hyperlink ref="A1393" r:id="rId2585" display="https://finance.yahoo.com/quote/AAPL261218P00140000/" xr:uid="{BF56F48F-200B-42BB-832B-8468785C48D1}"/>
    <hyperlink ref="C1393" r:id="rId2586" display="https://finance.yahoo.com/quote/AAPL/options/?straddle=false&amp;strike=140&amp;type=all" xr:uid="{72AC022F-CC77-4BF8-934D-BA6CB57DC689}"/>
    <hyperlink ref="A1394" r:id="rId2587" display="https://finance.yahoo.com/quote/AAPL261218P00145000/" xr:uid="{EBDAA405-2A48-4007-9D0A-BCB5AAFFBD6B}"/>
    <hyperlink ref="C1394" r:id="rId2588" display="https://finance.yahoo.com/quote/AAPL/options/?straddle=false&amp;strike=145&amp;type=all" xr:uid="{32B64B7E-F11F-4848-AC4B-D64BCAA31229}"/>
    <hyperlink ref="A1395" r:id="rId2589" display="https://finance.yahoo.com/quote/AAPL261218P00150000/" xr:uid="{E364F055-E9FB-4462-AE74-72F6A99FF98B}"/>
    <hyperlink ref="C1395" r:id="rId2590" display="https://finance.yahoo.com/quote/AAPL/options/?straddle=false&amp;strike=150&amp;type=all" xr:uid="{35367DB3-895F-450D-AB9C-E4DDD4410B24}"/>
    <hyperlink ref="A1396" r:id="rId2591" display="https://finance.yahoo.com/quote/AAPL261218P00155000/" xr:uid="{239590FB-9C23-4530-A360-3AB432FF5F64}"/>
    <hyperlink ref="C1396" r:id="rId2592" display="https://finance.yahoo.com/quote/AAPL/options/?straddle=false&amp;strike=155&amp;type=all" xr:uid="{AECD40CB-B6B7-4C4B-9213-69EB749EE330}"/>
    <hyperlink ref="A1397" r:id="rId2593" display="https://finance.yahoo.com/quote/AAPL261218P00160000/" xr:uid="{08B2664F-41A0-4172-A277-8EB630F5C8BF}"/>
    <hyperlink ref="C1397" r:id="rId2594" display="https://finance.yahoo.com/quote/AAPL/options/?straddle=false&amp;strike=160&amp;type=all" xr:uid="{11FFA926-00F4-4C6A-82EF-F7D6EF383A33}"/>
    <hyperlink ref="A1398" r:id="rId2595" display="https://finance.yahoo.com/quote/AAPL261218P00165000/" xr:uid="{09BAD2B2-DAA1-4780-B91F-642B4B7D6DBA}"/>
    <hyperlink ref="C1398" r:id="rId2596" display="https://finance.yahoo.com/quote/AAPL/options/?straddle=false&amp;strike=165&amp;type=all" xr:uid="{38C831DB-6E3F-4CFA-9B6C-4D5EB3DAE8AE}"/>
    <hyperlink ref="A1399" r:id="rId2597" display="https://finance.yahoo.com/quote/AAPL261218P00170000/" xr:uid="{D09ED87B-E41F-42C6-B415-C74182675C59}"/>
    <hyperlink ref="C1399" r:id="rId2598" display="https://finance.yahoo.com/quote/AAPL/options/?straddle=false&amp;strike=170&amp;type=all" xr:uid="{06934AA1-9FB7-434F-BB2D-0A8CF5ABFB7B}"/>
    <hyperlink ref="A1400" r:id="rId2599" display="https://finance.yahoo.com/quote/AAPL261218P00175000/" xr:uid="{DAE8AB5F-4DD0-46FF-81DD-562BAB6462D8}"/>
    <hyperlink ref="C1400" r:id="rId2600" display="https://finance.yahoo.com/quote/AAPL/options/?straddle=false&amp;strike=175&amp;type=all" xr:uid="{31C5E5BC-9680-44F8-8E28-A09B1446BA4E}"/>
    <hyperlink ref="A1401" r:id="rId2601" display="https://finance.yahoo.com/quote/AAPL261218P00180000/" xr:uid="{9AD269A5-90E1-45CD-97C1-6C7DE0A29F06}"/>
    <hyperlink ref="C1401" r:id="rId2602" display="https://finance.yahoo.com/quote/AAPL/options/?straddle=false&amp;strike=180&amp;type=all" xr:uid="{27271A6C-AC82-4371-AFBF-8312939FDA49}"/>
    <hyperlink ref="A1402" r:id="rId2603" display="https://finance.yahoo.com/quote/AAPL261218P00185000/" xr:uid="{34747582-69E7-45D4-8E84-92140368CDE3}"/>
    <hyperlink ref="C1402" r:id="rId2604" display="https://finance.yahoo.com/quote/AAPL/options/?straddle=false&amp;strike=185&amp;type=all" xr:uid="{6A4779E8-E643-43CC-A62E-48CE9193F71B}"/>
    <hyperlink ref="A1403" r:id="rId2605" display="https://finance.yahoo.com/quote/AAPL261218P00190000/" xr:uid="{0C9C3781-9DC8-4E9D-B110-06FEEBD41BD9}"/>
    <hyperlink ref="C1403" r:id="rId2606" display="https://finance.yahoo.com/quote/AAPL/options/?straddle=false&amp;strike=190&amp;type=all" xr:uid="{16FF3786-13A3-4006-92BF-8AB334D7725F}"/>
    <hyperlink ref="A1404" r:id="rId2607" display="https://finance.yahoo.com/quote/AAPL261218P00195000/" xr:uid="{1CAEC670-B505-4447-9D24-DC03B497D81F}"/>
    <hyperlink ref="C1404" r:id="rId2608" display="https://finance.yahoo.com/quote/AAPL/options/?straddle=false&amp;strike=195&amp;type=all" xr:uid="{BF1B1BFE-2B5D-4528-92A8-B0C773FDCD7B}"/>
    <hyperlink ref="A1405" r:id="rId2609" display="https://finance.yahoo.com/quote/AAPL261218P00200000/" xr:uid="{2393D0ED-E114-46BC-9AA6-7361AB5C8C7E}"/>
    <hyperlink ref="C1405" r:id="rId2610" display="https://finance.yahoo.com/quote/AAPL/options/?straddle=false&amp;strike=200&amp;type=all" xr:uid="{7CB8CD0D-CFFF-4311-8840-284502B49CEB}"/>
    <hyperlink ref="A1406" r:id="rId2611" display="https://finance.yahoo.com/quote/AAPL261218P00210000/" xr:uid="{245A84D2-6B0E-40C6-8076-90B158EFC9C4}"/>
    <hyperlink ref="C1406" r:id="rId2612" display="https://finance.yahoo.com/quote/AAPL/options/?straddle=false&amp;strike=210&amp;type=all" xr:uid="{788C86BF-25A5-4BD1-B0DB-DD2F2E41BB82}"/>
    <hyperlink ref="A1407" r:id="rId2613" display="https://finance.yahoo.com/quote/AAPL261218P00220000/" xr:uid="{4E2DAB2E-0A09-4788-B39A-F33D7CAE7AF9}"/>
    <hyperlink ref="C1407" r:id="rId2614" display="https://finance.yahoo.com/quote/AAPL/options/?straddle=false&amp;strike=220&amp;type=all" xr:uid="{12FCF6B5-5623-41DC-9753-41EA6533272F}"/>
    <hyperlink ref="A1408" r:id="rId2615" display="https://finance.yahoo.com/quote/AAPL261218P00230000/" xr:uid="{8C227650-3146-47CE-A6DA-AFE87A829D70}"/>
    <hyperlink ref="C1408" r:id="rId2616" display="https://finance.yahoo.com/quote/AAPL/options/?straddle=false&amp;strike=230&amp;type=all" xr:uid="{150CE95C-A4C5-43CB-8999-91CA690FE50C}"/>
    <hyperlink ref="A1409" r:id="rId2617" display="https://finance.yahoo.com/quote/AAPL261218P00240000/" xr:uid="{F18C0324-B551-4D8C-A64F-62015C7D3F31}"/>
    <hyperlink ref="C1409" r:id="rId2618" display="https://finance.yahoo.com/quote/AAPL/options/?straddle=false&amp;strike=240&amp;type=all" xr:uid="{6D9CCD6E-FDA7-4CF8-BF4C-0AD308527BCC}"/>
    <hyperlink ref="A1410" r:id="rId2619" display="https://finance.yahoo.com/quote/AAPL261218P00250000/" xr:uid="{FE65841F-9569-4E25-8376-91C7A2DAC11A}"/>
    <hyperlink ref="C1410" r:id="rId2620" display="https://finance.yahoo.com/quote/AAPL/options/?straddle=false&amp;strike=250&amp;type=all" xr:uid="{0DAB519B-8C3A-4262-8777-5208F746A9E7}"/>
    <hyperlink ref="A1411" r:id="rId2621" display="https://finance.yahoo.com/quote/AAPL261218P00260000/" xr:uid="{9BB6B85F-0D91-46DA-8960-98B60F8A3BF8}"/>
    <hyperlink ref="C1411" r:id="rId2622" display="https://finance.yahoo.com/quote/AAPL/options/?straddle=false&amp;strike=260&amp;type=all" xr:uid="{73B1DC25-D4A3-4697-983A-DBC61D9D97E1}"/>
    <hyperlink ref="A1412" r:id="rId2623" display="https://finance.yahoo.com/quote/AAPL261218P00270000/" xr:uid="{DBE3D0BA-DB37-4DE3-B97C-FC1A8B9DBDCF}"/>
    <hyperlink ref="C1412" r:id="rId2624" display="https://finance.yahoo.com/quote/AAPL/options/?straddle=false&amp;strike=270&amp;type=all" xr:uid="{EA9B21D2-9F63-4736-A470-2A27DC5F9EC9}"/>
    <hyperlink ref="A1413" r:id="rId2625" display="https://finance.yahoo.com/quote/AAPL261218P00280000/" xr:uid="{36B93CD9-E319-45EB-B6CA-5EDDE48DB0CA}"/>
    <hyperlink ref="C1413" r:id="rId2626" display="https://finance.yahoo.com/quote/AAPL/options/?straddle=false&amp;strike=280&amp;type=all" xr:uid="{72F0F1C6-F527-4FC0-B8FA-AF4B32994F23}"/>
    <hyperlink ref="A1414" r:id="rId2627" display="https://finance.yahoo.com/quote/AAPL261218P00290000/" xr:uid="{D993BE6C-D61D-44CC-85F6-CACCE1E8D460}"/>
    <hyperlink ref="C1414" r:id="rId2628" display="https://finance.yahoo.com/quote/AAPL/options/?straddle=false&amp;strike=290&amp;type=all" xr:uid="{CE246CED-9763-4FA7-B590-F40E1A3D7936}"/>
    <hyperlink ref="A1415" r:id="rId2629" display="https://finance.yahoo.com/quote/AAPL261218P00300000/" xr:uid="{3BDFE9BC-2396-45CF-9E56-1BF8BFFFC616}"/>
    <hyperlink ref="C1415" r:id="rId2630" display="https://finance.yahoo.com/quote/AAPL/options/?straddle=false&amp;strike=300&amp;type=all" xr:uid="{4788CF65-48E6-4889-A19C-37EFD6E210CC}"/>
    <hyperlink ref="A1416" r:id="rId2631" display="https://finance.yahoo.com/quote/AAPL261218P00310000/" xr:uid="{2CCB4A1D-89BB-420A-AF75-6969460E2B8E}"/>
    <hyperlink ref="C1416" r:id="rId2632" display="https://finance.yahoo.com/quote/AAPL/options/?straddle=false&amp;strike=310&amp;type=all" xr:uid="{5D28E84D-8D02-4D50-ADC6-04A00A7621B2}"/>
    <hyperlink ref="A1417" r:id="rId2633" display="https://finance.yahoo.com/quote/AAPL261218P00320000/" xr:uid="{AA83566D-DE62-4C54-87E3-BEDE5D3E76D8}"/>
    <hyperlink ref="C1417" r:id="rId2634" display="https://finance.yahoo.com/quote/AAPL/options/?straddle=false&amp;strike=320&amp;type=all" xr:uid="{FA67EBE6-2F9A-4289-9771-53E51A335CC0}"/>
    <hyperlink ref="A1418" r:id="rId2635" display="https://finance.yahoo.com/quote/AAPL261218P00330000/" xr:uid="{C9B5FE1A-DBDB-40CA-B926-DBB5B3015FAD}"/>
    <hyperlink ref="C1418" r:id="rId2636" display="https://finance.yahoo.com/quote/AAPL/options/?straddle=false&amp;strike=330&amp;type=all" xr:uid="{880C1911-DA3A-45B7-A84B-F445E1CBFBFB}"/>
    <hyperlink ref="A1419" r:id="rId2637" display="https://finance.yahoo.com/quote/AAPL261218P00340000/" xr:uid="{7B02012C-B5FC-4264-B12F-1A19E7C1EAC7}"/>
    <hyperlink ref="C1419" r:id="rId2638" display="https://finance.yahoo.com/quote/AAPL/options/?straddle=false&amp;strike=340&amp;type=all" xr:uid="{AB65ABD7-4751-431D-847E-2B78FAA625C7}"/>
    <hyperlink ref="A1420" r:id="rId2639" display="https://finance.yahoo.com/quote/AAPL261218P00350000/" xr:uid="{77F63F8E-55B3-40E4-9561-727405C059D4}"/>
    <hyperlink ref="C1420" r:id="rId2640" display="https://finance.yahoo.com/quote/AAPL/options/?straddle=false&amp;strike=350&amp;type=all" xr:uid="{1E2A70E7-BC8E-4420-9C9A-F43B3938CDD2}"/>
    <hyperlink ref="A1421" r:id="rId2641" display="https://finance.yahoo.com/quote/AAPL261218P00360000/" xr:uid="{4649D8D5-C7D8-4A0F-A2B5-D73F996E3F4E}"/>
    <hyperlink ref="C1421" r:id="rId2642" display="https://finance.yahoo.com/quote/AAPL/options/?straddle=false&amp;strike=360&amp;type=all" xr:uid="{65E81E15-45EE-48B8-BFCF-0BA69AABAA3C}"/>
    <hyperlink ref="A1422" r:id="rId2643" display="https://finance.yahoo.com/quote/AAPL261218P00380000/" xr:uid="{792C883F-7986-4D19-B003-D6C14B85E5AA}"/>
    <hyperlink ref="C1422" r:id="rId2644" display="https://finance.yahoo.com/quote/AAPL/options/?straddle=false&amp;strike=380&amp;type=all" xr:uid="{46756820-26D3-406C-B030-F08B0B24DFBF}"/>
    <hyperlink ref="A1423" r:id="rId2645" display="https://finance.yahoo.com/quote/AAPL261218P00390000/" xr:uid="{D861FC64-3FE4-42C4-8B1A-4A19E5D320F1}"/>
    <hyperlink ref="C1423" r:id="rId2646" display="https://finance.yahoo.com/quote/AAPL/options/?straddle=false&amp;strike=390&amp;type=all" xr:uid="{D9A62CDC-2F1F-4B11-BDA7-3D201C7DF57E}"/>
    <hyperlink ref="A1424" r:id="rId2647" display="https://finance.yahoo.com/quote/AAPL261218P00400000/" xr:uid="{45196DED-7AF1-4E77-82D0-2ACB71578505}"/>
    <hyperlink ref="C1424" r:id="rId2648" display="https://finance.yahoo.com/quote/AAPL/options/?straddle=false&amp;strike=400&amp;type=all" xr:uid="{CDA179DA-5C37-4ED0-BB32-72A13A296B17}"/>
    <hyperlink ref="A1425" r:id="rId2649" display="https://finance.yahoo.com/quote/AAPL261218P00410000/" xr:uid="{468B7281-8376-4BD6-B44D-9CE05A684301}"/>
    <hyperlink ref="C1425" r:id="rId2650" display="https://finance.yahoo.com/quote/AAPL/options/?straddle=false&amp;strike=410&amp;type=all" xr:uid="{881717A9-404D-4F1C-85DB-838DEC0A0C65}"/>
    <hyperlink ref="A1426" r:id="rId2651" display="https://finance.yahoo.com/quote/AAPL261218P00440000/" xr:uid="{A854BF4B-A460-4602-8E5C-FD874F1B91F2}"/>
    <hyperlink ref="C1426" r:id="rId2652" display="https://finance.yahoo.com/quote/AAPL/options/?straddle=false&amp;strike=440&amp;type=all" xr:uid="{B00ED463-CE31-40B2-A82D-F25588864509}"/>
    <hyperlink ref="A1427" r:id="rId2653" display="https://finance.yahoo.com/quote/AAPL261218P00450000/" xr:uid="{5F9ED1D0-9170-437B-8A41-11C283364B14}"/>
    <hyperlink ref="C1427" r:id="rId2654" display="https://finance.yahoo.com/quote/AAPL/options/?straddle=false&amp;strike=450&amp;type=all" xr:uid="{C26FF4A3-104C-4AE8-8536-E21BA0A67318}"/>
    <hyperlink ref="A1428" r:id="rId2655" display="https://finance.yahoo.com/quote/AAPL270115C00005000/" xr:uid="{80C1D2FF-5B57-4FD2-9747-53B0F06EA19C}"/>
    <hyperlink ref="C1428" r:id="rId2656" display="https://finance.yahoo.com/quote/AAPL/options/?straddle=false&amp;strike=5&amp;type=all" xr:uid="{3B44B7A2-24EF-459C-B2FF-2A3B023766CF}"/>
    <hyperlink ref="A1429" r:id="rId2657" display="https://finance.yahoo.com/quote/AAPL270115C00010000/" xr:uid="{A4A0B53F-40E1-4EA6-9A0E-B51E614FCFD6}"/>
    <hyperlink ref="C1429" r:id="rId2658" display="https://finance.yahoo.com/quote/AAPL/options/?straddle=false&amp;strike=10&amp;type=all" xr:uid="{1E1CE3CC-DA04-479B-8235-E6A00369E864}"/>
    <hyperlink ref="A1430" r:id="rId2659" display="https://finance.yahoo.com/quote/AAPL270115C00015000/" xr:uid="{386EC9BF-0B97-4B80-BFD2-5F106CB3C4BF}"/>
    <hyperlink ref="C1430" r:id="rId2660" display="https://finance.yahoo.com/quote/AAPL/options/?straddle=false&amp;strike=15&amp;type=all" xr:uid="{7064D3F7-46F1-44B2-867C-400AFD982E98}"/>
    <hyperlink ref="A1431" r:id="rId2661" display="https://finance.yahoo.com/quote/AAPL270115C00020000/" xr:uid="{F094EA7E-DA09-46EA-9B20-72439CB70B4A}"/>
    <hyperlink ref="C1431" r:id="rId2662" display="https://finance.yahoo.com/quote/AAPL/options/?straddle=false&amp;strike=20&amp;type=all" xr:uid="{20477FDD-3364-402C-AF4A-8D581043A582}"/>
    <hyperlink ref="A1432" r:id="rId2663" display="https://finance.yahoo.com/quote/AAPL270115C00025000/" xr:uid="{C45CCEC4-DA47-4625-BAB3-A5B36C6957FA}"/>
    <hyperlink ref="C1432" r:id="rId2664" display="https://finance.yahoo.com/quote/AAPL/options/?straddle=false&amp;strike=25&amp;type=all" xr:uid="{250DA1AC-D84C-4163-9D90-05A30C5CA7FE}"/>
    <hyperlink ref="A1433" r:id="rId2665" display="https://finance.yahoo.com/quote/AAPL270115C00030000/" xr:uid="{AF0D8762-F934-47FD-AFE7-342BEC28887C}"/>
    <hyperlink ref="C1433" r:id="rId2666" display="https://finance.yahoo.com/quote/AAPL/options/?straddle=false&amp;strike=30&amp;type=all" xr:uid="{EAB14C9B-CD07-4063-AC3D-BEAD177A0E30}"/>
    <hyperlink ref="A1434" r:id="rId2667" display="https://finance.yahoo.com/quote/AAPL270115C00035000/" xr:uid="{73A65767-76D9-45C0-9F6A-A5A3B71BC062}"/>
    <hyperlink ref="C1434" r:id="rId2668" display="https://finance.yahoo.com/quote/AAPL/options/?straddle=false&amp;strike=35&amp;type=all" xr:uid="{61B611E4-5ABD-45E1-BBEF-E4E21FB61B6E}"/>
    <hyperlink ref="A1435" r:id="rId2669" display="https://finance.yahoo.com/quote/AAPL270115C00040000/" xr:uid="{FF00CB48-4E81-46D0-83E1-1DF036CFD8D1}"/>
    <hyperlink ref="C1435" r:id="rId2670" display="https://finance.yahoo.com/quote/AAPL/options/?straddle=false&amp;strike=40&amp;type=all" xr:uid="{6014307A-3496-42FC-9D5F-865DCF56BE58}"/>
    <hyperlink ref="A1436" r:id="rId2671" display="https://finance.yahoo.com/quote/AAPL270115C00045000/" xr:uid="{226E117C-B3B9-4FFA-8588-8DB86A780E66}"/>
    <hyperlink ref="C1436" r:id="rId2672" display="https://finance.yahoo.com/quote/AAPL/options/?straddle=false&amp;strike=45&amp;type=all" xr:uid="{C16F539E-763E-45AE-92E9-1D25A815D3F7}"/>
    <hyperlink ref="A1437" r:id="rId2673" display="https://finance.yahoo.com/quote/AAPL270115C00050000/" xr:uid="{90931AAF-BA14-4F48-9E27-89DE8F51140D}"/>
    <hyperlink ref="C1437" r:id="rId2674" display="https://finance.yahoo.com/quote/AAPL/options/?straddle=false&amp;strike=50&amp;type=all" xr:uid="{D755F997-1E97-4300-ABB7-F6E02C3B61DB}"/>
    <hyperlink ref="A1438" r:id="rId2675" display="https://finance.yahoo.com/quote/AAPL270115C00060000/" xr:uid="{4BC7B7AB-29F3-41A6-A842-EB7F59D4EC92}"/>
    <hyperlink ref="C1438" r:id="rId2676" display="https://finance.yahoo.com/quote/AAPL/options/?straddle=false&amp;strike=60&amp;type=all" xr:uid="{71357D3C-9B5E-4436-8B3F-46DFF54C4E1E}"/>
    <hyperlink ref="A1439" r:id="rId2677" display="https://finance.yahoo.com/quote/AAPL270115C00070000/" xr:uid="{2FB706EA-E974-49DD-9592-A6FA0BA5C114}"/>
    <hyperlink ref="C1439" r:id="rId2678" display="https://finance.yahoo.com/quote/AAPL/options/?straddle=false&amp;strike=70&amp;type=all" xr:uid="{0E0966EC-7373-472F-9268-678829B2E84C}"/>
    <hyperlink ref="A1440" r:id="rId2679" display="https://finance.yahoo.com/quote/AAPL270115C00080000/" xr:uid="{338ECD27-1945-47E9-BE09-471ECDF4996C}"/>
    <hyperlink ref="C1440" r:id="rId2680" display="https://finance.yahoo.com/quote/AAPL/options/?straddle=false&amp;strike=80&amp;type=all" xr:uid="{D93A4B2E-EFAD-4598-87A4-8925C54FADE2}"/>
    <hyperlink ref="A1441" r:id="rId2681" display="https://finance.yahoo.com/quote/AAPL270115C00085000/" xr:uid="{65C53E03-E146-488D-AE9E-D009E2EC3453}"/>
    <hyperlink ref="C1441" r:id="rId2682" display="https://finance.yahoo.com/quote/AAPL/options/?straddle=false&amp;strike=85&amp;type=all" xr:uid="{78AE1B53-735D-451F-BF8D-636EF770A9A3}"/>
    <hyperlink ref="A1442" r:id="rId2683" display="https://finance.yahoo.com/quote/AAPL270115C00090000/" xr:uid="{E3BFDF78-1246-4E39-B75D-3C2D57121212}"/>
    <hyperlink ref="C1442" r:id="rId2684" display="https://finance.yahoo.com/quote/AAPL/options/?straddle=false&amp;strike=90&amp;type=all" xr:uid="{3E320A1E-7536-4639-899C-77DA04F6727C}"/>
    <hyperlink ref="A1443" r:id="rId2685" display="https://finance.yahoo.com/quote/AAPL270115C00095000/" xr:uid="{1351DF9B-04A9-466C-9E04-A85AD4D00CE2}"/>
    <hyperlink ref="C1443" r:id="rId2686" display="https://finance.yahoo.com/quote/AAPL/options/?straddle=false&amp;strike=95&amp;type=all" xr:uid="{C4E1C480-6315-4C72-81B9-529920EF285C}"/>
    <hyperlink ref="A1444" r:id="rId2687" display="https://finance.yahoo.com/quote/AAPL270115C00100000/" xr:uid="{AF21CBBC-6DAE-438F-8D53-6DFE7AFE2BE1}"/>
    <hyperlink ref="C1444" r:id="rId2688" display="https://finance.yahoo.com/quote/AAPL/options/?straddle=false&amp;strike=100&amp;type=all" xr:uid="{92478F68-6021-48EA-BAE4-135C6848C59A}"/>
    <hyperlink ref="A1445" r:id="rId2689" display="https://finance.yahoo.com/quote/AAPL270115C00105000/" xr:uid="{EAE8591D-53EC-49F7-B5F9-8AE874C766DD}"/>
    <hyperlink ref="C1445" r:id="rId2690" display="https://finance.yahoo.com/quote/AAPL/options/?straddle=false&amp;strike=105&amp;type=all" xr:uid="{9E6EF4F8-9437-4331-B601-D2834832B443}"/>
    <hyperlink ref="A1446" r:id="rId2691" display="https://finance.yahoo.com/quote/AAPL270115C00110000/" xr:uid="{2FDEC169-B140-4848-BD51-0071C568AF92}"/>
    <hyperlink ref="C1446" r:id="rId2692" display="https://finance.yahoo.com/quote/AAPL/options/?straddle=false&amp;strike=110&amp;type=all" xr:uid="{F55EAC9C-C892-4939-9465-82DE13529C89}"/>
    <hyperlink ref="A1447" r:id="rId2693" display="https://finance.yahoo.com/quote/AAPL270115C00115000/" xr:uid="{B6E6CA71-2211-4860-A6C6-7CDFC7940080}"/>
    <hyperlink ref="C1447" r:id="rId2694" display="https://finance.yahoo.com/quote/AAPL/options/?straddle=false&amp;strike=115&amp;type=all" xr:uid="{A1659AA8-0080-431E-84AE-B8F20C58E83D}"/>
    <hyperlink ref="A1448" r:id="rId2695" display="https://finance.yahoo.com/quote/AAPL270115C00120000/" xr:uid="{CF10ADB3-B5D6-485A-A74A-F35B43F0CFCF}"/>
    <hyperlink ref="C1448" r:id="rId2696" display="https://finance.yahoo.com/quote/AAPL/options/?straddle=false&amp;strike=120&amp;type=all" xr:uid="{E3608D2B-E3C9-4B38-A2C9-A8C36CCB81BC}"/>
    <hyperlink ref="A1449" r:id="rId2697" display="https://finance.yahoo.com/quote/AAPL270115C00125000/" xr:uid="{85465094-975F-4286-8C6F-D12DC975410E}"/>
    <hyperlink ref="C1449" r:id="rId2698" display="https://finance.yahoo.com/quote/AAPL/options/?straddle=false&amp;strike=125&amp;type=all" xr:uid="{3F349BB5-D83A-4826-B985-2F4E5065C829}"/>
    <hyperlink ref="A1450" r:id="rId2699" display="https://finance.yahoo.com/quote/AAPL270115C00130000/" xr:uid="{AF75F27E-75F0-4592-B0C8-4DEDAA13C879}"/>
    <hyperlink ref="C1450" r:id="rId2700" display="https://finance.yahoo.com/quote/AAPL/options/?straddle=false&amp;strike=130&amp;type=all" xr:uid="{0EB627BD-E53F-4995-BCCA-A3112B2ED180}"/>
    <hyperlink ref="A1451" r:id="rId2701" display="https://finance.yahoo.com/quote/AAPL270115C00135000/" xr:uid="{0563BF95-B9FD-4397-AC3C-C3C4A7391F16}"/>
    <hyperlink ref="C1451" r:id="rId2702" display="https://finance.yahoo.com/quote/AAPL/options/?straddle=false&amp;strike=135&amp;type=all" xr:uid="{771D2147-B81D-45C3-8D6B-07DD439D50F2}"/>
    <hyperlink ref="A1452" r:id="rId2703" display="https://finance.yahoo.com/quote/AAPL270115C00140000/" xr:uid="{0FC6C465-83DB-4123-9E84-0828F29CA692}"/>
    <hyperlink ref="C1452" r:id="rId2704" display="https://finance.yahoo.com/quote/AAPL/options/?straddle=false&amp;strike=140&amp;type=all" xr:uid="{AD163DEF-652A-40D9-96A7-4A3F0D7E5880}"/>
    <hyperlink ref="A1453" r:id="rId2705" display="https://finance.yahoo.com/quote/AAPL270115C00145000/" xr:uid="{CBD79843-AAF6-47A0-8398-29160938CD71}"/>
    <hyperlink ref="C1453" r:id="rId2706" display="https://finance.yahoo.com/quote/AAPL/options/?straddle=false&amp;strike=145&amp;type=all" xr:uid="{1C6927F8-A76E-4144-A7C5-FBE25E7B3441}"/>
    <hyperlink ref="A1454" r:id="rId2707" display="https://finance.yahoo.com/quote/AAPL270115C00150000/" xr:uid="{AB03BE5F-EDAC-42CF-891E-E489CC50EDCA}"/>
    <hyperlink ref="C1454" r:id="rId2708" display="https://finance.yahoo.com/quote/AAPL/options/?straddle=false&amp;strike=150&amp;type=all" xr:uid="{AA0A8A31-79D4-48F8-9D4D-38D670239A40}"/>
    <hyperlink ref="A1455" r:id="rId2709" display="https://finance.yahoo.com/quote/AAPL270115C00155000/" xr:uid="{B6E1AE6B-B9E8-4C08-86D3-CF30C17DB5F8}"/>
    <hyperlink ref="C1455" r:id="rId2710" display="https://finance.yahoo.com/quote/AAPL/options/?straddle=false&amp;strike=155&amp;type=all" xr:uid="{9DCCEEC4-A6F1-40C2-8180-3BB5273B6C72}"/>
    <hyperlink ref="A1456" r:id="rId2711" display="https://finance.yahoo.com/quote/AAPL270115C00160000/" xr:uid="{95D1AD59-9D0C-44F1-A2DE-AD6A59389775}"/>
    <hyperlink ref="C1456" r:id="rId2712" display="https://finance.yahoo.com/quote/AAPL/options/?straddle=false&amp;strike=160&amp;type=all" xr:uid="{30E5A330-0CC4-4FB5-BC10-935AE60FF412}"/>
    <hyperlink ref="A1457" r:id="rId2713" display="https://finance.yahoo.com/quote/AAPL270115C00165000/" xr:uid="{CC6C5C94-6BD7-4922-A40B-99F5A8A67195}"/>
    <hyperlink ref="C1457" r:id="rId2714" display="https://finance.yahoo.com/quote/AAPL/options/?straddle=false&amp;strike=165&amp;type=all" xr:uid="{65AAC575-1E94-4433-BB78-BED8474C49F9}"/>
    <hyperlink ref="A1458" r:id="rId2715" display="https://finance.yahoo.com/quote/AAPL270115C00170000/" xr:uid="{9B90F7C4-D48A-4BCF-BF72-010A49875B7D}"/>
    <hyperlink ref="C1458" r:id="rId2716" display="https://finance.yahoo.com/quote/AAPL/options/?straddle=false&amp;strike=170&amp;type=all" xr:uid="{1AC2117B-4FCE-42EF-B475-8CF000874965}"/>
    <hyperlink ref="A1459" r:id="rId2717" display="https://finance.yahoo.com/quote/AAPL270115C00175000/" xr:uid="{39DAC4CF-531F-4929-A59B-0D0CBF332771}"/>
    <hyperlink ref="C1459" r:id="rId2718" display="https://finance.yahoo.com/quote/AAPL/options/?straddle=false&amp;strike=175&amp;type=all" xr:uid="{502C3DE4-F82A-4DDC-A3CF-42D22DD55258}"/>
    <hyperlink ref="A1460" r:id="rId2719" display="https://finance.yahoo.com/quote/AAPL270115C00180000/" xr:uid="{942F13D0-59F2-47C4-8EC9-CB5A7751B686}"/>
    <hyperlink ref="C1460" r:id="rId2720" display="https://finance.yahoo.com/quote/AAPL/options/?straddle=false&amp;strike=180&amp;type=all" xr:uid="{6262D368-2B2D-4EAE-A809-B2EFF79245F0}"/>
    <hyperlink ref="A1461" r:id="rId2721" display="https://finance.yahoo.com/quote/AAPL270115C00185000/" xr:uid="{1AADBFCC-7B14-4546-94BF-A865D80E65CF}"/>
    <hyperlink ref="C1461" r:id="rId2722" display="https://finance.yahoo.com/quote/AAPL/options/?straddle=false&amp;strike=185&amp;type=all" xr:uid="{4B889598-8218-4903-9AFE-F07B6DFA4F11}"/>
    <hyperlink ref="A1462" r:id="rId2723" display="https://finance.yahoo.com/quote/AAPL270115C00190000/" xr:uid="{058872B7-86EA-4863-A13B-D544B9C418D8}"/>
    <hyperlink ref="C1462" r:id="rId2724" display="https://finance.yahoo.com/quote/AAPL/options/?straddle=false&amp;strike=190&amp;type=all" xr:uid="{A46BE71C-20EF-4D46-A50F-4E014840B67C}"/>
    <hyperlink ref="A1463" r:id="rId2725" display="https://finance.yahoo.com/quote/AAPL270115C00195000/" xr:uid="{FAD869FD-1614-4768-81A7-96FDA2AE8B4E}"/>
    <hyperlink ref="C1463" r:id="rId2726" display="https://finance.yahoo.com/quote/AAPL/options/?straddle=false&amp;strike=195&amp;type=all" xr:uid="{CAFB6B03-9E1C-4421-ADF8-DF38C82ECF12}"/>
    <hyperlink ref="A1464" r:id="rId2727" display="https://finance.yahoo.com/quote/AAPL270115C00200000/" xr:uid="{B013874B-2DDA-4418-894A-362E5AA30C33}"/>
    <hyperlink ref="C1464" r:id="rId2728" display="https://finance.yahoo.com/quote/AAPL/options/?straddle=false&amp;strike=200&amp;type=all" xr:uid="{4FAEC25E-8B7E-4F16-9DE4-1F6364560BBF}"/>
    <hyperlink ref="A1465" r:id="rId2729" display="https://finance.yahoo.com/quote/AAPL270115C00210000/" xr:uid="{E856F38B-4505-4FBD-B24A-4C85D0954B10}"/>
    <hyperlink ref="C1465" r:id="rId2730" display="https://finance.yahoo.com/quote/AAPL/options/?straddle=false&amp;strike=210&amp;type=all" xr:uid="{0BC14F50-DEF2-452E-B070-113F9834BC1C}"/>
    <hyperlink ref="A1466" r:id="rId2731" display="https://finance.yahoo.com/quote/AAPL270115C00220000/" xr:uid="{981AEEB4-9418-4943-BEAC-0EC199D96B14}"/>
    <hyperlink ref="C1466" r:id="rId2732" display="https://finance.yahoo.com/quote/AAPL/options/?straddle=false&amp;strike=220&amp;type=all" xr:uid="{08DC9A8D-5A67-4938-856A-DC1ACE974F8F}"/>
    <hyperlink ref="A1467" r:id="rId2733" display="https://finance.yahoo.com/quote/AAPL270115C00230000/" xr:uid="{1B03392F-B19D-44B8-9FFB-48364639DBF2}"/>
    <hyperlink ref="C1467" r:id="rId2734" display="https://finance.yahoo.com/quote/AAPL/options/?straddle=false&amp;strike=230&amp;type=all" xr:uid="{B5CFEC0B-253F-415B-86F9-324FE11C2EF4}"/>
    <hyperlink ref="A1468" r:id="rId2735" display="https://finance.yahoo.com/quote/AAPL270115C00240000/" xr:uid="{D9180E1A-75F3-4FC5-B0EF-76C3339CAEAF}"/>
    <hyperlink ref="C1468" r:id="rId2736" display="https://finance.yahoo.com/quote/AAPL/options/?straddle=false&amp;strike=240&amp;type=all" xr:uid="{1C8B6373-66BA-433A-AD30-C02F39C32A85}"/>
    <hyperlink ref="A1469" r:id="rId2737" display="https://finance.yahoo.com/quote/AAPL270115C00250000/" xr:uid="{32580673-25A8-4B84-A716-E73E42A6ACE3}"/>
    <hyperlink ref="C1469" r:id="rId2738" display="https://finance.yahoo.com/quote/AAPL/options/?straddle=false&amp;strike=250&amp;type=all" xr:uid="{8E9F6F1C-7A14-4DFD-9A27-3293E526083B}"/>
    <hyperlink ref="A1470" r:id="rId2739" display="https://finance.yahoo.com/quote/AAPL270115C00260000/" xr:uid="{7E0CDA9E-06A1-4727-B416-15EDE32FC223}"/>
    <hyperlink ref="C1470" r:id="rId2740" display="https://finance.yahoo.com/quote/AAPL/options/?straddle=false&amp;strike=260&amp;type=all" xr:uid="{B4750EC9-47DE-4712-9544-77D794AF5222}"/>
    <hyperlink ref="A1471" r:id="rId2741" display="https://finance.yahoo.com/quote/AAPL270115C00270000/" xr:uid="{2172F480-7DCF-40B9-A6F4-4EEBDB28F7ED}"/>
    <hyperlink ref="C1471" r:id="rId2742" display="https://finance.yahoo.com/quote/AAPL/options/?straddle=false&amp;strike=270&amp;type=all" xr:uid="{F2B33E08-F92C-4A57-B549-8B22895EEBE3}"/>
    <hyperlink ref="A1472" r:id="rId2743" display="https://finance.yahoo.com/quote/AAPL270115C00280000/" xr:uid="{70E874DB-5225-423B-8C1A-306D952BB0D8}"/>
    <hyperlink ref="C1472" r:id="rId2744" display="https://finance.yahoo.com/quote/AAPL/options/?straddle=false&amp;strike=280&amp;type=all" xr:uid="{4368C798-6913-4CF0-BCB9-8633087989F5}"/>
    <hyperlink ref="A1473" r:id="rId2745" display="https://finance.yahoo.com/quote/AAPL270115C00290000/" xr:uid="{9C3D216D-32D3-4AE9-B7D3-DA1F5ACCFCC0}"/>
    <hyperlink ref="C1473" r:id="rId2746" display="https://finance.yahoo.com/quote/AAPL/options/?straddle=false&amp;strike=290&amp;type=all" xr:uid="{C1F8B3B0-9408-4D88-BE54-742401305627}"/>
    <hyperlink ref="A1474" r:id="rId2747" display="https://finance.yahoo.com/quote/AAPL270115C00300000/" xr:uid="{D6D7B841-95A5-481D-84FF-82B1FF608A29}"/>
    <hyperlink ref="C1474" r:id="rId2748" display="https://finance.yahoo.com/quote/AAPL/options/?straddle=false&amp;strike=300&amp;type=all" xr:uid="{AC9BD569-A094-4506-8AA4-BF33643A520B}"/>
    <hyperlink ref="A1475" r:id="rId2749" display="https://finance.yahoo.com/quote/AAPL270115C00310000/" xr:uid="{D8510F6D-B321-4C80-9589-37194E1DF754}"/>
    <hyperlink ref="C1475" r:id="rId2750" display="https://finance.yahoo.com/quote/AAPL/options/?straddle=false&amp;strike=310&amp;type=all" xr:uid="{322EE644-6EED-4CAD-BAD5-7B07214653C9}"/>
    <hyperlink ref="A1476" r:id="rId2751" display="https://finance.yahoo.com/quote/AAPL270115C00320000/" xr:uid="{96537039-C304-41BA-B0CE-9FC5E597F7D3}"/>
    <hyperlink ref="C1476" r:id="rId2752" display="https://finance.yahoo.com/quote/AAPL/options/?straddle=false&amp;strike=320&amp;type=all" xr:uid="{9395425F-E294-470C-AF46-AE0FB38F19B5}"/>
    <hyperlink ref="A1477" r:id="rId2753" display="https://finance.yahoo.com/quote/AAPL270115C00330000/" xr:uid="{3CE98D03-D982-4712-A278-4981023B5DDD}"/>
    <hyperlink ref="C1477" r:id="rId2754" display="https://finance.yahoo.com/quote/AAPL/options/?straddle=false&amp;strike=330&amp;type=all" xr:uid="{E5BC6DD5-4D07-44A2-92A8-06A1B2FB5BB2}"/>
    <hyperlink ref="A1478" r:id="rId2755" display="https://finance.yahoo.com/quote/AAPL270115C00340000/" xr:uid="{03B63F35-969E-4F01-B2DF-54DDB661C19A}"/>
    <hyperlink ref="C1478" r:id="rId2756" display="https://finance.yahoo.com/quote/AAPL/options/?straddle=false&amp;strike=340&amp;type=all" xr:uid="{2DF9BF1B-3AB7-4834-B899-AC9830CB8F66}"/>
    <hyperlink ref="A1479" r:id="rId2757" display="https://finance.yahoo.com/quote/AAPL270115C00350000/" xr:uid="{E087F591-618C-437B-9869-D5301093CAF1}"/>
    <hyperlink ref="C1479" r:id="rId2758" display="https://finance.yahoo.com/quote/AAPL/options/?straddle=false&amp;strike=350&amp;type=all" xr:uid="{C2810768-82C0-4D10-8D7F-6553F2605E9D}"/>
    <hyperlink ref="A1480" r:id="rId2759" display="https://finance.yahoo.com/quote/AAPL270115C00360000/" xr:uid="{FDFC78FD-349D-49C0-88F1-23C423A7905D}"/>
    <hyperlink ref="C1480" r:id="rId2760" display="https://finance.yahoo.com/quote/AAPL/options/?straddle=false&amp;strike=360&amp;type=all" xr:uid="{670C23D3-C495-424D-95E2-F0C6801A772E}"/>
    <hyperlink ref="A1481" r:id="rId2761" display="https://finance.yahoo.com/quote/AAPL270115C00370000/" xr:uid="{B3BB04BF-C473-4825-9C1F-FA3C2F27975B}"/>
    <hyperlink ref="C1481" r:id="rId2762" display="https://finance.yahoo.com/quote/AAPL/options/?straddle=false&amp;strike=370&amp;type=all" xr:uid="{0C9F66BE-140A-4159-B1B4-6EBC9BA5699C}"/>
    <hyperlink ref="A1482" r:id="rId2763" display="https://finance.yahoo.com/quote/AAPL270115C00380000/" xr:uid="{50D7F696-659D-410C-9EB5-08787DA630E9}"/>
    <hyperlink ref="C1482" r:id="rId2764" display="https://finance.yahoo.com/quote/AAPL/options/?straddle=false&amp;strike=380&amp;type=all" xr:uid="{0682EAF5-6884-405F-8595-F19AA18B0E53}"/>
    <hyperlink ref="A1483" r:id="rId2765" display="https://finance.yahoo.com/quote/AAPL270115C00390000/" xr:uid="{6EC91578-DBD1-4962-B70B-BB896197C743}"/>
    <hyperlink ref="C1483" r:id="rId2766" display="https://finance.yahoo.com/quote/AAPL/options/?straddle=false&amp;strike=390&amp;type=all" xr:uid="{42BBC137-9E06-4A99-BA89-7115DEFFF38E}"/>
    <hyperlink ref="A1484" r:id="rId2767" display="https://finance.yahoo.com/quote/AAPL270115C00400000/" xr:uid="{717E416F-D6A9-4430-853A-CBD044C64F35}"/>
    <hyperlink ref="C1484" r:id="rId2768" display="https://finance.yahoo.com/quote/AAPL/options/?straddle=false&amp;strike=400&amp;type=all" xr:uid="{04B76436-C0FB-4F77-85F4-2D8D327A9234}"/>
    <hyperlink ref="A1485" r:id="rId2769" display="https://finance.yahoo.com/quote/AAPL270115C00410000/" xr:uid="{CD406B11-C3ED-40E2-98E6-A268412DE9C9}"/>
    <hyperlink ref="C1485" r:id="rId2770" display="https://finance.yahoo.com/quote/AAPL/options/?straddle=false&amp;strike=410&amp;type=all" xr:uid="{E5C79727-AE03-4D01-A51C-19346C2ACB75}"/>
    <hyperlink ref="A1486" r:id="rId2771" display="https://finance.yahoo.com/quote/AAPL270115C00420000/" xr:uid="{2BFF459D-2AB7-4C25-AFAB-65A3A48BB546}"/>
    <hyperlink ref="C1486" r:id="rId2772" display="https://finance.yahoo.com/quote/AAPL/options/?straddle=false&amp;strike=420&amp;type=all" xr:uid="{7D6D2711-D361-4184-8E2E-10C4B72C799B}"/>
    <hyperlink ref="A1487" r:id="rId2773" display="https://finance.yahoo.com/quote/AAPL270115C00430000/" xr:uid="{4485E215-172E-4FD4-AFF9-2087EFEA3E39}"/>
    <hyperlink ref="C1487" r:id="rId2774" display="https://finance.yahoo.com/quote/AAPL/options/?straddle=false&amp;strike=430&amp;type=all" xr:uid="{04A653FB-CD22-468F-B8E2-8E45877039C6}"/>
    <hyperlink ref="A1488" r:id="rId2775" display="https://finance.yahoo.com/quote/AAPL270115C00440000/" xr:uid="{9A79F2D1-DC17-4B30-8D79-A437351EFE0D}"/>
    <hyperlink ref="C1488" r:id="rId2776" display="https://finance.yahoo.com/quote/AAPL/options/?straddle=false&amp;strike=440&amp;type=all" xr:uid="{451EE397-54B1-448E-954A-09A0FCF37A5B}"/>
    <hyperlink ref="A1489" r:id="rId2777" display="https://finance.yahoo.com/quote/AAPL270115C00450000/" xr:uid="{FA7DAA56-F3C5-4F80-A716-B562F9F821B3}"/>
    <hyperlink ref="C1489" r:id="rId2778" display="https://finance.yahoo.com/quote/AAPL/options/?straddle=false&amp;strike=450&amp;type=all" xr:uid="{E935D7A8-0C4A-4FA7-A5F0-449BF2945E14}"/>
    <hyperlink ref="A1490" r:id="rId2779" display="https://finance.yahoo.com/quote/AAPL270115P00005000/" xr:uid="{DD837B06-938A-4028-A081-2031F36F591A}"/>
    <hyperlink ref="C1490" r:id="rId2780" display="https://finance.yahoo.com/quote/AAPL/options/?straddle=false&amp;strike=5&amp;type=all" xr:uid="{3D0F443A-6525-41B6-A56B-FBD20B25B5AF}"/>
    <hyperlink ref="A1491" r:id="rId2781" display="https://finance.yahoo.com/quote/AAPL270115P00010000/" xr:uid="{A0141B9F-9BDA-4989-AA82-898007269352}"/>
    <hyperlink ref="C1491" r:id="rId2782" display="https://finance.yahoo.com/quote/AAPL/options/?straddle=false&amp;strike=10&amp;type=all" xr:uid="{5607CAC6-8108-4D50-85FA-B243ADF8A9F3}"/>
    <hyperlink ref="A1492" r:id="rId2783" display="https://finance.yahoo.com/quote/AAPL270115P00015000/" xr:uid="{96E0DB7E-C67A-47B1-968E-4DD8FDA7DACE}"/>
    <hyperlink ref="C1492" r:id="rId2784" display="https://finance.yahoo.com/quote/AAPL/options/?straddle=false&amp;strike=15&amp;type=all" xr:uid="{0F842068-62FC-4BFE-B3BF-12AB9EEB61AE}"/>
    <hyperlink ref="A1493" r:id="rId2785" display="https://finance.yahoo.com/quote/AAPL270115P00020000/" xr:uid="{913BD030-E254-4770-9743-F0311D6ABC57}"/>
    <hyperlink ref="C1493" r:id="rId2786" display="https://finance.yahoo.com/quote/AAPL/options/?straddle=false&amp;strike=20&amp;type=all" xr:uid="{EE5668AF-4809-4DD7-9185-CF863CB825BE}"/>
    <hyperlink ref="A1494" r:id="rId2787" display="https://finance.yahoo.com/quote/AAPL270115P00025000/" xr:uid="{529C290E-385D-4141-A720-2947BA24D933}"/>
    <hyperlink ref="C1494" r:id="rId2788" display="https://finance.yahoo.com/quote/AAPL/options/?straddle=false&amp;strike=25&amp;type=all" xr:uid="{6DCBC85B-0787-412E-827F-03EB743CC578}"/>
    <hyperlink ref="A1495" r:id="rId2789" display="https://finance.yahoo.com/quote/AAPL270115P00030000/" xr:uid="{C9565400-6BCC-4681-BFF0-5E2FC38256BF}"/>
    <hyperlink ref="C1495" r:id="rId2790" display="https://finance.yahoo.com/quote/AAPL/options/?straddle=false&amp;strike=30&amp;type=all" xr:uid="{64853809-E5C4-4B22-A43E-449A7AA0F5EA}"/>
    <hyperlink ref="A1496" r:id="rId2791" display="https://finance.yahoo.com/quote/AAPL270115P00035000/" xr:uid="{A8FA7DBE-5BF6-4B04-A3FD-B0FEFF86FDBF}"/>
    <hyperlink ref="C1496" r:id="rId2792" display="https://finance.yahoo.com/quote/AAPL/options/?straddle=false&amp;strike=35&amp;type=all" xr:uid="{E85A44D2-FE91-40BE-9C00-C982BB75C3EA}"/>
    <hyperlink ref="A1497" r:id="rId2793" display="https://finance.yahoo.com/quote/AAPL270115P00040000/" xr:uid="{5C72A414-49D9-4AF7-AC58-D2B1F9534732}"/>
    <hyperlink ref="C1497" r:id="rId2794" display="https://finance.yahoo.com/quote/AAPL/options/?straddle=false&amp;strike=40&amp;type=all" xr:uid="{74B10617-87BF-40BC-9BDC-C6F863B34599}"/>
    <hyperlink ref="A1498" r:id="rId2795" display="https://finance.yahoo.com/quote/AAPL270115P00045000/" xr:uid="{76352B93-8FE8-43FA-8C58-C5B24EB5970D}"/>
    <hyperlink ref="C1498" r:id="rId2796" display="https://finance.yahoo.com/quote/AAPL/options/?straddle=false&amp;strike=45&amp;type=all" xr:uid="{C5550F36-FE85-4AC2-B01D-89FAEF0B1BBD}"/>
    <hyperlink ref="A1499" r:id="rId2797" display="https://finance.yahoo.com/quote/AAPL270115P00050000/" xr:uid="{E5C41F7C-AFD8-4A7B-9946-EE911F51B1BF}"/>
    <hyperlink ref="C1499" r:id="rId2798" display="https://finance.yahoo.com/quote/AAPL/options/?straddle=false&amp;strike=50&amp;type=all" xr:uid="{4AEE5D8E-4F9F-4C45-A9A7-46E0A9F4F72D}"/>
    <hyperlink ref="A1500" r:id="rId2799" display="https://finance.yahoo.com/quote/AAPL270115P00060000/" xr:uid="{EEFDF127-0C0A-45FE-84C1-13526E118B14}"/>
    <hyperlink ref="C1500" r:id="rId2800" display="https://finance.yahoo.com/quote/AAPL/options/?straddle=false&amp;strike=60&amp;type=all" xr:uid="{8168FF8B-CEA5-4C4F-BAA4-DA6252A664D4}"/>
    <hyperlink ref="A1501" r:id="rId2801" display="https://finance.yahoo.com/quote/AAPL270115P00070000/" xr:uid="{F1BC5964-2673-48F0-8E89-7E8731D44821}"/>
    <hyperlink ref="C1501" r:id="rId2802" display="https://finance.yahoo.com/quote/AAPL/options/?straddle=false&amp;strike=70&amp;type=all" xr:uid="{1A079477-C558-494A-A979-466D7D20E857}"/>
    <hyperlink ref="A1502" r:id="rId2803" display="https://finance.yahoo.com/quote/AAPL270115P00080000/" xr:uid="{379DFCF3-84AB-48B3-A314-6AE5E50B62F2}"/>
    <hyperlink ref="C1502" r:id="rId2804" display="https://finance.yahoo.com/quote/AAPL/options/?straddle=false&amp;strike=80&amp;type=all" xr:uid="{B20204E2-25EE-4AD7-B812-2550032AFFA3}"/>
    <hyperlink ref="A1503" r:id="rId2805" display="https://finance.yahoo.com/quote/AAPL270115P00085000/" xr:uid="{989C28D6-8C21-4C13-8F73-CA37D0DDD578}"/>
    <hyperlink ref="C1503" r:id="rId2806" display="https://finance.yahoo.com/quote/AAPL/options/?straddle=false&amp;strike=85&amp;type=all" xr:uid="{D7C433E6-5198-4E1B-B8E3-C45581DBD906}"/>
    <hyperlink ref="A1504" r:id="rId2807" display="https://finance.yahoo.com/quote/AAPL270115P00090000/" xr:uid="{5D32A8E5-7578-4273-A894-4A84F5308AD0}"/>
    <hyperlink ref="C1504" r:id="rId2808" display="https://finance.yahoo.com/quote/AAPL/options/?straddle=false&amp;strike=90&amp;type=all" xr:uid="{63E2F1E1-B84F-49D3-900E-D4A69FAF5A4A}"/>
    <hyperlink ref="A1505" r:id="rId2809" display="https://finance.yahoo.com/quote/AAPL270115P00095000/" xr:uid="{EDD4C6B2-C6A2-41B3-BCDC-F517F9311B89}"/>
    <hyperlink ref="C1505" r:id="rId2810" display="https://finance.yahoo.com/quote/AAPL/options/?straddle=false&amp;strike=95&amp;type=all" xr:uid="{67AFA8CE-0A87-48E0-A3CC-879F114DF08E}"/>
    <hyperlink ref="A1506" r:id="rId2811" display="https://finance.yahoo.com/quote/AAPL270115P00100000/" xr:uid="{44F629DE-F471-4A11-A841-98E3202B27BF}"/>
    <hyperlink ref="C1506" r:id="rId2812" display="https://finance.yahoo.com/quote/AAPL/options/?straddle=false&amp;strike=100&amp;type=all" xr:uid="{2EC115AF-C926-4A52-96E7-AA3CB2F2B87B}"/>
    <hyperlink ref="A1507" r:id="rId2813" display="https://finance.yahoo.com/quote/AAPL270115P00105000/" xr:uid="{14DC8C2D-7331-42F0-AD49-C6C9FF9A8FB3}"/>
    <hyperlink ref="C1507" r:id="rId2814" display="https://finance.yahoo.com/quote/AAPL/options/?straddle=false&amp;strike=105&amp;type=all" xr:uid="{91F7B1B8-F746-4B34-B3AE-43FEE60E1A20}"/>
    <hyperlink ref="A1508" r:id="rId2815" display="https://finance.yahoo.com/quote/AAPL270115P00110000/" xr:uid="{E5CDBC38-D9F6-434A-895A-9F753509B65B}"/>
    <hyperlink ref="C1508" r:id="rId2816" display="https://finance.yahoo.com/quote/AAPL/options/?straddle=false&amp;strike=110&amp;type=all" xr:uid="{7CA00BFF-9757-4D3D-8F85-7223C9600E30}"/>
    <hyperlink ref="A1509" r:id="rId2817" display="https://finance.yahoo.com/quote/AAPL270115P00115000/" xr:uid="{A2F02F6F-56A3-4DD5-B142-C90FEAAA8D44}"/>
    <hyperlink ref="C1509" r:id="rId2818" display="https://finance.yahoo.com/quote/AAPL/options/?straddle=false&amp;strike=115&amp;type=all" xr:uid="{545E7286-A231-45FB-9F0E-C960B9106B84}"/>
    <hyperlink ref="A1510" r:id="rId2819" display="https://finance.yahoo.com/quote/AAPL270115P00120000/" xr:uid="{986B5785-8350-49E6-8897-A7C8B851A823}"/>
    <hyperlink ref="C1510" r:id="rId2820" display="https://finance.yahoo.com/quote/AAPL/options/?straddle=false&amp;strike=120&amp;type=all" xr:uid="{7E7E2786-E64B-4826-BEE4-FDB5449BB3B0}"/>
    <hyperlink ref="A1511" r:id="rId2821" display="https://finance.yahoo.com/quote/AAPL270115P00125000/" xr:uid="{92BE0DEA-7850-4394-9BCF-A6478F1DCBE6}"/>
    <hyperlink ref="C1511" r:id="rId2822" display="https://finance.yahoo.com/quote/AAPL/options/?straddle=false&amp;strike=125&amp;type=all" xr:uid="{5EA7C0A7-53BD-42DF-93BE-43A0CB9BB522}"/>
    <hyperlink ref="A1512" r:id="rId2823" display="https://finance.yahoo.com/quote/AAPL270115P00130000/" xr:uid="{5FEF6DAA-9B63-4C45-B2C4-C28D8C9981AE}"/>
    <hyperlink ref="C1512" r:id="rId2824" display="https://finance.yahoo.com/quote/AAPL/options/?straddle=false&amp;strike=130&amp;type=all" xr:uid="{9172E43D-6F2A-4983-B585-6B1B3A15B5E0}"/>
    <hyperlink ref="A1513" r:id="rId2825" display="https://finance.yahoo.com/quote/AAPL270115P00135000/" xr:uid="{1B17B579-C730-4063-8658-4C371CA08882}"/>
    <hyperlink ref="C1513" r:id="rId2826" display="https://finance.yahoo.com/quote/AAPL/options/?straddle=false&amp;strike=135&amp;type=all" xr:uid="{AB550D77-667F-4E32-AD11-65810B3E43F7}"/>
    <hyperlink ref="A1514" r:id="rId2827" display="https://finance.yahoo.com/quote/AAPL270115P00140000/" xr:uid="{3201C05D-F6BF-4B01-AD2E-BC802F6EA494}"/>
    <hyperlink ref="C1514" r:id="rId2828" display="https://finance.yahoo.com/quote/AAPL/options/?straddle=false&amp;strike=140&amp;type=all" xr:uid="{ED51CC52-423E-4E9D-B9F7-1C1367CBCD66}"/>
    <hyperlink ref="A1515" r:id="rId2829" display="https://finance.yahoo.com/quote/AAPL270115P00145000/" xr:uid="{C535E62F-C79C-4D97-BD04-B7153AEDD428}"/>
    <hyperlink ref="C1515" r:id="rId2830" display="https://finance.yahoo.com/quote/AAPL/options/?straddle=false&amp;strike=145&amp;type=all" xr:uid="{3D42E2D9-7796-4903-8276-A7C1C8DB8DF0}"/>
    <hyperlink ref="A1516" r:id="rId2831" display="https://finance.yahoo.com/quote/AAPL270115P00150000/" xr:uid="{1A8C2AB5-153B-4C94-BC6B-E0D32E070360}"/>
    <hyperlink ref="C1516" r:id="rId2832" display="https://finance.yahoo.com/quote/AAPL/options/?straddle=false&amp;strike=150&amp;type=all" xr:uid="{395B8273-618F-4934-A41A-D56E11DFE325}"/>
    <hyperlink ref="A1517" r:id="rId2833" display="https://finance.yahoo.com/quote/AAPL270115P00155000/" xr:uid="{6CD4F582-21B1-4BAB-B4F4-7CEC3B122B1E}"/>
    <hyperlink ref="C1517" r:id="rId2834" display="https://finance.yahoo.com/quote/AAPL/options/?straddle=false&amp;strike=155&amp;type=all" xr:uid="{6BEBD405-DDF9-424A-BD21-6B200AC08EC9}"/>
    <hyperlink ref="A1518" r:id="rId2835" display="https://finance.yahoo.com/quote/AAPL270115P00160000/" xr:uid="{E2B53B86-05DC-47B2-B3BB-F1315338E502}"/>
    <hyperlink ref="C1518" r:id="rId2836" display="https://finance.yahoo.com/quote/AAPL/options/?straddle=false&amp;strike=160&amp;type=all" xr:uid="{76EBC143-2033-402A-967D-7464B3605DF0}"/>
    <hyperlink ref="A1519" r:id="rId2837" display="https://finance.yahoo.com/quote/AAPL270115P00165000/" xr:uid="{6A6665BC-F4F7-4068-A599-7A25A3A90534}"/>
    <hyperlink ref="C1519" r:id="rId2838" display="https://finance.yahoo.com/quote/AAPL/options/?straddle=false&amp;strike=165&amp;type=all" xr:uid="{14F06A5B-E138-4C91-9332-69371E2947D1}"/>
    <hyperlink ref="A1520" r:id="rId2839" display="https://finance.yahoo.com/quote/AAPL270115P00170000/" xr:uid="{5C882946-30D8-46DB-B43D-524FCA77E115}"/>
    <hyperlink ref="C1520" r:id="rId2840" display="https://finance.yahoo.com/quote/AAPL/options/?straddle=false&amp;strike=170&amp;type=all" xr:uid="{A1F811D3-D8AB-4A15-A85B-10BF50ACCD4C}"/>
    <hyperlink ref="A1521" r:id="rId2841" display="https://finance.yahoo.com/quote/AAPL270115P00175000/" xr:uid="{539F3F50-7DCC-4BAA-9E85-6C6931EC8E3D}"/>
    <hyperlink ref="C1521" r:id="rId2842" display="https://finance.yahoo.com/quote/AAPL/options/?straddle=false&amp;strike=175&amp;type=all" xr:uid="{BF9D5730-F36C-4A7C-87FE-DD9C758CB96F}"/>
    <hyperlink ref="A1522" r:id="rId2843" display="https://finance.yahoo.com/quote/AAPL270115P00180000/" xr:uid="{D5062039-BAB3-4874-8250-92EA51897584}"/>
    <hyperlink ref="C1522" r:id="rId2844" display="https://finance.yahoo.com/quote/AAPL/options/?straddle=false&amp;strike=180&amp;type=all" xr:uid="{D5D53785-1D9C-401F-A5B2-BD5800607CAA}"/>
    <hyperlink ref="A1523" r:id="rId2845" display="https://finance.yahoo.com/quote/AAPL270115P00185000/" xr:uid="{039C8FFE-E794-46D5-866B-4CF2CBCCA691}"/>
    <hyperlink ref="C1523" r:id="rId2846" display="https://finance.yahoo.com/quote/AAPL/options/?straddle=false&amp;strike=185&amp;type=all" xr:uid="{DB6255A4-4B15-4403-82D6-260315B8F776}"/>
    <hyperlink ref="A1524" r:id="rId2847" display="https://finance.yahoo.com/quote/AAPL270115P00190000/" xr:uid="{1975D200-9CE3-4CCB-8AEC-581E2CA9D4AE}"/>
    <hyperlink ref="C1524" r:id="rId2848" display="https://finance.yahoo.com/quote/AAPL/options/?straddle=false&amp;strike=190&amp;type=all" xr:uid="{9DD33D07-1D9B-436A-A52A-080B965757CF}"/>
    <hyperlink ref="A1525" r:id="rId2849" display="https://finance.yahoo.com/quote/AAPL270115P00195000/" xr:uid="{60D6912E-B0B5-44A7-BBDE-0228C25F6E89}"/>
    <hyperlink ref="C1525" r:id="rId2850" display="https://finance.yahoo.com/quote/AAPL/options/?straddle=false&amp;strike=195&amp;type=all" xr:uid="{7F3EABD3-4DBD-4263-BF31-EBE07DDB97C5}"/>
    <hyperlink ref="A1526" r:id="rId2851" display="https://finance.yahoo.com/quote/AAPL270115P00200000/" xr:uid="{0E1D10B5-5E39-4B2B-8F58-B7BE6DBF8024}"/>
    <hyperlink ref="C1526" r:id="rId2852" display="https://finance.yahoo.com/quote/AAPL/options/?straddle=false&amp;strike=200&amp;type=all" xr:uid="{5F132AC5-3120-4D7C-BBC2-6011FC353FDE}"/>
    <hyperlink ref="A1527" r:id="rId2853" display="https://finance.yahoo.com/quote/AAPL270115P00210000/" xr:uid="{4B352F09-C6A2-42BD-BEDE-5F326407E4E3}"/>
    <hyperlink ref="C1527" r:id="rId2854" display="https://finance.yahoo.com/quote/AAPL/options/?straddle=false&amp;strike=210&amp;type=all" xr:uid="{A32574E1-4EDC-4373-99B2-F805A309F1E8}"/>
    <hyperlink ref="A1528" r:id="rId2855" display="https://finance.yahoo.com/quote/AAPL270115P00220000/" xr:uid="{20E4649D-4AC2-4EEC-9F97-B5850D1717B7}"/>
    <hyperlink ref="C1528" r:id="rId2856" display="https://finance.yahoo.com/quote/AAPL/options/?straddle=false&amp;strike=220&amp;type=all" xr:uid="{CFE14DD9-D326-4282-B8FA-DF6F51B4A8BD}"/>
    <hyperlink ref="A1529" r:id="rId2857" display="https://finance.yahoo.com/quote/AAPL270115P00230000/" xr:uid="{4C992B68-136C-46EC-847F-9EBFD00BEDA7}"/>
    <hyperlink ref="C1529" r:id="rId2858" display="https://finance.yahoo.com/quote/AAPL/options/?straddle=false&amp;strike=230&amp;type=all" xr:uid="{DD2FC72C-3E7A-4F7A-BD2C-4A816D5CC748}"/>
    <hyperlink ref="A1530" r:id="rId2859" display="https://finance.yahoo.com/quote/AAPL270115P00240000/" xr:uid="{1D3AFAF6-635F-4324-AC9D-390D2E78E784}"/>
    <hyperlink ref="C1530" r:id="rId2860" display="https://finance.yahoo.com/quote/AAPL/options/?straddle=false&amp;strike=240&amp;type=all" xr:uid="{CC52806E-ACBD-48C1-8119-D22EB9DA9DD7}"/>
    <hyperlink ref="A1531" r:id="rId2861" display="https://finance.yahoo.com/quote/AAPL270115P00250000/" xr:uid="{D8FC2FFC-05B1-4CA3-8037-6AF3D9444249}"/>
    <hyperlink ref="C1531" r:id="rId2862" display="https://finance.yahoo.com/quote/AAPL/options/?straddle=false&amp;strike=250&amp;type=all" xr:uid="{1E68B53B-198A-4BAC-9535-51C80B305D18}"/>
    <hyperlink ref="A1532" r:id="rId2863" display="https://finance.yahoo.com/quote/AAPL270115P00260000/" xr:uid="{8CFC3B75-BE80-49C9-B139-F3CECEF59D7D}"/>
    <hyperlink ref="C1532" r:id="rId2864" display="https://finance.yahoo.com/quote/AAPL/options/?straddle=false&amp;strike=260&amp;type=all" xr:uid="{D5C54166-0CD1-4699-BB8C-CAEFA186CAD7}"/>
    <hyperlink ref="A1533" r:id="rId2865" display="https://finance.yahoo.com/quote/AAPL270115P00270000/" xr:uid="{6DBA6661-E71D-423D-81C7-CD39F510D094}"/>
    <hyperlink ref="C1533" r:id="rId2866" display="https://finance.yahoo.com/quote/AAPL/options/?straddle=false&amp;strike=270&amp;type=all" xr:uid="{D70902F7-C3AE-4965-AA2A-20B560889CDB}"/>
    <hyperlink ref="A1534" r:id="rId2867" display="https://finance.yahoo.com/quote/AAPL270115P00280000/" xr:uid="{FBEFB92B-56FD-4B69-9999-110E73DFD1E0}"/>
    <hyperlink ref="C1534" r:id="rId2868" display="https://finance.yahoo.com/quote/AAPL/options/?straddle=false&amp;strike=280&amp;type=all" xr:uid="{E16094AD-BB73-4FA2-ABD8-68428336D66B}"/>
    <hyperlink ref="A1535" r:id="rId2869" display="https://finance.yahoo.com/quote/AAPL270115P00290000/" xr:uid="{DCCEE3A5-DE77-4C08-AEFD-8DD28590273D}"/>
    <hyperlink ref="C1535" r:id="rId2870" display="https://finance.yahoo.com/quote/AAPL/options/?straddle=false&amp;strike=290&amp;type=all" xr:uid="{ABE7C2DB-10A5-4A20-9EB0-7627207B09EC}"/>
    <hyperlink ref="A1536" r:id="rId2871" display="https://finance.yahoo.com/quote/AAPL270115P00300000/" xr:uid="{06AAEC71-4F55-458A-B7B1-226A8D47001B}"/>
    <hyperlink ref="C1536" r:id="rId2872" display="https://finance.yahoo.com/quote/AAPL/options/?straddle=false&amp;strike=300&amp;type=all" xr:uid="{1ABBBDF0-CC36-4719-94E4-850FBD5EE50A}"/>
    <hyperlink ref="A1537" r:id="rId2873" display="https://finance.yahoo.com/quote/AAPL270115P00310000/" xr:uid="{718EF2EB-CBDF-471E-9121-9012F993F1FD}"/>
    <hyperlink ref="C1537" r:id="rId2874" display="https://finance.yahoo.com/quote/AAPL/options/?straddle=false&amp;strike=310&amp;type=all" xr:uid="{4876E58C-824E-4D1F-A6E6-34338B3E3132}"/>
    <hyperlink ref="A1538" r:id="rId2875" display="https://finance.yahoo.com/quote/AAPL270115P00320000/" xr:uid="{E233D8F5-5034-4D88-B323-7A63658E8E0E}"/>
    <hyperlink ref="C1538" r:id="rId2876" display="https://finance.yahoo.com/quote/AAPL/options/?straddle=false&amp;strike=320&amp;type=all" xr:uid="{1064E619-B6A4-4501-AA9B-83D8B50ED3EF}"/>
    <hyperlink ref="A1539" r:id="rId2877" display="https://finance.yahoo.com/quote/AAPL270115P00330000/" xr:uid="{FD82CEFA-A7FD-4029-A17A-93C236F97C3B}"/>
    <hyperlink ref="C1539" r:id="rId2878" display="https://finance.yahoo.com/quote/AAPL/options/?straddle=false&amp;strike=330&amp;type=all" xr:uid="{C0912FE7-9756-4120-A15F-81607FAC4955}"/>
    <hyperlink ref="A1540" r:id="rId2879" display="https://finance.yahoo.com/quote/AAPL270115P00340000/" xr:uid="{6B09BADF-8362-4F99-945D-332EAE0667C5}"/>
    <hyperlink ref="C1540" r:id="rId2880" display="https://finance.yahoo.com/quote/AAPL/options/?straddle=false&amp;strike=340&amp;type=all" xr:uid="{40261D82-294D-41AB-A4E5-9031CE25F43F}"/>
    <hyperlink ref="A1541" r:id="rId2881" display="https://finance.yahoo.com/quote/AAPL270115P00350000/" xr:uid="{BB9E6867-7063-4E66-8387-5D378F3BBF3B}"/>
    <hyperlink ref="C1541" r:id="rId2882" display="https://finance.yahoo.com/quote/AAPL/options/?straddle=false&amp;strike=350&amp;type=all" xr:uid="{9AE35AAE-C14A-42B6-B2DA-858A68A95343}"/>
    <hyperlink ref="A1542" r:id="rId2883" display="https://finance.yahoo.com/quote/AAPL270115P00370000/" xr:uid="{B4C8A41B-0F5A-428F-AB1D-41BC444050E0}"/>
    <hyperlink ref="C1542" r:id="rId2884" display="https://finance.yahoo.com/quote/AAPL/options/?straddle=false&amp;strike=370&amp;type=all" xr:uid="{E308420D-507E-4841-9A2A-DB6F4BB35708}"/>
    <hyperlink ref="A1543" r:id="rId2885" display="https://finance.yahoo.com/quote/AAPL270115P00390000/" xr:uid="{3EEA101F-4F18-4FB7-9581-540791BBECCB}"/>
    <hyperlink ref="C1543" r:id="rId2886" display="https://finance.yahoo.com/quote/AAPL/options/?straddle=false&amp;strike=390&amp;type=all" xr:uid="{3DC3DA6A-BEEA-4257-AC05-E18747B6FC2B}"/>
    <hyperlink ref="A1544" r:id="rId2887" display="https://finance.yahoo.com/quote/AAPL270115P00400000/" xr:uid="{01F0E8A2-8188-4D53-AC49-4AFFDAE71DA0}"/>
    <hyperlink ref="C1544" r:id="rId2888" display="https://finance.yahoo.com/quote/AAPL/options/?straddle=false&amp;strike=400&amp;type=all" xr:uid="{0ACC0091-09CF-44AC-8A34-A021CFFD629C}"/>
    <hyperlink ref="A1545" r:id="rId2889" display="https://finance.yahoo.com/quote/AAPL270115P00410000/" xr:uid="{7AA33826-5FC4-4798-A020-967EA324FF33}"/>
    <hyperlink ref="C1545" r:id="rId2890" display="https://finance.yahoo.com/quote/AAPL/options/?straddle=false&amp;strike=410&amp;type=all" xr:uid="{F6173263-2339-49B2-A7FE-B0635CE7447F}"/>
    <hyperlink ref="A1546" r:id="rId2891" display="https://finance.yahoo.com/quote/AAPL270115P00420000/" xr:uid="{E3833363-04B1-415B-B8C0-D337E5629E2B}"/>
    <hyperlink ref="C1546" r:id="rId2892" display="https://finance.yahoo.com/quote/AAPL/options/?straddle=false&amp;strike=420&amp;type=all" xr:uid="{EC6F28C4-3756-4DD9-976D-077EE242815D}"/>
    <hyperlink ref="A1547" r:id="rId2893" display="https://finance.yahoo.com/quote/AAPL270115P00430000/" xr:uid="{B3C7CCB8-4873-4113-A169-E87A2F2A1661}"/>
    <hyperlink ref="C1547" r:id="rId2894" display="https://finance.yahoo.com/quote/AAPL/options/?straddle=false&amp;strike=430&amp;type=all" xr:uid="{4AEF7B37-9B5C-41E8-B240-F916667F77F9}"/>
    <hyperlink ref="A1548" r:id="rId2895" display="https://finance.yahoo.com/quote/AAPL270115P00440000/" xr:uid="{68A08F54-F920-49F0-BDCA-65C804441875}"/>
    <hyperlink ref="C1548" r:id="rId2896" display="https://finance.yahoo.com/quote/AAPL/options/?straddle=false&amp;strike=440&amp;type=all" xr:uid="{9DDABC27-1316-4A7B-B7DD-17F7EB2B36D2}"/>
    <hyperlink ref="A1549" r:id="rId2897" display="https://finance.yahoo.com/quote/AAPL270115P00450000/" xr:uid="{4E78BE81-454B-4FCA-8A8D-48CAA0627542}"/>
    <hyperlink ref="C1549" r:id="rId2898" display="https://finance.yahoo.com/quote/AAPL/options/?straddle=false&amp;strike=450&amp;type=all" xr:uid="{4B6A7EAA-D7D6-4865-B356-D9D42A43660D}"/>
    <hyperlink ref="A1550" r:id="rId2899" display="https://finance.yahoo.com/quote/AAPL270617C00050000/" xr:uid="{F9217E8E-FA26-4737-989C-0C4B3A4D48B2}"/>
    <hyperlink ref="C1550" r:id="rId2900" display="https://finance.yahoo.com/quote/AAPL/options/?straddle=false&amp;strike=50&amp;type=all" xr:uid="{8AE7D8D4-BBAB-4156-A885-A933D0403646}"/>
    <hyperlink ref="A1551" r:id="rId2901" display="https://finance.yahoo.com/quote/AAPL270617C00055000/" xr:uid="{295251C3-CF9E-427C-AE7F-B2E52D0807DD}"/>
    <hyperlink ref="C1551" r:id="rId2902" display="https://finance.yahoo.com/quote/AAPL/options/?straddle=false&amp;strike=55&amp;type=all" xr:uid="{41024562-0A5A-405F-AB30-83F33243E7CD}"/>
    <hyperlink ref="A1552" r:id="rId2903" display="https://finance.yahoo.com/quote/AAPL270617C00060000/" xr:uid="{7A07316E-65E8-4618-9977-0E486CDFD002}"/>
    <hyperlink ref="C1552" r:id="rId2904" display="https://finance.yahoo.com/quote/AAPL/options/?straddle=false&amp;strike=60&amp;type=all" xr:uid="{24E1132E-0089-4511-8FC7-A4D25A61A45A}"/>
    <hyperlink ref="A1553" r:id="rId2905" display="https://finance.yahoo.com/quote/AAPL270617C00065000/" xr:uid="{36B5CFB0-549C-4831-AD31-5787677943A4}"/>
    <hyperlink ref="C1553" r:id="rId2906" display="https://finance.yahoo.com/quote/AAPL/options/?straddle=false&amp;strike=65&amp;type=all" xr:uid="{863A3229-A8BF-4647-84CD-08CD05C78B29}"/>
    <hyperlink ref="A1554" r:id="rId2907" display="https://finance.yahoo.com/quote/AAPL270617C00070000/" xr:uid="{FE43F61B-77D6-4C68-AD02-FFC0B55A3DA1}"/>
    <hyperlink ref="C1554" r:id="rId2908" display="https://finance.yahoo.com/quote/AAPL/options/?straddle=false&amp;strike=70&amp;type=all" xr:uid="{C806BB70-634F-4618-9086-87859FF49C48}"/>
    <hyperlink ref="A1555" r:id="rId2909" display="https://finance.yahoo.com/quote/AAPL270617C00075000/" xr:uid="{FBB1852D-ECB8-479E-B551-0C21E0B8DA51}"/>
    <hyperlink ref="C1555" r:id="rId2910" display="https://finance.yahoo.com/quote/AAPL/options/?straddle=false&amp;strike=75&amp;type=all" xr:uid="{16A1216E-2AB6-4B4D-AD0C-FFD0D95F5D41}"/>
    <hyperlink ref="A1556" r:id="rId2911" display="https://finance.yahoo.com/quote/AAPL270617C00080000/" xr:uid="{4D60AADC-743D-40EA-9E40-C2B236536B3B}"/>
    <hyperlink ref="C1556" r:id="rId2912" display="https://finance.yahoo.com/quote/AAPL/options/?straddle=false&amp;strike=80&amp;type=all" xr:uid="{2D9D7077-FDD2-4C68-B60C-712CB14D2EDE}"/>
    <hyperlink ref="A1557" r:id="rId2913" display="https://finance.yahoo.com/quote/AAPL270617C00085000/" xr:uid="{03392063-824C-49BD-8148-553A04285F73}"/>
    <hyperlink ref="C1557" r:id="rId2914" display="https://finance.yahoo.com/quote/AAPL/options/?straddle=false&amp;strike=85&amp;type=all" xr:uid="{F826C6FF-ED71-4353-B85C-51D566F5EB1D}"/>
    <hyperlink ref="A1558" r:id="rId2915" display="https://finance.yahoo.com/quote/AAPL270617C00090000/" xr:uid="{5AF890AA-0276-42BC-9637-D61460237291}"/>
    <hyperlink ref="C1558" r:id="rId2916" display="https://finance.yahoo.com/quote/AAPL/options/?straddle=false&amp;strike=90&amp;type=all" xr:uid="{6EBB7AEE-C104-4FCE-9CEE-F9EC56B1CA3C}"/>
    <hyperlink ref="A1559" r:id="rId2917" display="https://finance.yahoo.com/quote/AAPL270617C00095000/" xr:uid="{4434F04A-946B-4034-89D7-35E39073BE37}"/>
    <hyperlink ref="C1559" r:id="rId2918" display="https://finance.yahoo.com/quote/AAPL/options/?straddle=false&amp;strike=95&amp;type=all" xr:uid="{6139D8DB-3091-49C1-8720-B5D40BE0ED9F}"/>
    <hyperlink ref="A1560" r:id="rId2919" display="https://finance.yahoo.com/quote/AAPL270617C00100000/" xr:uid="{95697427-653E-43F0-886D-71069FEDA137}"/>
    <hyperlink ref="C1560" r:id="rId2920" display="https://finance.yahoo.com/quote/AAPL/options/?straddle=false&amp;strike=100&amp;type=all" xr:uid="{110230F6-025F-4077-9D72-6DD6323B17C4}"/>
    <hyperlink ref="A1561" r:id="rId2921" display="https://finance.yahoo.com/quote/AAPL270617C00105000/" xr:uid="{B23B24F0-9572-4A51-A407-C21634FF0721}"/>
    <hyperlink ref="C1561" r:id="rId2922" display="https://finance.yahoo.com/quote/AAPL/options/?straddle=false&amp;strike=105&amp;type=all" xr:uid="{436F7366-2687-4AFC-BD24-21EA95951D16}"/>
    <hyperlink ref="A1562" r:id="rId2923" display="https://finance.yahoo.com/quote/AAPL270617C00110000/" xr:uid="{3C228ED8-CAD3-454A-940C-FD9DFC4E4F51}"/>
    <hyperlink ref="C1562" r:id="rId2924" display="https://finance.yahoo.com/quote/AAPL/options/?straddle=false&amp;strike=110&amp;type=all" xr:uid="{F6B373B8-959F-4306-B4F0-BBA1802B8090}"/>
    <hyperlink ref="A1563" r:id="rId2925" display="https://finance.yahoo.com/quote/AAPL270617C00115000/" xr:uid="{DF40B736-4C72-4FB0-9910-8784FE1667FE}"/>
    <hyperlink ref="C1563" r:id="rId2926" display="https://finance.yahoo.com/quote/AAPL/options/?straddle=false&amp;strike=115&amp;type=all" xr:uid="{C024833F-B859-4650-8611-2219AA6286E6}"/>
    <hyperlink ref="A1564" r:id="rId2927" display="https://finance.yahoo.com/quote/AAPL270617C00120000/" xr:uid="{87B7468E-BA01-4BE4-BB54-701489762D6E}"/>
    <hyperlink ref="C1564" r:id="rId2928" display="https://finance.yahoo.com/quote/AAPL/options/?straddle=false&amp;strike=120&amp;type=all" xr:uid="{61D8DFE7-C28E-46C6-93CB-55BADC792AC5}"/>
    <hyperlink ref="A1565" r:id="rId2929" display="https://finance.yahoo.com/quote/AAPL270617C00125000/" xr:uid="{2EF5682E-7B12-4EBF-B63C-6229F7A7C748}"/>
    <hyperlink ref="C1565" r:id="rId2930" display="https://finance.yahoo.com/quote/AAPL/options/?straddle=false&amp;strike=125&amp;type=all" xr:uid="{F1BDB0FB-D1A9-4B33-B64A-17E47C43BB32}"/>
    <hyperlink ref="A1566" r:id="rId2931" display="https://finance.yahoo.com/quote/AAPL270617C00130000/" xr:uid="{0431DD80-D0DD-469C-AA6C-991415F4CAFC}"/>
    <hyperlink ref="C1566" r:id="rId2932" display="https://finance.yahoo.com/quote/AAPL/options/?straddle=false&amp;strike=130&amp;type=all" xr:uid="{FE562A15-E7B0-4C3B-BC98-E6C04D982EC2}"/>
    <hyperlink ref="A1567" r:id="rId2933" display="https://finance.yahoo.com/quote/AAPL270617C00135000/" xr:uid="{8F53E6DB-9D17-4B51-B4AD-14EB46085445}"/>
    <hyperlink ref="C1567" r:id="rId2934" display="https://finance.yahoo.com/quote/AAPL/options/?straddle=false&amp;strike=135&amp;type=all" xr:uid="{5C5601F9-9760-4E4B-9267-9AE38A9712C5}"/>
    <hyperlink ref="A1568" r:id="rId2935" display="https://finance.yahoo.com/quote/AAPL270617C00140000/" xr:uid="{94AF1998-0B62-458E-8381-FAE1DBA969A7}"/>
    <hyperlink ref="C1568" r:id="rId2936" display="https://finance.yahoo.com/quote/AAPL/options/?straddle=false&amp;strike=140&amp;type=all" xr:uid="{E331C3F6-C168-4621-A66A-64FFC54ACF5C}"/>
    <hyperlink ref="A1569" r:id="rId2937" display="https://finance.yahoo.com/quote/AAPL270617C00145000/" xr:uid="{6B5BCCFF-AC7E-4642-9E8F-006AF7A0FE53}"/>
    <hyperlink ref="C1569" r:id="rId2938" display="https://finance.yahoo.com/quote/AAPL/options/?straddle=false&amp;strike=145&amp;type=all" xr:uid="{61CA10EB-4EFD-4227-A459-01251015CF57}"/>
    <hyperlink ref="A1570" r:id="rId2939" display="https://finance.yahoo.com/quote/AAPL270617C00150000/" xr:uid="{9F8FC96F-BE35-4931-92F1-7F1FF1E5357E}"/>
    <hyperlink ref="C1570" r:id="rId2940" display="https://finance.yahoo.com/quote/AAPL/options/?straddle=false&amp;strike=150&amp;type=all" xr:uid="{82C1D2E3-C970-45BE-ABDF-39190D49E7C3}"/>
    <hyperlink ref="A1571" r:id="rId2941" display="https://finance.yahoo.com/quote/AAPL270617C00155000/" xr:uid="{03E57364-450E-4315-A727-E0068DCB574C}"/>
    <hyperlink ref="C1571" r:id="rId2942" display="https://finance.yahoo.com/quote/AAPL/options/?straddle=false&amp;strike=155&amp;type=all" xr:uid="{76DA7C03-2FAA-432F-B15E-7908AD596C85}"/>
    <hyperlink ref="A1572" r:id="rId2943" display="https://finance.yahoo.com/quote/AAPL270617C00160000/" xr:uid="{CCD20C49-B6F4-4BC5-B3EF-8A31D8608D5E}"/>
    <hyperlink ref="C1572" r:id="rId2944" display="https://finance.yahoo.com/quote/AAPL/options/?straddle=false&amp;strike=160&amp;type=all" xr:uid="{6A729464-DAF7-4EE4-8AE5-A4B48DE95E7A}"/>
    <hyperlink ref="A1573" r:id="rId2945" display="https://finance.yahoo.com/quote/AAPL270617C00165000/" xr:uid="{D8435692-A999-4425-82DE-31FD1A04214A}"/>
    <hyperlink ref="C1573" r:id="rId2946" display="https://finance.yahoo.com/quote/AAPL/options/?straddle=false&amp;strike=165&amp;type=all" xr:uid="{A32E554B-1399-4432-AC57-0AE3098D0224}"/>
    <hyperlink ref="A1574" r:id="rId2947" display="https://finance.yahoo.com/quote/AAPL270617C00170000/" xr:uid="{91480E69-DFB0-47CD-B5F9-BFF3D363A156}"/>
    <hyperlink ref="C1574" r:id="rId2948" display="https://finance.yahoo.com/quote/AAPL/options/?straddle=false&amp;strike=170&amp;type=all" xr:uid="{E32BC477-3B9E-48CD-9BCF-9D67AEC4C37A}"/>
    <hyperlink ref="A1575" r:id="rId2949" display="https://finance.yahoo.com/quote/AAPL270617C00175000/" xr:uid="{8FD0F1A8-AD5D-4B88-9B13-EC819184123C}"/>
    <hyperlink ref="C1575" r:id="rId2950" display="https://finance.yahoo.com/quote/AAPL/options/?straddle=false&amp;strike=175&amp;type=all" xr:uid="{1098B74B-903E-4E35-A9BA-9A811D52528C}"/>
    <hyperlink ref="A1576" r:id="rId2951" display="https://finance.yahoo.com/quote/AAPL270617C00180000/" xr:uid="{2CD59B80-D91B-49FA-B73B-AC172CBE5E60}"/>
    <hyperlink ref="C1576" r:id="rId2952" display="https://finance.yahoo.com/quote/AAPL/options/?straddle=false&amp;strike=180&amp;type=all" xr:uid="{4AFC1A29-1651-462E-B6BF-C87ECFCF2F8A}"/>
    <hyperlink ref="A1577" r:id="rId2953" display="https://finance.yahoo.com/quote/AAPL270617C00185000/" xr:uid="{F63DC54A-7B8A-419B-9CBA-BE5DDE54F041}"/>
    <hyperlink ref="C1577" r:id="rId2954" display="https://finance.yahoo.com/quote/AAPL/options/?straddle=false&amp;strike=185&amp;type=all" xr:uid="{749CD2C4-266A-4B26-A6B2-3ED111662ED2}"/>
    <hyperlink ref="A1578" r:id="rId2955" display="https://finance.yahoo.com/quote/AAPL270617C00190000/" xr:uid="{086946A8-13E7-49B6-826B-90F867D94645}"/>
    <hyperlink ref="C1578" r:id="rId2956" display="https://finance.yahoo.com/quote/AAPL/options/?straddle=false&amp;strike=190&amp;type=all" xr:uid="{9209FE3A-A2F1-4EE7-BB91-26C04289427D}"/>
    <hyperlink ref="A1579" r:id="rId2957" display="https://finance.yahoo.com/quote/AAPL270617C00195000/" xr:uid="{C35718AF-982B-4719-BDFF-C5BAF2A09E85}"/>
    <hyperlink ref="C1579" r:id="rId2958" display="https://finance.yahoo.com/quote/AAPL/options/?straddle=false&amp;strike=195&amp;type=all" xr:uid="{428FDAF5-1BED-465B-9FD1-F70C8849AC6B}"/>
    <hyperlink ref="A1580" r:id="rId2959" display="https://finance.yahoo.com/quote/AAPL270617C00200000/" xr:uid="{89C73343-4C0D-4FC4-80DD-6C88B0C63F07}"/>
    <hyperlink ref="C1580" r:id="rId2960" display="https://finance.yahoo.com/quote/AAPL/options/?straddle=false&amp;strike=200&amp;type=all" xr:uid="{1923D515-AE4D-4706-9A8D-3EDB91E0FB3D}"/>
    <hyperlink ref="A1581" r:id="rId2961" display="https://finance.yahoo.com/quote/AAPL270617C00210000/" xr:uid="{7BBB698E-BEF6-4D2F-A4FE-6697077D96BC}"/>
    <hyperlink ref="C1581" r:id="rId2962" display="https://finance.yahoo.com/quote/AAPL/options/?straddle=false&amp;strike=210&amp;type=all" xr:uid="{E983B173-8CB4-4C92-83C0-A4ABCE4E0151}"/>
    <hyperlink ref="A1582" r:id="rId2963" display="https://finance.yahoo.com/quote/AAPL270617C00220000/" xr:uid="{D272B765-9F88-4CB4-AFEF-C0C481F03369}"/>
    <hyperlink ref="C1582" r:id="rId2964" display="https://finance.yahoo.com/quote/AAPL/options/?straddle=false&amp;strike=220&amp;type=all" xr:uid="{587D9988-298E-4F33-BC99-43D6BA97453B}"/>
    <hyperlink ref="A1583" r:id="rId2965" display="https://finance.yahoo.com/quote/AAPL270617C00230000/" xr:uid="{8EE8B615-CC37-44A1-B5C0-AE07B04EF1CF}"/>
    <hyperlink ref="C1583" r:id="rId2966" display="https://finance.yahoo.com/quote/AAPL/options/?straddle=false&amp;strike=230&amp;type=all" xr:uid="{F4B6DCC9-D056-4E2B-AC6E-013DD7D37C38}"/>
    <hyperlink ref="A1584" r:id="rId2967" display="https://finance.yahoo.com/quote/AAPL270617C00240000/" xr:uid="{9DD741B8-89A3-4219-AFD2-D56F2E866171}"/>
    <hyperlink ref="C1584" r:id="rId2968" display="https://finance.yahoo.com/quote/AAPL/options/?straddle=false&amp;strike=240&amp;type=all" xr:uid="{F7B36B01-3564-45B0-BB15-3FF8DBE33074}"/>
    <hyperlink ref="A1585" r:id="rId2969" display="https://finance.yahoo.com/quote/AAPL270617C00250000/" xr:uid="{580EEF5E-D56E-431E-BED3-E11659C7CC12}"/>
    <hyperlink ref="C1585" r:id="rId2970" display="https://finance.yahoo.com/quote/AAPL/options/?straddle=false&amp;strike=250&amp;type=all" xr:uid="{920D459C-F8F5-4F46-82E1-653908D9A30D}"/>
    <hyperlink ref="A1586" r:id="rId2971" display="https://finance.yahoo.com/quote/AAPL270617C00260000/" xr:uid="{C002DE2B-4497-4189-B97A-96071ABD519A}"/>
    <hyperlink ref="C1586" r:id="rId2972" display="https://finance.yahoo.com/quote/AAPL/options/?straddle=false&amp;strike=260&amp;type=all" xr:uid="{54A6CE39-5AC9-4439-BDE6-188360C8F042}"/>
    <hyperlink ref="A1587" r:id="rId2973" display="https://finance.yahoo.com/quote/AAPL270617C00270000/" xr:uid="{A765FFD9-1935-486E-A229-E592199FEDDB}"/>
    <hyperlink ref="C1587" r:id="rId2974" display="https://finance.yahoo.com/quote/AAPL/options/?straddle=false&amp;strike=270&amp;type=all" xr:uid="{11A2DE11-E78A-42FF-9DB1-A96FE2263507}"/>
    <hyperlink ref="A1588" r:id="rId2975" display="https://finance.yahoo.com/quote/AAPL270617C00280000/" xr:uid="{78262F74-C3CA-47DC-861D-00ED97220AED}"/>
    <hyperlink ref="C1588" r:id="rId2976" display="https://finance.yahoo.com/quote/AAPL/options/?straddle=false&amp;strike=280&amp;type=all" xr:uid="{41E69244-B038-4D5F-AFAC-BC3A87AAE646}"/>
    <hyperlink ref="A1589" r:id="rId2977" display="https://finance.yahoo.com/quote/AAPL270617C00290000/" xr:uid="{F1FFDDC5-52CD-42A2-9AE0-F7398F073138}"/>
    <hyperlink ref="C1589" r:id="rId2978" display="https://finance.yahoo.com/quote/AAPL/options/?straddle=false&amp;strike=290&amp;type=all" xr:uid="{360FE885-4648-4BF6-9DE1-E0A4C03A3745}"/>
    <hyperlink ref="A1590" r:id="rId2979" display="https://finance.yahoo.com/quote/AAPL270617C00300000/" xr:uid="{9BD785BC-93A8-4F30-B846-16B2CB1A0997}"/>
    <hyperlink ref="C1590" r:id="rId2980" display="https://finance.yahoo.com/quote/AAPL/options/?straddle=false&amp;strike=300&amp;type=all" xr:uid="{2EDF68AF-194A-45A6-BB68-719ED1871A06}"/>
    <hyperlink ref="A1591" r:id="rId2981" display="https://finance.yahoo.com/quote/AAPL270617C00310000/" xr:uid="{D5E8A730-39E2-4583-A993-EF541F7FD2C6}"/>
    <hyperlink ref="C1591" r:id="rId2982" display="https://finance.yahoo.com/quote/AAPL/options/?straddle=false&amp;strike=310&amp;type=all" xr:uid="{0F5B7E31-0EBB-4BE8-A4A1-52470F1C18BD}"/>
    <hyperlink ref="A1592" r:id="rId2983" display="https://finance.yahoo.com/quote/AAPL270617C00320000/" xr:uid="{B5302FC7-57F1-4FFE-80C9-723BF64E80C7}"/>
    <hyperlink ref="C1592" r:id="rId2984" display="https://finance.yahoo.com/quote/AAPL/options/?straddle=false&amp;strike=320&amp;type=all" xr:uid="{9A08143D-46EB-4512-983F-69ACE4B544FE}"/>
    <hyperlink ref="A1593" r:id="rId2985" display="https://finance.yahoo.com/quote/AAPL270617C00330000/" xr:uid="{ACC01A2B-D8B2-4574-A473-BBF64E4CF78A}"/>
    <hyperlink ref="C1593" r:id="rId2986" display="https://finance.yahoo.com/quote/AAPL/options/?straddle=false&amp;strike=330&amp;type=all" xr:uid="{18E18F2D-DA54-4851-AA54-E14C555DBA20}"/>
    <hyperlink ref="A1594" r:id="rId2987" display="https://finance.yahoo.com/quote/AAPL270617C00340000/" xr:uid="{57D545D5-3F19-4CB8-BC09-9FAD51A927CA}"/>
    <hyperlink ref="C1594" r:id="rId2988" display="https://finance.yahoo.com/quote/AAPL/options/?straddle=false&amp;strike=340&amp;type=all" xr:uid="{9174CAEF-5ECA-43D4-A774-0317D5D3781E}"/>
    <hyperlink ref="A1595" r:id="rId2989" display="https://finance.yahoo.com/quote/AAPL270617C00350000/" xr:uid="{980A0C6E-E6ED-426F-B6F5-A269A74C167F}"/>
    <hyperlink ref="C1595" r:id="rId2990" display="https://finance.yahoo.com/quote/AAPL/options/?straddle=false&amp;strike=350&amp;type=all" xr:uid="{779B9E4D-E432-4E0A-B91D-5ADE137E6B65}"/>
    <hyperlink ref="A1596" r:id="rId2991" display="https://finance.yahoo.com/quote/AAPL270617C00360000/" xr:uid="{094E3EE8-46E6-46D6-9F8D-364C9E2D360F}"/>
    <hyperlink ref="C1596" r:id="rId2992" display="https://finance.yahoo.com/quote/AAPL/options/?straddle=false&amp;strike=360&amp;type=all" xr:uid="{BAD58F2F-39E7-47F3-B237-8EC33C412127}"/>
    <hyperlink ref="A1597" r:id="rId2993" display="https://finance.yahoo.com/quote/AAPL270617C00370000/" xr:uid="{99F6E6F9-9152-4EB8-BF63-9A954C1FCDBE}"/>
    <hyperlink ref="C1597" r:id="rId2994" display="https://finance.yahoo.com/quote/AAPL/options/?straddle=false&amp;strike=370&amp;type=all" xr:uid="{03F104D1-1B75-4F60-BB8A-FBD2F28534F2}"/>
    <hyperlink ref="A1598" r:id="rId2995" display="https://finance.yahoo.com/quote/AAPL270617C00380000/" xr:uid="{D214BD50-05EE-4567-9EF8-DF1E9D25444E}"/>
    <hyperlink ref="C1598" r:id="rId2996" display="https://finance.yahoo.com/quote/AAPL/options/?straddle=false&amp;strike=380&amp;type=all" xr:uid="{C7678999-B98F-49C0-90B3-023ACC56BD9A}"/>
    <hyperlink ref="A1599" r:id="rId2997" display="https://finance.yahoo.com/quote/AAPL270617C00390000/" xr:uid="{9F8E6BB8-7921-4D33-BBED-00C05EE0D123}"/>
    <hyperlink ref="C1599" r:id="rId2998" display="https://finance.yahoo.com/quote/AAPL/options/?straddle=false&amp;strike=390&amp;type=all" xr:uid="{BED292C5-F27F-4975-A5DF-BFA4E5F0546A}"/>
    <hyperlink ref="A1600" r:id="rId2999" display="https://finance.yahoo.com/quote/AAPL270617C00400000/" xr:uid="{8BE094DE-6498-4DED-A281-39FBB9AE75A2}"/>
    <hyperlink ref="C1600" r:id="rId3000" display="https://finance.yahoo.com/quote/AAPL/options/?straddle=false&amp;strike=400&amp;type=all" xr:uid="{D141260B-EBE3-4299-9557-01F1383BD59E}"/>
    <hyperlink ref="A1601" r:id="rId3001" display="https://finance.yahoo.com/quote/AAPL270617C00410000/" xr:uid="{42A1A31D-891B-4384-A3E2-C867D50D98BA}"/>
    <hyperlink ref="C1601" r:id="rId3002" display="https://finance.yahoo.com/quote/AAPL/options/?straddle=false&amp;strike=410&amp;type=all" xr:uid="{432F3E76-BB19-4412-B0C3-7847AEF6C030}"/>
    <hyperlink ref="A1602" r:id="rId3003" display="https://finance.yahoo.com/quote/AAPL270617C00420000/" xr:uid="{610BCE2D-2B27-4899-9B04-39950EDEEA60}"/>
    <hyperlink ref="C1602" r:id="rId3004" display="https://finance.yahoo.com/quote/AAPL/options/?straddle=false&amp;strike=420&amp;type=all" xr:uid="{A1339DD2-6DD9-411F-8856-6CE01AC20B15}"/>
    <hyperlink ref="A1603" r:id="rId3005" display="https://finance.yahoo.com/quote/AAPL270617C00430000/" xr:uid="{F9BF3E75-DB42-4A1E-B0B3-985355B2360E}"/>
    <hyperlink ref="C1603" r:id="rId3006" display="https://finance.yahoo.com/quote/AAPL/options/?straddle=false&amp;strike=430&amp;type=all" xr:uid="{5457BD70-2CCA-4E6B-969C-CB9DC8571BF8}"/>
    <hyperlink ref="A1604" r:id="rId3007" display="https://finance.yahoo.com/quote/AAPL270617C00440000/" xr:uid="{FD73546B-6D8F-4BC9-BEBC-B05CAE4995A5}"/>
    <hyperlink ref="C1604" r:id="rId3008" display="https://finance.yahoo.com/quote/AAPL/options/?straddle=false&amp;strike=440&amp;type=all" xr:uid="{B2D8FE1B-45A8-4E3C-ACBF-F5A7C12D124A}"/>
    <hyperlink ref="A1605" r:id="rId3009" display="https://finance.yahoo.com/quote/AAPL270617C00450000/" xr:uid="{498B27E4-96F7-4C76-868C-EA21F4AF7748}"/>
    <hyperlink ref="C1605" r:id="rId3010" display="https://finance.yahoo.com/quote/AAPL/options/?straddle=false&amp;strike=450&amp;type=all" xr:uid="{1281F527-7B3F-4907-9F44-D599E207418D}"/>
    <hyperlink ref="A1606" r:id="rId3011" display="https://finance.yahoo.com/quote/AAPL270617P00050000/" xr:uid="{1A0522D2-80B6-475A-991A-E166479202C1}"/>
    <hyperlink ref="C1606" r:id="rId3012" display="https://finance.yahoo.com/quote/AAPL/options/?straddle=false&amp;strike=50&amp;type=all" xr:uid="{9FFA39D3-DF1E-4DAE-B815-8654F0DD45F2}"/>
    <hyperlink ref="A1607" r:id="rId3013" display="https://finance.yahoo.com/quote/AAPL270617P00055000/" xr:uid="{5888E51A-B7B6-4AAB-A705-F208615B9DB1}"/>
    <hyperlink ref="C1607" r:id="rId3014" display="https://finance.yahoo.com/quote/AAPL/options/?straddle=false&amp;strike=55&amp;type=all" xr:uid="{26810E6A-2E7F-4E0E-8CC9-9B0DF786C6A7}"/>
    <hyperlink ref="A1608" r:id="rId3015" display="https://finance.yahoo.com/quote/AAPL270617P00060000/" xr:uid="{427AC28C-B1CC-49FA-B7A0-913F5DB88E47}"/>
    <hyperlink ref="C1608" r:id="rId3016" display="https://finance.yahoo.com/quote/AAPL/options/?straddle=false&amp;strike=60&amp;type=all" xr:uid="{4471FE57-C5FE-4607-B21E-3DDC7FEE17B9}"/>
    <hyperlink ref="A1609" r:id="rId3017" display="https://finance.yahoo.com/quote/AAPL270617P00065000/" xr:uid="{7D76842B-EEDA-423D-92EA-D4C820FC3E76}"/>
    <hyperlink ref="C1609" r:id="rId3018" display="https://finance.yahoo.com/quote/AAPL/options/?straddle=false&amp;strike=65&amp;type=all" xr:uid="{4B3C271A-7321-49D5-B3C1-F18E19567DA1}"/>
    <hyperlink ref="A1610" r:id="rId3019" display="https://finance.yahoo.com/quote/AAPL270617P00070000/" xr:uid="{E26E73D0-0087-4A05-9ABF-061D00191D71}"/>
    <hyperlink ref="C1610" r:id="rId3020" display="https://finance.yahoo.com/quote/AAPL/options/?straddle=false&amp;strike=70&amp;type=all" xr:uid="{EB6034C2-A918-42CC-AE8B-CEC62CE52197}"/>
    <hyperlink ref="A1611" r:id="rId3021" display="https://finance.yahoo.com/quote/AAPL270617P00075000/" xr:uid="{A182C4CC-B795-4C3E-84CB-BAA3DD6502C8}"/>
    <hyperlink ref="C1611" r:id="rId3022" display="https://finance.yahoo.com/quote/AAPL/options/?straddle=false&amp;strike=75&amp;type=all" xr:uid="{3222021B-C47B-4CC4-947B-3525AD7B4B8C}"/>
    <hyperlink ref="A1612" r:id="rId3023" display="https://finance.yahoo.com/quote/AAPL270617P00080000/" xr:uid="{1C3DE99C-7C8A-4599-937A-7AF35D064D64}"/>
    <hyperlink ref="C1612" r:id="rId3024" display="https://finance.yahoo.com/quote/AAPL/options/?straddle=false&amp;strike=80&amp;type=all" xr:uid="{6F296752-7510-4B12-AC84-68B8074835AD}"/>
    <hyperlink ref="A1613" r:id="rId3025" display="https://finance.yahoo.com/quote/AAPL270617P00085000/" xr:uid="{C864BA41-04CA-4313-A610-8B5353B2B884}"/>
    <hyperlink ref="C1613" r:id="rId3026" display="https://finance.yahoo.com/quote/AAPL/options/?straddle=false&amp;strike=85&amp;type=all" xr:uid="{F0A7FC58-6FEC-4599-974D-BFA2AEEB3C04}"/>
    <hyperlink ref="A1614" r:id="rId3027" display="https://finance.yahoo.com/quote/AAPL270617P00090000/" xr:uid="{9CE55BBC-D781-4B25-8EED-001E4AF15A41}"/>
    <hyperlink ref="C1614" r:id="rId3028" display="https://finance.yahoo.com/quote/AAPL/options/?straddle=false&amp;strike=90&amp;type=all" xr:uid="{95DE2828-3018-4833-BCD8-876FFFDE8EAC}"/>
    <hyperlink ref="A1615" r:id="rId3029" display="https://finance.yahoo.com/quote/AAPL270617P00095000/" xr:uid="{93A4B65D-1D56-4B10-AC95-5D3CF43FDBDF}"/>
    <hyperlink ref="C1615" r:id="rId3030" display="https://finance.yahoo.com/quote/AAPL/options/?straddle=false&amp;strike=95&amp;type=all" xr:uid="{C4769D99-E38D-4E57-B49D-7DCDBDFB4DEB}"/>
    <hyperlink ref="A1616" r:id="rId3031" display="https://finance.yahoo.com/quote/AAPL270617P00100000/" xr:uid="{083082B4-85F0-4CCA-AA9A-A7F9BDD6D274}"/>
    <hyperlink ref="C1616" r:id="rId3032" display="https://finance.yahoo.com/quote/AAPL/options/?straddle=false&amp;strike=100&amp;type=all" xr:uid="{25DF3FDF-9F27-4159-89D9-35A598073A1B}"/>
    <hyperlink ref="A1617" r:id="rId3033" display="https://finance.yahoo.com/quote/AAPL270617P00105000/" xr:uid="{954C338D-8785-4ED9-BDAD-793F0BF87061}"/>
    <hyperlink ref="C1617" r:id="rId3034" display="https://finance.yahoo.com/quote/AAPL/options/?straddle=false&amp;strike=105&amp;type=all" xr:uid="{593057FF-AFCC-431D-8784-A4C7196A0FBC}"/>
    <hyperlink ref="A1618" r:id="rId3035" display="https://finance.yahoo.com/quote/AAPL270617P00110000/" xr:uid="{4B13F5CF-6960-4178-A288-24B9C2EBD0E9}"/>
    <hyperlink ref="C1618" r:id="rId3036" display="https://finance.yahoo.com/quote/AAPL/options/?straddle=false&amp;strike=110&amp;type=all" xr:uid="{20ECA8BF-48EC-41BA-8294-25A0C1391C44}"/>
    <hyperlink ref="A1619" r:id="rId3037" display="https://finance.yahoo.com/quote/AAPL270617P00115000/" xr:uid="{CDAECE1B-2B36-41AC-83CF-C230B18122D8}"/>
    <hyperlink ref="C1619" r:id="rId3038" display="https://finance.yahoo.com/quote/AAPL/options/?straddle=false&amp;strike=115&amp;type=all" xr:uid="{14A89848-E76D-4908-A35A-67C2271F1E66}"/>
    <hyperlink ref="A1620" r:id="rId3039" display="https://finance.yahoo.com/quote/AAPL270617P00120000/" xr:uid="{839C9D80-0791-4DB1-9B1D-93D944508416}"/>
    <hyperlink ref="C1620" r:id="rId3040" display="https://finance.yahoo.com/quote/AAPL/options/?straddle=false&amp;strike=120&amp;type=all" xr:uid="{74C55150-0A84-4E2B-BF0D-C416DB815B29}"/>
    <hyperlink ref="A1621" r:id="rId3041" display="https://finance.yahoo.com/quote/AAPL270617P00125000/" xr:uid="{B8A11D84-FD24-4E05-B2E1-B7EB5DFA4C6C}"/>
    <hyperlink ref="C1621" r:id="rId3042" display="https://finance.yahoo.com/quote/AAPL/options/?straddle=false&amp;strike=125&amp;type=all" xr:uid="{2A35BE3A-BADE-46CD-A719-0544922B5CB3}"/>
    <hyperlink ref="A1622" r:id="rId3043" display="https://finance.yahoo.com/quote/AAPL270617P00130000/" xr:uid="{7225C7DD-4B1D-44FD-8928-2402F766BC2F}"/>
    <hyperlink ref="C1622" r:id="rId3044" display="https://finance.yahoo.com/quote/AAPL/options/?straddle=false&amp;strike=130&amp;type=all" xr:uid="{FE37BC61-3B2B-44AD-B424-DC61389BE865}"/>
    <hyperlink ref="A1623" r:id="rId3045" display="https://finance.yahoo.com/quote/AAPL270617P00135000/" xr:uid="{6511632B-E792-4E4A-B879-882B6C5F42D7}"/>
    <hyperlink ref="C1623" r:id="rId3046" display="https://finance.yahoo.com/quote/AAPL/options/?straddle=false&amp;strike=135&amp;type=all" xr:uid="{30515CAB-95CF-4266-9336-43164C2231AA}"/>
    <hyperlink ref="A1624" r:id="rId3047" display="https://finance.yahoo.com/quote/AAPL270617P00140000/" xr:uid="{5A89BE7B-A593-42A3-AF31-68DE8E5B3CE7}"/>
    <hyperlink ref="C1624" r:id="rId3048" display="https://finance.yahoo.com/quote/AAPL/options/?straddle=false&amp;strike=140&amp;type=all" xr:uid="{43001825-AA22-461E-A6DC-6D956D09B690}"/>
    <hyperlink ref="A1625" r:id="rId3049" display="https://finance.yahoo.com/quote/AAPL270617P00145000/" xr:uid="{8166074E-441F-4F50-BE04-298DF44BCF02}"/>
    <hyperlink ref="C1625" r:id="rId3050" display="https://finance.yahoo.com/quote/AAPL/options/?straddle=false&amp;strike=145&amp;type=all" xr:uid="{893A8DB8-B855-4766-AB1B-D0AE781B8C7A}"/>
    <hyperlink ref="A1626" r:id="rId3051" display="https://finance.yahoo.com/quote/AAPL270617P00150000/" xr:uid="{A94FA544-AB38-427E-9671-7F442D04ED85}"/>
    <hyperlink ref="C1626" r:id="rId3052" display="https://finance.yahoo.com/quote/AAPL/options/?straddle=false&amp;strike=150&amp;type=all" xr:uid="{20D421BF-830C-4F95-AD0D-8A305E442236}"/>
    <hyperlink ref="A1627" r:id="rId3053" display="https://finance.yahoo.com/quote/AAPL270617P00155000/" xr:uid="{8904AC85-71C8-4320-927F-2008BBDE0D1B}"/>
    <hyperlink ref="C1627" r:id="rId3054" display="https://finance.yahoo.com/quote/AAPL/options/?straddle=false&amp;strike=155&amp;type=all" xr:uid="{9B15A82F-526A-43AF-AC9D-C3C0151C62E8}"/>
    <hyperlink ref="A1628" r:id="rId3055" display="https://finance.yahoo.com/quote/AAPL270617P00160000/" xr:uid="{C6AD1AB0-84E3-4709-B76B-3CBC9933131C}"/>
    <hyperlink ref="C1628" r:id="rId3056" display="https://finance.yahoo.com/quote/AAPL/options/?straddle=false&amp;strike=160&amp;type=all" xr:uid="{5D026DB3-60F8-4441-AC02-8600E070EBDC}"/>
    <hyperlink ref="A1629" r:id="rId3057" display="https://finance.yahoo.com/quote/AAPL270617P00165000/" xr:uid="{D19E565F-40CC-4DF2-9A35-7A98EBFD3BD7}"/>
    <hyperlink ref="C1629" r:id="rId3058" display="https://finance.yahoo.com/quote/AAPL/options/?straddle=false&amp;strike=165&amp;type=all" xr:uid="{24A4FAAB-A96F-4FAC-A5DA-FFE2C1B6A87B}"/>
    <hyperlink ref="A1630" r:id="rId3059" display="https://finance.yahoo.com/quote/AAPL270617P00170000/" xr:uid="{D60E0F86-B00D-4B84-928A-6FF41947DDE3}"/>
    <hyperlink ref="C1630" r:id="rId3060" display="https://finance.yahoo.com/quote/AAPL/options/?straddle=false&amp;strike=170&amp;type=all" xr:uid="{BE1B1C6A-FA8B-4F50-8F51-FF8C59D89FF2}"/>
    <hyperlink ref="A1631" r:id="rId3061" display="https://finance.yahoo.com/quote/AAPL270617P00175000/" xr:uid="{D4D8CFE6-4322-4E49-9453-6182A385BDF9}"/>
    <hyperlink ref="C1631" r:id="rId3062" display="https://finance.yahoo.com/quote/AAPL/options/?straddle=false&amp;strike=175&amp;type=all" xr:uid="{3048345F-9CC1-4591-96BF-C56D2E922128}"/>
    <hyperlink ref="A1632" r:id="rId3063" display="https://finance.yahoo.com/quote/AAPL270617P00180000/" xr:uid="{A2FAFAE2-538F-4629-A559-00B98D442503}"/>
    <hyperlink ref="C1632" r:id="rId3064" display="https://finance.yahoo.com/quote/AAPL/options/?straddle=false&amp;strike=180&amp;type=all" xr:uid="{B26501BA-AADB-4100-930B-4033B997CAC0}"/>
    <hyperlink ref="A1633" r:id="rId3065" display="https://finance.yahoo.com/quote/AAPL270617P00185000/" xr:uid="{8F1FF6B5-F1BC-4B60-AB3C-A664AFAC2AAB}"/>
    <hyperlink ref="C1633" r:id="rId3066" display="https://finance.yahoo.com/quote/AAPL/options/?straddle=false&amp;strike=185&amp;type=all" xr:uid="{395E2CDB-3FFB-48E9-8783-9EDF316EC4C5}"/>
    <hyperlink ref="A1634" r:id="rId3067" display="https://finance.yahoo.com/quote/AAPL270617P00190000/" xr:uid="{8B4E5F60-B463-49CE-932C-D95C3EAF97FF}"/>
    <hyperlink ref="C1634" r:id="rId3068" display="https://finance.yahoo.com/quote/AAPL/options/?straddle=false&amp;strike=190&amp;type=all" xr:uid="{16E88397-D9B1-42C9-B09A-0B89959D8F6C}"/>
    <hyperlink ref="A1635" r:id="rId3069" display="https://finance.yahoo.com/quote/AAPL270617P00195000/" xr:uid="{4B9B290C-74DB-4627-942A-E1BB46C7E8F1}"/>
    <hyperlink ref="C1635" r:id="rId3070" display="https://finance.yahoo.com/quote/AAPL/options/?straddle=false&amp;strike=195&amp;type=all" xr:uid="{05DD932A-2D69-48B3-B6A0-63CED6E686AB}"/>
    <hyperlink ref="A1636" r:id="rId3071" display="https://finance.yahoo.com/quote/AAPL270617P00200000/" xr:uid="{D4D9F429-C5E8-4A75-A4CF-94BB50B234D3}"/>
    <hyperlink ref="C1636" r:id="rId3072" display="https://finance.yahoo.com/quote/AAPL/options/?straddle=false&amp;strike=200&amp;type=all" xr:uid="{FFA4A79C-E626-46AC-BBA9-93CEE6D208E4}"/>
    <hyperlink ref="A1637" r:id="rId3073" display="https://finance.yahoo.com/quote/AAPL270617P00210000/" xr:uid="{4D87E0D5-419B-4DC6-95D3-F9957AB8F7C1}"/>
    <hyperlink ref="C1637" r:id="rId3074" display="https://finance.yahoo.com/quote/AAPL/options/?straddle=false&amp;strike=210&amp;type=all" xr:uid="{B36EB3E7-CFE8-4ADF-87FE-325E53FE3C9D}"/>
    <hyperlink ref="A1638" r:id="rId3075" display="https://finance.yahoo.com/quote/AAPL270617P00220000/" xr:uid="{ECB2AC6D-AEC9-43CA-800E-049BA5D56BBA}"/>
    <hyperlink ref="C1638" r:id="rId3076" display="https://finance.yahoo.com/quote/AAPL/options/?straddle=false&amp;strike=220&amp;type=all" xr:uid="{926EA6B2-77AD-4144-84EE-1F46AFB28640}"/>
    <hyperlink ref="A1639" r:id="rId3077" display="https://finance.yahoo.com/quote/AAPL270617P00230000/" xr:uid="{BDF32AE3-C6AA-4101-8058-2C7CFBAAE64C}"/>
    <hyperlink ref="C1639" r:id="rId3078" display="https://finance.yahoo.com/quote/AAPL/options/?straddle=false&amp;strike=230&amp;type=all" xr:uid="{75CE06C6-C8CB-4A25-A59C-D10E6977A5A3}"/>
    <hyperlink ref="A1640" r:id="rId3079" display="https://finance.yahoo.com/quote/AAPL270617P00240000/" xr:uid="{50C29ED3-656F-4B78-B774-27FA842E92A2}"/>
    <hyperlink ref="C1640" r:id="rId3080" display="https://finance.yahoo.com/quote/AAPL/options/?straddle=false&amp;strike=240&amp;type=all" xr:uid="{7FDDDFC5-9DCE-44A9-B5D0-DA5F1FB9A767}"/>
    <hyperlink ref="A1641" r:id="rId3081" display="https://finance.yahoo.com/quote/AAPL270617P00250000/" xr:uid="{7CF22F19-9D3D-477B-848E-82A106CC802E}"/>
    <hyperlink ref="C1641" r:id="rId3082" display="https://finance.yahoo.com/quote/AAPL/options/?straddle=false&amp;strike=250&amp;type=all" xr:uid="{77755794-8697-4EC3-9628-6E3389E66D88}"/>
    <hyperlink ref="A1642" r:id="rId3083" display="https://finance.yahoo.com/quote/AAPL270617P00260000/" xr:uid="{ADC92DCD-AF4C-4D51-A081-A33AAE3F7319}"/>
    <hyperlink ref="C1642" r:id="rId3084" display="https://finance.yahoo.com/quote/AAPL/options/?straddle=false&amp;strike=260&amp;type=all" xr:uid="{3341A9D3-2278-4084-BD80-2150038FB4DA}"/>
    <hyperlink ref="A1643" r:id="rId3085" display="https://finance.yahoo.com/quote/AAPL270617P00270000/" xr:uid="{5EEABB00-1753-4EA3-8179-E7971BDCED88}"/>
    <hyperlink ref="C1643" r:id="rId3086" display="https://finance.yahoo.com/quote/AAPL/options/?straddle=false&amp;strike=270&amp;type=all" xr:uid="{F19CA07A-6F25-455B-81D9-35F8448B9D57}"/>
    <hyperlink ref="A1644" r:id="rId3087" display="https://finance.yahoo.com/quote/AAPL270617P00280000/" xr:uid="{5229341E-8926-4136-8178-127FF6A6E84D}"/>
    <hyperlink ref="C1644" r:id="rId3088" display="https://finance.yahoo.com/quote/AAPL/options/?straddle=false&amp;strike=280&amp;type=all" xr:uid="{0A18F2E8-374F-4F91-8B50-A1C613F0E7EF}"/>
    <hyperlink ref="A1645" r:id="rId3089" display="https://finance.yahoo.com/quote/AAPL270617P00290000/" xr:uid="{CE3B5DFA-8637-4AE8-B9A0-2FB0D973D9C6}"/>
    <hyperlink ref="C1645" r:id="rId3090" display="https://finance.yahoo.com/quote/AAPL/options/?straddle=false&amp;strike=290&amp;type=all" xr:uid="{68B186E9-7083-4E1E-AD7F-13AE3D4000AC}"/>
    <hyperlink ref="A1646" r:id="rId3091" display="https://finance.yahoo.com/quote/AAPL270617P00300000/" xr:uid="{0D3C5DBA-2642-4603-B6CE-FE0F47955067}"/>
    <hyperlink ref="C1646" r:id="rId3092" display="https://finance.yahoo.com/quote/AAPL/options/?straddle=false&amp;strike=300&amp;type=all" xr:uid="{C4E321CC-502E-49FA-A697-C2F07585E9D8}"/>
    <hyperlink ref="A1647" r:id="rId3093" display="https://finance.yahoo.com/quote/AAPL270617P00310000/" xr:uid="{DDBEDD96-82F0-4A00-B065-5200592F2CE2}"/>
    <hyperlink ref="C1647" r:id="rId3094" display="https://finance.yahoo.com/quote/AAPL/options/?straddle=false&amp;strike=310&amp;type=all" xr:uid="{9AE36A96-EA6D-4B46-80CC-E4C9DC79C3CA}"/>
    <hyperlink ref="A1648" r:id="rId3095" display="https://finance.yahoo.com/quote/AAPL270617P00320000/" xr:uid="{08398F92-0E38-455C-9CCF-D6465987A4D2}"/>
    <hyperlink ref="C1648" r:id="rId3096" display="https://finance.yahoo.com/quote/AAPL/options/?straddle=false&amp;strike=320&amp;type=all" xr:uid="{54A05395-1D51-4B5C-84C7-F0CE18B9949E}"/>
    <hyperlink ref="A1649" r:id="rId3097" display="https://finance.yahoo.com/quote/AAPL270617P00330000/" xr:uid="{61DEF111-1A83-4ADB-9048-CCD738119ACB}"/>
    <hyperlink ref="C1649" r:id="rId3098" display="https://finance.yahoo.com/quote/AAPL/options/?straddle=false&amp;strike=330&amp;type=all" xr:uid="{078B16FD-C4E5-42AE-8C02-FBCC1D5C0FD9}"/>
    <hyperlink ref="A1650" r:id="rId3099" display="https://finance.yahoo.com/quote/AAPL270617P00340000/" xr:uid="{E3E8F1B1-6FDE-42CA-A736-CE65E84EA480}"/>
    <hyperlink ref="C1650" r:id="rId3100" display="https://finance.yahoo.com/quote/AAPL/options/?straddle=false&amp;strike=340&amp;type=all" xr:uid="{70834D8C-C458-4F9C-A9DB-A6C38182F75B}"/>
    <hyperlink ref="A1651" r:id="rId3101" display="https://finance.yahoo.com/quote/AAPL270617P00350000/" xr:uid="{5141161C-E714-4D35-B2F0-89F713DA6BF4}"/>
    <hyperlink ref="C1651" r:id="rId3102" display="https://finance.yahoo.com/quote/AAPL/options/?straddle=false&amp;strike=350&amp;type=all" xr:uid="{C75F4774-3853-4A8E-A40C-387927307186}"/>
    <hyperlink ref="A1652" r:id="rId3103" display="https://finance.yahoo.com/quote/AAPL270617P00360000/" xr:uid="{79A0383F-54DB-4B5E-A77A-98B54D31EBA7}"/>
    <hyperlink ref="C1652" r:id="rId3104" display="https://finance.yahoo.com/quote/AAPL/options/?straddle=false&amp;strike=360&amp;type=all" xr:uid="{2EAB638A-F71E-4837-BDAD-743A0FC53A63}"/>
    <hyperlink ref="A1653" r:id="rId3105" display="https://finance.yahoo.com/quote/AAPL270617P00380000/" xr:uid="{36B82040-9032-4933-9AC0-8CECF47E94D4}"/>
    <hyperlink ref="C1653" r:id="rId3106" display="https://finance.yahoo.com/quote/AAPL/options/?straddle=false&amp;strike=380&amp;type=all" xr:uid="{E681EF32-3741-4FB3-AC46-29B412E219A9}"/>
    <hyperlink ref="A1654" r:id="rId3107" display="https://finance.yahoo.com/quote/AAPL270617P00390000/" xr:uid="{6064A136-13F1-47FC-B7CE-522A11F360BA}"/>
    <hyperlink ref="C1654" r:id="rId3108" display="https://finance.yahoo.com/quote/AAPL/options/?straddle=false&amp;strike=390&amp;type=all" xr:uid="{C4A61B45-2E02-4231-932E-E6CE844AB097}"/>
    <hyperlink ref="A1655" r:id="rId3109" display="https://finance.yahoo.com/quote/AAPL270617P00400000/" xr:uid="{84E17132-9073-441C-B1D0-EC8C7370C1B2}"/>
    <hyperlink ref="C1655" r:id="rId3110" display="https://finance.yahoo.com/quote/AAPL/options/?straddle=false&amp;strike=400&amp;type=all" xr:uid="{8DA4011A-5B7D-4DAB-9054-1B2D829CEC7C}"/>
    <hyperlink ref="A1656" r:id="rId3111" display="https://finance.yahoo.com/quote/AAPL270617P00410000/" xr:uid="{D4675BD2-699F-48BF-A009-AFC2659E24B6}"/>
    <hyperlink ref="C1656" r:id="rId3112" display="https://finance.yahoo.com/quote/AAPL/options/?straddle=false&amp;strike=410&amp;type=all" xr:uid="{7E1AC0AA-3BC9-47E5-A8E0-1EC4D1A86084}"/>
    <hyperlink ref="A1657" r:id="rId3113" display="https://finance.yahoo.com/quote/AAPL270617P00420000/" xr:uid="{C3449903-1CA1-453D-A743-AA75D0D74B8B}"/>
    <hyperlink ref="C1657" r:id="rId3114" display="https://finance.yahoo.com/quote/AAPL/options/?straddle=false&amp;strike=420&amp;type=all" xr:uid="{98CC6AD4-1BC3-4F74-A342-70C5BFA500B2}"/>
    <hyperlink ref="A1658" r:id="rId3115" display="https://finance.yahoo.com/quote/AAPL270617P00430000/" xr:uid="{A7994033-84B9-4981-B153-72536312AAD5}"/>
    <hyperlink ref="C1658" r:id="rId3116" display="https://finance.yahoo.com/quote/AAPL/options/?straddle=false&amp;strike=430&amp;type=all" xr:uid="{AC3E4170-3B7D-44D2-9B3C-1C68546B80D5}"/>
    <hyperlink ref="A1659" r:id="rId3117" display="https://finance.yahoo.com/quote/AAPL270617P00440000/" xr:uid="{CF6EC982-64D7-4B0F-85EB-E0E61127A73E}"/>
    <hyperlink ref="C1659" r:id="rId3118" display="https://finance.yahoo.com/quote/AAPL/options/?straddle=false&amp;strike=440&amp;type=all" xr:uid="{8CBE9AD9-A28D-409E-9F16-8B688D97C1B3}"/>
    <hyperlink ref="A1660" r:id="rId3119" display="https://finance.yahoo.com/quote/AAPL270617P00450000/" xr:uid="{86E4D2E9-3100-492A-96D2-C511F4FFAD19}"/>
    <hyperlink ref="C1660" r:id="rId3120" display="https://finance.yahoo.com/quote/AAPL/options/?straddle=false&amp;strike=450&amp;type=all" xr:uid="{3C3BC493-6040-4137-943B-2F9D5E4C5278}"/>
    <hyperlink ref="A1661" r:id="rId3121" display="https://finance.yahoo.com/quote/AAPL271217C00050000/" xr:uid="{772EA43A-4C9A-48AF-B104-FEF4CDFE46FA}"/>
    <hyperlink ref="C1661" r:id="rId3122" display="https://finance.yahoo.com/quote/AAPL/options/?straddle=false&amp;strike=50&amp;type=all" xr:uid="{D584C21E-243D-4F66-9BD6-E4BC17896D61}"/>
    <hyperlink ref="A1662" r:id="rId3123" display="https://finance.yahoo.com/quote/AAPL271217C00055000/" xr:uid="{036058E9-DFCA-4116-A85C-9814C9383F6E}"/>
    <hyperlink ref="C1662" r:id="rId3124" display="https://finance.yahoo.com/quote/AAPL/options/?straddle=false&amp;strike=55&amp;type=all" xr:uid="{10771150-5229-48A6-A70E-5BD172E9F788}"/>
    <hyperlink ref="A1663" r:id="rId3125" display="https://finance.yahoo.com/quote/AAPL271217C00060000/" xr:uid="{C8B9AAB7-B479-43E8-806F-C5C487EB2D7F}"/>
    <hyperlink ref="C1663" r:id="rId3126" display="https://finance.yahoo.com/quote/AAPL/options/?straddle=false&amp;strike=60&amp;type=all" xr:uid="{42919EC9-E51C-4A91-BA45-E7B9FDA5F4BC}"/>
    <hyperlink ref="A1664" r:id="rId3127" display="https://finance.yahoo.com/quote/AAPL271217C00065000/" xr:uid="{C5A6D392-B5D1-4AF0-993B-EB8C0493976B}"/>
    <hyperlink ref="C1664" r:id="rId3128" display="https://finance.yahoo.com/quote/AAPL/options/?straddle=false&amp;strike=65&amp;type=all" xr:uid="{26F817CC-AC7E-4437-A0A8-7A1B9D7A1927}"/>
    <hyperlink ref="A1665" r:id="rId3129" display="https://finance.yahoo.com/quote/AAPL271217C00070000/" xr:uid="{5A191F1C-A599-47D7-B770-F11FC7DF6834}"/>
    <hyperlink ref="C1665" r:id="rId3130" display="https://finance.yahoo.com/quote/AAPL/options/?straddle=false&amp;strike=70&amp;type=all" xr:uid="{1D4EA73A-45FA-413A-8E2D-602AD1328C3A}"/>
    <hyperlink ref="A1666" r:id="rId3131" display="https://finance.yahoo.com/quote/AAPL271217C00075000/" xr:uid="{D7260246-9C98-44E3-9244-9A823634ABA3}"/>
    <hyperlink ref="C1666" r:id="rId3132" display="https://finance.yahoo.com/quote/AAPL/options/?straddle=false&amp;strike=75&amp;type=all" xr:uid="{10AEB18C-53CC-422D-83DE-09E289AF89E0}"/>
    <hyperlink ref="A1667" r:id="rId3133" display="https://finance.yahoo.com/quote/AAPL271217C00080000/" xr:uid="{CBAABE30-12F1-46F5-A62E-AE1A874A4B5C}"/>
    <hyperlink ref="C1667" r:id="rId3134" display="https://finance.yahoo.com/quote/AAPL/options/?straddle=false&amp;strike=80&amp;type=all" xr:uid="{8BA54C7C-4432-4632-BA6B-4D1E6DB6BEF9}"/>
    <hyperlink ref="A1668" r:id="rId3135" display="https://finance.yahoo.com/quote/AAPL271217C00085000/" xr:uid="{376F21BE-28E3-446F-AA52-4E8D0FEFE597}"/>
    <hyperlink ref="C1668" r:id="rId3136" display="https://finance.yahoo.com/quote/AAPL/options/?straddle=false&amp;strike=85&amp;type=all" xr:uid="{8A1F9430-49CC-40A8-8196-3FCA28078EE4}"/>
    <hyperlink ref="A1669" r:id="rId3137" display="https://finance.yahoo.com/quote/AAPL271217C00090000/" xr:uid="{869243F6-73E7-4B4F-9F25-70033E949C7F}"/>
    <hyperlink ref="C1669" r:id="rId3138" display="https://finance.yahoo.com/quote/AAPL/options/?straddle=false&amp;strike=90&amp;type=all" xr:uid="{9CD2F6ED-91A6-499D-ADC9-DB9A54066546}"/>
    <hyperlink ref="A1670" r:id="rId3139" display="https://finance.yahoo.com/quote/AAPL271217C00095000/" xr:uid="{117D74DB-C803-4682-B7B8-7A6B7C51AB16}"/>
    <hyperlink ref="C1670" r:id="rId3140" display="https://finance.yahoo.com/quote/AAPL/options/?straddle=false&amp;strike=95&amp;type=all" xr:uid="{8EF72FB4-06E9-4335-BDEE-414B0019F0A2}"/>
    <hyperlink ref="A1671" r:id="rId3141" display="https://finance.yahoo.com/quote/AAPL271217C00100000/" xr:uid="{085106FA-7599-4BD3-A3BD-DA1415E2C79C}"/>
    <hyperlink ref="C1671" r:id="rId3142" display="https://finance.yahoo.com/quote/AAPL/options/?straddle=false&amp;strike=100&amp;type=all" xr:uid="{0156500B-64E7-42EE-B71C-2D7E6BF65E46}"/>
    <hyperlink ref="A1672" r:id="rId3143" display="https://finance.yahoo.com/quote/AAPL271217C00105000/" xr:uid="{66B3ACE0-79BA-4927-B2DF-544174F7275C}"/>
    <hyperlink ref="C1672" r:id="rId3144" display="https://finance.yahoo.com/quote/AAPL/options/?straddle=false&amp;strike=105&amp;type=all" xr:uid="{B32989CC-68F9-43BE-85AE-56091A6F83C2}"/>
    <hyperlink ref="A1673" r:id="rId3145" display="https://finance.yahoo.com/quote/AAPL271217C00110000/" xr:uid="{3978D6C9-D5FB-4E8A-8176-DAB3D624D493}"/>
    <hyperlink ref="C1673" r:id="rId3146" display="https://finance.yahoo.com/quote/AAPL/options/?straddle=false&amp;strike=110&amp;type=all" xr:uid="{875518C7-3DCE-4506-8512-015CF8F0F226}"/>
    <hyperlink ref="A1674" r:id="rId3147" display="https://finance.yahoo.com/quote/AAPL271217C00115000/" xr:uid="{A5A25A16-7AD2-4103-8B6C-167559D513EF}"/>
    <hyperlink ref="C1674" r:id="rId3148" display="https://finance.yahoo.com/quote/AAPL/options/?straddle=false&amp;strike=115&amp;type=all" xr:uid="{1389965E-2AE2-4BB5-BA8F-38F25F5AEADD}"/>
    <hyperlink ref="A1675" r:id="rId3149" display="https://finance.yahoo.com/quote/AAPL271217C00120000/" xr:uid="{40149EE8-32C8-4770-AD8E-1588CCD593CC}"/>
    <hyperlink ref="C1675" r:id="rId3150" display="https://finance.yahoo.com/quote/AAPL/options/?straddle=false&amp;strike=120&amp;type=all" xr:uid="{1351B3D2-1196-46BF-BA9C-AA260C77858E}"/>
    <hyperlink ref="A1676" r:id="rId3151" display="https://finance.yahoo.com/quote/AAPL271217C00125000/" xr:uid="{60773DD4-77D5-41EB-9BA3-AEC96FB5A1CE}"/>
    <hyperlink ref="C1676" r:id="rId3152" display="https://finance.yahoo.com/quote/AAPL/options/?straddle=false&amp;strike=125&amp;type=all" xr:uid="{45FAFA97-259B-476B-A2ED-2AFE09ACEB0E}"/>
    <hyperlink ref="A1677" r:id="rId3153" display="https://finance.yahoo.com/quote/AAPL271217C00130000/" xr:uid="{190BF391-A549-471D-8E30-6E6220619AAA}"/>
    <hyperlink ref="C1677" r:id="rId3154" display="https://finance.yahoo.com/quote/AAPL/options/?straddle=false&amp;strike=130&amp;type=all" xr:uid="{A3393320-50E7-499C-BC92-25CF89C19C29}"/>
    <hyperlink ref="A1678" r:id="rId3155" display="https://finance.yahoo.com/quote/AAPL271217C00135000/" xr:uid="{28C9BA23-F4B6-43D2-9AB1-70ABFBCE1119}"/>
    <hyperlink ref="C1678" r:id="rId3156" display="https://finance.yahoo.com/quote/AAPL/options/?straddle=false&amp;strike=135&amp;type=all" xr:uid="{375FABA6-2883-4D0B-8B0E-9EEAF0BBA6A6}"/>
    <hyperlink ref="A1679" r:id="rId3157" display="https://finance.yahoo.com/quote/AAPL271217C00140000/" xr:uid="{484DD946-2650-473F-AA77-5DE7B3FA83A8}"/>
    <hyperlink ref="C1679" r:id="rId3158" display="https://finance.yahoo.com/quote/AAPL/options/?straddle=false&amp;strike=140&amp;type=all" xr:uid="{A2DB6BDD-2AC0-413F-A1C2-A5F69094E425}"/>
    <hyperlink ref="A1680" r:id="rId3159" display="https://finance.yahoo.com/quote/AAPL271217C00145000/" xr:uid="{42C18617-BFD9-4190-ACC8-99CC9AA49356}"/>
    <hyperlink ref="C1680" r:id="rId3160" display="https://finance.yahoo.com/quote/AAPL/options/?straddle=false&amp;strike=145&amp;type=all" xr:uid="{5DF5CCA1-23E3-479D-BCD4-A90A0B8E6028}"/>
    <hyperlink ref="A1681" r:id="rId3161" display="https://finance.yahoo.com/quote/AAPL271217C00150000/" xr:uid="{FF498452-DB4F-4CCF-B2F8-11F9251A2C2C}"/>
    <hyperlink ref="C1681" r:id="rId3162" display="https://finance.yahoo.com/quote/AAPL/options/?straddle=false&amp;strike=150&amp;type=all" xr:uid="{9F6ED72B-13DF-44B2-83F0-0CF9E951DE6D}"/>
    <hyperlink ref="A1682" r:id="rId3163" display="https://finance.yahoo.com/quote/AAPL271217C00155000/" xr:uid="{CEDD4BC0-BCF6-4202-858A-EAE910751FE9}"/>
    <hyperlink ref="C1682" r:id="rId3164" display="https://finance.yahoo.com/quote/AAPL/options/?straddle=false&amp;strike=155&amp;type=all" xr:uid="{CF3B9735-10E0-4143-9111-3724F4EB11EC}"/>
    <hyperlink ref="A1683" r:id="rId3165" display="https://finance.yahoo.com/quote/AAPL271217C00160000/" xr:uid="{A7D15B7E-01DE-405E-BCF4-BF904B71BE65}"/>
    <hyperlink ref="C1683" r:id="rId3166" display="https://finance.yahoo.com/quote/AAPL/options/?straddle=false&amp;strike=160&amp;type=all" xr:uid="{45461611-EBF0-4E6A-81D2-1AC02C130E83}"/>
    <hyperlink ref="A1684" r:id="rId3167" display="https://finance.yahoo.com/quote/AAPL271217C00165000/" xr:uid="{08D16887-3BAE-459C-9DF4-40D91670FF23}"/>
    <hyperlink ref="C1684" r:id="rId3168" display="https://finance.yahoo.com/quote/AAPL/options/?straddle=false&amp;strike=165&amp;type=all" xr:uid="{DB88AEB1-7D17-4369-A319-F9C1C046D435}"/>
    <hyperlink ref="A1685" r:id="rId3169" display="https://finance.yahoo.com/quote/AAPL271217C00170000/" xr:uid="{A906D754-BB28-4468-8FD6-A01E9A81D3C9}"/>
    <hyperlink ref="C1685" r:id="rId3170" display="https://finance.yahoo.com/quote/AAPL/options/?straddle=false&amp;strike=170&amp;type=all" xr:uid="{867732EA-4AF9-46DA-BE60-C6CEFD6D44B0}"/>
    <hyperlink ref="A1686" r:id="rId3171" display="https://finance.yahoo.com/quote/AAPL271217C00175000/" xr:uid="{DE3B12F6-49C2-4156-9B82-F28CBC3443B4}"/>
    <hyperlink ref="C1686" r:id="rId3172" display="https://finance.yahoo.com/quote/AAPL/options/?straddle=false&amp;strike=175&amp;type=all" xr:uid="{06529085-E01F-4E64-956F-4D07EFF58B10}"/>
    <hyperlink ref="A1687" r:id="rId3173" display="https://finance.yahoo.com/quote/AAPL271217C00180000/" xr:uid="{20F44D18-5A55-4F55-8012-3C56062C56E3}"/>
    <hyperlink ref="C1687" r:id="rId3174" display="https://finance.yahoo.com/quote/AAPL/options/?straddle=false&amp;strike=180&amp;type=all" xr:uid="{83D48921-AC2B-4F67-A357-6A94F4B06839}"/>
    <hyperlink ref="A1688" r:id="rId3175" display="https://finance.yahoo.com/quote/AAPL271217C00185000/" xr:uid="{F3FDBB67-5D6E-46BE-8626-424A60252D7C}"/>
    <hyperlink ref="C1688" r:id="rId3176" display="https://finance.yahoo.com/quote/AAPL/options/?straddle=false&amp;strike=185&amp;type=all" xr:uid="{FD9C0BD8-FCF6-4B65-8D44-699FE564C103}"/>
    <hyperlink ref="A1689" r:id="rId3177" display="https://finance.yahoo.com/quote/AAPL271217C00190000/" xr:uid="{8FA3C420-14FD-428B-A5CD-EC19BF7227C4}"/>
    <hyperlink ref="C1689" r:id="rId3178" display="https://finance.yahoo.com/quote/AAPL/options/?straddle=false&amp;strike=190&amp;type=all" xr:uid="{2A4A03D7-42EF-4BD5-A95C-4E282AC92214}"/>
    <hyperlink ref="A1690" r:id="rId3179" display="https://finance.yahoo.com/quote/AAPL271217C00195000/" xr:uid="{2891D01A-4839-4014-A837-D0D7353FB3B6}"/>
    <hyperlink ref="C1690" r:id="rId3180" display="https://finance.yahoo.com/quote/AAPL/options/?straddle=false&amp;strike=195&amp;type=all" xr:uid="{FE866805-1352-4A31-B042-56B3CCF36763}"/>
    <hyperlink ref="A1691" r:id="rId3181" display="https://finance.yahoo.com/quote/AAPL271217C00200000/" xr:uid="{C68FC362-7349-4C66-8C11-3E1C420D5141}"/>
    <hyperlink ref="C1691" r:id="rId3182" display="https://finance.yahoo.com/quote/AAPL/options/?straddle=false&amp;strike=200&amp;type=all" xr:uid="{A752A51F-4217-4B85-AC8C-1C09EB1D5104}"/>
    <hyperlink ref="A1692" r:id="rId3183" display="https://finance.yahoo.com/quote/AAPL271217C00205000/" xr:uid="{1013A03B-C7B5-419D-9D3D-351606E74193}"/>
    <hyperlink ref="C1692" r:id="rId3184" display="https://finance.yahoo.com/quote/AAPL/options/?straddle=false&amp;strike=205&amp;type=all" xr:uid="{60234703-2291-4B2A-A843-D7AB20A3C20D}"/>
    <hyperlink ref="A1693" r:id="rId3185" display="https://finance.yahoo.com/quote/AAPL271217C00210000/" xr:uid="{A86B571A-EB9F-4D22-95B2-A85BB3695271}"/>
    <hyperlink ref="C1693" r:id="rId3186" display="https://finance.yahoo.com/quote/AAPL/options/?straddle=false&amp;strike=210&amp;type=all" xr:uid="{83EF45B1-844B-408F-8B70-941F172BF0C3}"/>
    <hyperlink ref="A1694" r:id="rId3187" display="https://finance.yahoo.com/quote/AAPL271217C00215000/" xr:uid="{8597E726-5937-4EE1-BCB4-5C8B36445151}"/>
    <hyperlink ref="C1694" r:id="rId3188" display="https://finance.yahoo.com/quote/AAPL/options/?straddle=false&amp;strike=215&amp;type=all" xr:uid="{F4EBEA66-9008-430B-B8F4-7EDE6E73AEB5}"/>
    <hyperlink ref="A1695" r:id="rId3189" display="https://finance.yahoo.com/quote/AAPL271217C00220000/" xr:uid="{2C098032-B95F-4B87-8F62-2BAE0642C6EC}"/>
    <hyperlink ref="C1695" r:id="rId3190" display="https://finance.yahoo.com/quote/AAPL/options/?straddle=false&amp;strike=220&amp;type=all" xr:uid="{306DA481-7158-4470-92B8-9E567A93B6A0}"/>
    <hyperlink ref="A1696" r:id="rId3191" display="https://finance.yahoo.com/quote/AAPL271217C00225000/" xr:uid="{81815DBE-8B7A-45FF-8852-EEEE12ACA349}"/>
    <hyperlink ref="C1696" r:id="rId3192" display="https://finance.yahoo.com/quote/AAPL/options/?straddle=false&amp;strike=225&amp;type=all" xr:uid="{F3D6AB61-5A6F-4906-ADD3-A92DCE5FA431}"/>
    <hyperlink ref="A1697" r:id="rId3193" display="https://finance.yahoo.com/quote/AAPL271217C00230000/" xr:uid="{58A197E6-6092-4C40-AEF1-31CF6FA3E091}"/>
    <hyperlink ref="C1697" r:id="rId3194" display="https://finance.yahoo.com/quote/AAPL/options/?straddle=false&amp;strike=230&amp;type=all" xr:uid="{27945D5F-1A89-49AC-BC49-95AF75901D26}"/>
    <hyperlink ref="A1698" r:id="rId3195" display="https://finance.yahoo.com/quote/AAPL271217C00235000/" xr:uid="{11BE9BBC-22DF-4214-8D1F-B5CF484CDCA4}"/>
    <hyperlink ref="C1698" r:id="rId3196" display="https://finance.yahoo.com/quote/AAPL/options/?straddle=false&amp;strike=235&amp;type=all" xr:uid="{BB8C7E2A-CD2F-4DE0-8CF5-33E031306B21}"/>
    <hyperlink ref="A1699" r:id="rId3197" display="https://finance.yahoo.com/quote/AAPL271217C00240000/" xr:uid="{6DAF8F85-40FC-472A-89D3-123A64DB4248}"/>
    <hyperlink ref="C1699" r:id="rId3198" display="https://finance.yahoo.com/quote/AAPL/options/?straddle=false&amp;strike=240&amp;type=all" xr:uid="{801604D7-A23B-416A-8771-A37AA5D65AC1}"/>
    <hyperlink ref="A1700" r:id="rId3199" display="https://finance.yahoo.com/quote/AAPL271217C00245000/" xr:uid="{8C024FBF-A976-4DD9-975B-7746CEC22E58}"/>
    <hyperlink ref="C1700" r:id="rId3200" display="https://finance.yahoo.com/quote/AAPL/options/?straddle=false&amp;strike=245&amp;type=all" xr:uid="{6ABA9B97-3BCE-46A0-A892-7FA8F38AB1D6}"/>
    <hyperlink ref="A1701" r:id="rId3201" display="https://finance.yahoo.com/quote/AAPL271217C00250000/" xr:uid="{35AF2FA0-B9DB-412D-ABEA-5F69735E7D7C}"/>
    <hyperlink ref="C1701" r:id="rId3202" display="https://finance.yahoo.com/quote/AAPL/options/?straddle=false&amp;strike=250&amp;type=all" xr:uid="{B390DD9D-D1A9-4DB8-B6FA-B96E0E0A5524}"/>
    <hyperlink ref="A1702" r:id="rId3203" display="https://finance.yahoo.com/quote/AAPL271217C00255000/" xr:uid="{836B5DF8-8E59-4614-9AF1-11A3A06DB53E}"/>
    <hyperlink ref="C1702" r:id="rId3204" display="https://finance.yahoo.com/quote/AAPL/options/?straddle=false&amp;strike=255&amp;type=all" xr:uid="{3E942B5D-13F3-4094-BFF8-424962ABAB9F}"/>
    <hyperlink ref="A1703" r:id="rId3205" display="https://finance.yahoo.com/quote/AAPL271217C00260000/" xr:uid="{CF65E938-2EDF-4C3B-8654-32662B445AFA}"/>
    <hyperlink ref="C1703" r:id="rId3206" display="https://finance.yahoo.com/quote/AAPL/options/?straddle=false&amp;strike=260&amp;type=all" xr:uid="{367FBAC7-5570-4488-8934-1CBD9B0105D7}"/>
    <hyperlink ref="A1704" r:id="rId3207" display="https://finance.yahoo.com/quote/AAPL271217C00265000/" xr:uid="{0B62ECD4-E741-4C6A-A065-EA892C525B7A}"/>
    <hyperlink ref="C1704" r:id="rId3208" display="https://finance.yahoo.com/quote/AAPL/options/?straddle=false&amp;strike=265&amp;type=all" xr:uid="{3ADC0D6E-F539-4EEE-B732-1EA976B49595}"/>
    <hyperlink ref="A1705" r:id="rId3209" display="https://finance.yahoo.com/quote/AAPL271217C00270000/" xr:uid="{C0E88703-1F54-4E2C-940D-97EA77333214}"/>
    <hyperlink ref="C1705" r:id="rId3210" display="https://finance.yahoo.com/quote/AAPL/options/?straddle=false&amp;strike=270&amp;type=all" xr:uid="{505FAEFB-A843-40B2-94A3-6765BD59FC28}"/>
    <hyperlink ref="A1706" r:id="rId3211" display="https://finance.yahoo.com/quote/AAPL271217C00275000/" xr:uid="{BFBA006E-0748-4864-BF6F-EA561A899A42}"/>
    <hyperlink ref="C1706" r:id="rId3212" display="https://finance.yahoo.com/quote/AAPL/options/?straddle=false&amp;strike=275&amp;type=all" xr:uid="{9EDE01EB-F190-4069-8F5A-CA793B22C193}"/>
    <hyperlink ref="A1707" r:id="rId3213" display="https://finance.yahoo.com/quote/AAPL271217C00280000/" xr:uid="{F9C0CBB8-B2CE-4F67-A50A-18073AE740A8}"/>
    <hyperlink ref="C1707" r:id="rId3214" display="https://finance.yahoo.com/quote/AAPL/options/?straddle=false&amp;strike=280&amp;type=all" xr:uid="{3E533229-EE10-4E03-899B-BEAE6401C859}"/>
    <hyperlink ref="A1708" r:id="rId3215" display="https://finance.yahoo.com/quote/AAPL271217C00285000/" xr:uid="{F21B5E5D-C0D3-48E9-B254-FBB6BC47AA0A}"/>
    <hyperlink ref="C1708" r:id="rId3216" display="https://finance.yahoo.com/quote/AAPL/options/?straddle=false&amp;strike=285&amp;type=all" xr:uid="{6BF442E0-E6FA-4ED5-B314-9097BDD34CF9}"/>
    <hyperlink ref="A1709" r:id="rId3217" display="https://finance.yahoo.com/quote/AAPL271217C00290000/" xr:uid="{C0961158-A7F2-4441-9AC6-A9959D364E69}"/>
    <hyperlink ref="C1709" r:id="rId3218" display="https://finance.yahoo.com/quote/AAPL/options/?straddle=false&amp;strike=290&amp;type=all" xr:uid="{52D35422-EFAE-4B2D-A046-C8BFE992FB24}"/>
    <hyperlink ref="A1710" r:id="rId3219" display="https://finance.yahoo.com/quote/AAPL271217C00295000/" xr:uid="{938AEF5B-019C-4942-A44E-96659207DC93}"/>
    <hyperlink ref="C1710" r:id="rId3220" display="https://finance.yahoo.com/quote/AAPL/options/?straddle=false&amp;strike=295&amp;type=all" xr:uid="{9E44FF62-2FC5-46EB-B5B7-F5986F777424}"/>
    <hyperlink ref="A1711" r:id="rId3221" display="https://finance.yahoo.com/quote/AAPL271217C00300000/" xr:uid="{A2DF0E8F-D9F6-46D3-B85D-20E984B1916F}"/>
    <hyperlink ref="C1711" r:id="rId3222" display="https://finance.yahoo.com/quote/AAPL/options/?straddle=false&amp;strike=300&amp;type=all" xr:uid="{331CBBA3-40C8-468E-9715-DCCB4D6AD240}"/>
    <hyperlink ref="A1712" r:id="rId3223" display="https://finance.yahoo.com/quote/AAPL271217C00305000/" xr:uid="{794F8503-49E9-4E22-AD95-1F81E333765C}"/>
    <hyperlink ref="C1712" r:id="rId3224" display="https://finance.yahoo.com/quote/AAPL/options/?straddle=false&amp;strike=305&amp;type=all" xr:uid="{2D515935-7639-4659-A239-E2E67AFC47BA}"/>
    <hyperlink ref="A1713" r:id="rId3225" display="https://finance.yahoo.com/quote/AAPL271217C00310000/" xr:uid="{660629E4-565D-49FE-BF44-B060212148BC}"/>
    <hyperlink ref="C1713" r:id="rId3226" display="https://finance.yahoo.com/quote/AAPL/options/?straddle=false&amp;strike=310&amp;type=all" xr:uid="{646229C9-2268-44B9-A7BA-3234A0B1DE23}"/>
    <hyperlink ref="A1714" r:id="rId3227" display="https://finance.yahoo.com/quote/AAPL271217C00315000/" xr:uid="{739455A2-ED5A-461A-85DC-C1A642357834}"/>
    <hyperlink ref="C1714" r:id="rId3228" display="https://finance.yahoo.com/quote/AAPL/options/?straddle=false&amp;strike=315&amp;type=all" xr:uid="{AE256804-1DAB-429B-9DE0-A13F547D4CCC}"/>
    <hyperlink ref="A1715" r:id="rId3229" display="https://finance.yahoo.com/quote/AAPL271217C00320000/" xr:uid="{9285852C-B55F-4D69-B0DB-FAC8F6868BF7}"/>
    <hyperlink ref="C1715" r:id="rId3230" display="https://finance.yahoo.com/quote/AAPL/options/?straddle=false&amp;strike=320&amp;type=all" xr:uid="{3B1DDB06-D937-4D72-8F26-B43D84958DCF}"/>
    <hyperlink ref="A1716" r:id="rId3231" display="https://finance.yahoo.com/quote/AAPL271217C00325000/" xr:uid="{10B6DF5D-0697-435F-A38D-D39629D30A61}"/>
    <hyperlink ref="C1716" r:id="rId3232" display="https://finance.yahoo.com/quote/AAPL/options/?straddle=false&amp;strike=325&amp;type=all" xr:uid="{A06D504F-BC1E-446C-A75C-E5F2EEC7F1CA}"/>
    <hyperlink ref="A1717" r:id="rId3233" display="https://finance.yahoo.com/quote/AAPL271217C00330000/" xr:uid="{5D5B9017-3F91-46A1-BFA6-261D098FC2BD}"/>
    <hyperlink ref="C1717" r:id="rId3234" display="https://finance.yahoo.com/quote/AAPL/options/?straddle=false&amp;strike=330&amp;type=all" xr:uid="{2FBB82FC-5138-4B7F-9F81-9DD9809BB040}"/>
    <hyperlink ref="A1718" r:id="rId3235" display="https://finance.yahoo.com/quote/AAPL271217C00335000/" xr:uid="{4303B47E-F565-4639-A5A4-67FFB96A365E}"/>
    <hyperlink ref="C1718" r:id="rId3236" display="https://finance.yahoo.com/quote/AAPL/options/?straddle=false&amp;strike=335&amp;type=all" xr:uid="{8FA497DB-80FF-474A-A3F4-24B82CC8BBBA}"/>
    <hyperlink ref="A1719" r:id="rId3237" display="https://finance.yahoo.com/quote/AAPL271217C00340000/" xr:uid="{0C9909F8-2D6C-4338-8289-2EAC3C831485}"/>
    <hyperlink ref="C1719" r:id="rId3238" display="https://finance.yahoo.com/quote/AAPL/options/?straddle=false&amp;strike=340&amp;type=all" xr:uid="{7824FF18-2C07-484A-8909-9B76A4AD1E03}"/>
    <hyperlink ref="A1720" r:id="rId3239" display="https://finance.yahoo.com/quote/AAPL271217C00345000/" xr:uid="{7019E68C-6F91-4B74-9E3E-FF39CD78CFEF}"/>
    <hyperlink ref="C1720" r:id="rId3240" display="https://finance.yahoo.com/quote/AAPL/options/?straddle=false&amp;strike=345&amp;type=all" xr:uid="{01B1311A-4EE1-453E-82FF-65731B008439}"/>
    <hyperlink ref="A1721" r:id="rId3241" display="https://finance.yahoo.com/quote/AAPL271217C00350000/" xr:uid="{A25BB990-DD44-409F-9688-CB70BC6B0853}"/>
    <hyperlink ref="C1721" r:id="rId3242" display="https://finance.yahoo.com/quote/AAPL/options/?straddle=false&amp;strike=350&amp;type=all" xr:uid="{DF4BB124-B1D1-4483-A891-8E0535079246}"/>
    <hyperlink ref="A1722" r:id="rId3243" display="https://finance.yahoo.com/quote/AAPL271217C00355000/" xr:uid="{17D35644-1347-4CA0-AAEB-C3EAB016A11F}"/>
    <hyperlink ref="C1722" r:id="rId3244" display="https://finance.yahoo.com/quote/AAPL/options/?straddle=false&amp;strike=355&amp;type=all" xr:uid="{D6E1C9C4-E031-4C22-9BBC-641D8B2F0E58}"/>
    <hyperlink ref="A1723" r:id="rId3245" display="https://finance.yahoo.com/quote/AAPL271217C00360000/" xr:uid="{3116C8E8-17B9-498B-AF74-805DFE2D405F}"/>
    <hyperlink ref="C1723" r:id="rId3246" display="https://finance.yahoo.com/quote/AAPL/options/?straddle=false&amp;strike=360&amp;type=all" xr:uid="{C62674E7-DDA1-46FE-BDF7-F0B220597232}"/>
    <hyperlink ref="A1724" r:id="rId3247" display="https://finance.yahoo.com/quote/AAPL271217C00365000/" xr:uid="{5AF32646-3B25-4218-A948-67235FD2B82A}"/>
    <hyperlink ref="C1724" r:id="rId3248" display="https://finance.yahoo.com/quote/AAPL/options/?straddle=false&amp;strike=365&amp;type=all" xr:uid="{48F897D4-3234-4718-949B-5121B513D464}"/>
    <hyperlink ref="A1725" r:id="rId3249" display="https://finance.yahoo.com/quote/AAPL271217C00370000/" xr:uid="{C56DD2C9-2801-4171-8850-AC4E6E1C19A3}"/>
    <hyperlink ref="C1725" r:id="rId3250" display="https://finance.yahoo.com/quote/AAPL/options/?straddle=false&amp;strike=370&amp;type=all" xr:uid="{14E504F0-0D1B-4123-9A10-A161425CE944}"/>
    <hyperlink ref="A1726" r:id="rId3251" display="https://finance.yahoo.com/quote/AAPL271217C00375000/" xr:uid="{9EDA66DC-95B8-455D-9CDE-B1745392D7BE}"/>
    <hyperlink ref="C1726" r:id="rId3252" display="https://finance.yahoo.com/quote/AAPL/options/?straddle=false&amp;strike=375&amp;type=all" xr:uid="{9ACA4BD6-5AC2-49A4-95CF-1E66832323DF}"/>
    <hyperlink ref="A1727" r:id="rId3253" display="https://finance.yahoo.com/quote/AAPL271217C00380000/" xr:uid="{565DBBAB-3844-4C25-ADD1-FF60F42E7248}"/>
    <hyperlink ref="C1727" r:id="rId3254" display="https://finance.yahoo.com/quote/AAPL/options/?straddle=false&amp;strike=380&amp;type=all" xr:uid="{4EE06F9F-2495-4EE5-9395-3EE441CEE458}"/>
    <hyperlink ref="A1728" r:id="rId3255" display="https://finance.yahoo.com/quote/AAPL271217C00385000/" xr:uid="{D045F40A-83E5-40C1-BDA6-422B562358C6}"/>
    <hyperlink ref="C1728" r:id="rId3256" display="https://finance.yahoo.com/quote/AAPL/options/?straddle=false&amp;strike=385&amp;type=all" xr:uid="{A4FC8FEB-6780-42D8-9BC2-4CB6E1C803A1}"/>
    <hyperlink ref="A1729" r:id="rId3257" display="https://finance.yahoo.com/quote/AAPL271217C00390000/" xr:uid="{7B203E63-14D7-4260-887B-BADB764E669D}"/>
    <hyperlink ref="C1729" r:id="rId3258" display="https://finance.yahoo.com/quote/AAPL/options/?straddle=false&amp;strike=390&amp;type=all" xr:uid="{6A4A9F1B-5578-470F-9C22-D38BB78AE1F1}"/>
    <hyperlink ref="A1730" r:id="rId3259" display="https://finance.yahoo.com/quote/AAPL271217C00395000/" xr:uid="{50B52602-24E9-44F2-95FD-221387AE8D72}"/>
    <hyperlink ref="C1730" r:id="rId3260" display="https://finance.yahoo.com/quote/AAPL/options/?straddle=false&amp;strike=395&amp;type=all" xr:uid="{B0C57EFE-8471-42FE-9D9F-46EC5D6C65F9}"/>
    <hyperlink ref="A1731" r:id="rId3261" display="https://finance.yahoo.com/quote/AAPL271217C00400000/" xr:uid="{AD576CB8-62BF-45A5-AF3B-AE242F8649CF}"/>
    <hyperlink ref="C1731" r:id="rId3262" display="https://finance.yahoo.com/quote/AAPL/options/?straddle=false&amp;strike=400&amp;type=all" xr:uid="{5F0D6CAC-D0E7-4E88-BB19-23F7BC8180F4}"/>
    <hyperlink ref="A1732" r:id="rId3263" display="https://finance.yahoo.com/quote/AAPL271217C00405000/" xr:uid="{242F2957-ABD2-44D4-8471-48A7D3235C4B}"/>
    <hyperlink ref="C1732" r:id="rId3264" display="https://finance.yahoo.com/quote/AAPL/options/?straddle=false&amp;strike=405&amp;type=all" xr:uid="{1A999376-61DC-4593-9918-AC45DF920365}"/>
    <hyperlink ref="A1733" r:id="rId3265" display="https://finance.yahoo.com/quote/AAPL271217C00410000/" xr:uid="{89139FC0-763C-4928-8F47-A75B87ACF43B}"/>
    <hyperlink ref="C1733" r:id="rId3266" display="https://finance.yahoo.com/quote/AAPL/options/?straddle=false&amp;strike=410&amp;type=all" xr:uid="{AABA0BCF-1464-4BDB-BDA8-4B29DD99C327}"/>
    <hyperlink ref="A1734" r:id="rId3267" display="https://finance.yahoo.com/quote/AAPL271217C00415000/" xr:uid="{46C14590-AD1C-4092-8150-9F52657CABB0}"/>
    <hyperlink ref="C1734" r:id="rId3268" display="https://finance.yahoo.com/quote/AAPL/options/?straddle=false&amp;strike=415&amp;type=all" xr:uid="{225C9953-C828-4396-84FD-629132531A89}"/>
    <hyperlink ref="A1735" r:id="rId3269" display="https://finance.yahoo.com/quote/AAPL271217C00420000/" xr:uid="{70D6B7CA-E4C0-4557-8E4F-18F5880ED943}"/>
    <hyperlink ref="C1735" r:id="rId3270" display="https://finance.yahoo.com/quote/AAPL/options/?straddle=false&amp;strike=420&amp;type=all" xr:uid="{8D12B3D6-F10F-4D3A-A68B-FA326BEBDD5A}"/>
    <hyperlink ref="A1736" r:id="rId3271" display="https://finance.yahoo.com/quote/AAPL271217C00425000/" xr:uid="{5ADFE180-A984-4404-9B31-1521735594DC}"/>
    <hyperlink ref="C1736" r:id="rId3272" display="https://finance.yahoo.com/quote/AAPL/options/?straddle=false&amp;strike=425&amp;type=all" xr:uid="{A8D6E0C3-6D5B-4834-8B3B-2C7B8B1BA991}"/>
    <hyperlink ref="A1737" r:id="rId3273" display="https://finance.yahoo.com/quote/AAPL271217C00430000/" xr:uid="{953E1C62-D56D-4342-A69B-541198AA1B64}"/>
    <hyperlink ref="C1737" r:id="rId3274" display="https://finance.yahoo.com/quote/AAPL/options/?straddle=false&amp;strike=430&amp;type=all" xr:uid="{B0D1F2DF-FEA0-47A5-8B90-5DECD05289B7}"/>
    <hyperlink ref="A1738" r:id="rId3275" display="https://finance.yahoo.com/quote/AAPL271217C00435000/" xr:uid="{F0C00910-F529-4E3A-8960-A9A61EEB8555}"/>
    <hyperlink ref="C1738" r:id="rId3276" display="https://finance.yahoo.com/quote/AAPL/options/?straddle=false&amp;strike=435&amp;type=all" xr:uid="{FD28BBD0-7BB1-439C-A213-22DED46E0A02}"/>
    <hyperlink ref="A1739" r:id="rId3277" display="https://finance.yahoo.com/quote/AAPL271217C00440000/" xr:uid="{E406F5A9-659A-4941-B957-7BDA8BE5FBD4}"/>
    <hyperlink ref="C1739" r:id="rId3278" display="https://finance.yahoo.com/quote/AAPL/options/?straddle=false&amp;strike=440&amp;type=all" xr:uid="{FA336313-D299-4208-BBEE-176B242FB775}"/>
    <hyperlink ref="A1740" r:id="rId3279" display="https://finance.yahoo.com/quote/AAPL271217P00050000/" xr:uid="{81AAB128-E06E-44AC-9449-70CEE24B1D0A}"/>
    <hyperlink ref="C1740" r:id="rId3280" display="https://finance.yahoo.com/quote/AAPL/options/?straddle=false&amp;strike=50&amp;type=all" xr:uid="{3A3EAACE-BE87-4B16-A594-477B8607DBD2}"/>
    <hyperlink ref="A1741" r:id="rId3281" display="https://finance.yahoo.com/quote/AAPL271217P00055000/" xr:uid="{C0AC9719-14B3-4302-B2BC-42264FF48F73}"/>
    <hyperlink ref="C1741" r:id="rId3282" display="https://finance.yahoo.com/quote/AAPL/options/?straddle=false&amp;strike=55&amp;type=all" xr:uid="{4B331DA9-19E0-450A-8E9F-C8FD9AC7FD9F}"/>
    <hyperlink ref="A1742" r:id="rId3283" display="https://finance.yahoo.com/quote/AAPL271217P00060000/" xr:uid="{8340F89E-44C3-464F-8650-7A683AAB0912}"/>
    <hyperlink ref="C1742" r:id="rId3284" display="https://finance.yahoo.com/quote/AAPL/options/?straddle=false&amp;strike=60&amp;type=all" xr:uid="{316A5F0A-6FDC-4860-8026-9082FE55CD0C}"/>
    <hyperlink ref="A1743" r:id="rId3285" display="https://finance.yahoo.com/quote/AAPL271217P00065000/" xr:uid="{F21D236D-871D-46B5-84E0-8342D3C7E247}"/>
    <hyperlink ref="C1743" r:id="rId3286" display="https://finance.yahoo.com/quote/AAPL/options/?straddle=false&amp;strike=65&amp;type=all" xr:uid="{760E9E49-6C94-4989-8710-4F48CBF5E50C}"/>
    <hyperlink ref="A1744" r:id="rId3287" display="https://finance.yahoo.com/quote/AAPL271217P00070000/" xr:uid="{4F5FD2EE-A4F1-4265-B255-7D03C71F2C93}"/>
    <hyperlink ref="C1744" r:id="rId3288" display="https://finance.yahoo.com/quote/AAPL/options/?straddle=false&amp;strike=70&amp;type=all" xr:uid="{23A2F45D-7604-4DB3-BE85-E8C6D84F9EC2}"/>
    <hyperlink ref="A1745" r:id="rId3289" display="https://finance.yahoo.com/quote/AAPL271217P00075000/" xr:uid="{CA9DD51A-E499-4BF7-9DB7-201F49B3A684}"/>
    <hyperlink ref="C1745" r:id="rId3290" display="https://finance.yahoo.com/quote/AAPL/options/?straddle=false&amp;strike=75&amp;type=all" xr:uid="{BB35A372-8F1E-4F5F-8F1A-2D16CC428322}"/>
    <hyperlink ref="A1746" r:id="rId3291" display="https://finance.yahoo.com/quote/AAPL271217P00080000/" xr:uid="{7D2D4BF7-E6C1-4B62-B202-5C1E76116777}"/>
    <hyperlink ref="C1746" r:id="rId3292" display="https://finance.yahoo.com/quote/AAPL/options/?straddle=false&amp;strike=80&amp;type=all" xr:uid="{5005695C-5993-4802-A751-2E2CA672D5B8}"/>
    <hyperlink ref="A1747" r:id="rId3293" display="https://finance.yahoo.com/quote/AAPL271217P00085000/" xr:uid="{D12AB4EA-4373-4043-9054-9A94BF3AACE0}"/>
    <hyperlink ref="C1747" r:id="rId3294" display="https://finance.yahoo.com/quote/AAPL/options/?straddle=false&amp;strike=85&amp;type=all" xr:uid="{FA58C21D-5319-45DF-9354-A6B4A3881EDD}"/>
    <hyperlink ref="A1748" r:id="rId3295" display="https://finance.yahoo.com/quote/AAPL271217P00090000/" xr:uid="{29B0BBAA-4982-4DBA-8DC4-C01098550E4D}"/>
    <hyperlink ref="C1748" r:id="rId3296" display="https://finance.yahoo.com/quote/AAPL/options/?straddle=false&amp;strike=90&amp;type=all" xr:uid="{FB12B7E8-C447-48C1-AF3C-8B14B2C43FBD}"/>
    <hyperlink ref="A1749" r:id="rId3297" display="https://finance.yahoo.com/quote/AAPL271217P00095000/" xr:uid="{E8E26726-D59F-4D62-B84A-F7E8353C41D9}"/>
    <hyperlink ref="C1749" r:id="rId3298" display="https://finance.yahoo.com/quote/AAPL/options/?straddle=false&amp;strike=95&amp;type=all" xr:uid="{DFCCCD3C-3B53-40CD-8A62-75DB9B99F892}"/>
    <hyperlink ref="A1750" r:id="rId3299" display="https://finance.yahoo.com/quote/AAPL271217P00100000/" xr:uid="{1A54F566-A2F8-4595-8B94-3D323087B42F}"/>
    <hyperlink ref="C1750" r:id="rId3300" display="https://finance.yahoo.com/quote/AAPL/options/?straddle=false&amp;strike=100&amp;type=all" xr:uid="{497CFE47-D336-4484-949E-02F3404A8D94}"/>
    <hyperlink ref="A1751" r:id="rId3301" display="https://finance.yahoo.com/quote/AAPL271217P00105000/" xr:uid="{A22645E1-DBC5-48F2-9590-AFECEC8D7028}"/>
    <hyperlink ref="C1751" r:id="rId3302" display="https://finance.yahoo.com/quote/AAPL/options/?straddle=false&amp;strike=105&amp;type=all" xr:uid="{9640B533-FF2C-4F09-8638-07CBAB776119}"/>
    <hyperlink ref="A1752" r:id="rId3303" display="https://finance.yahoo.com/quote/AAPL271217P00110000/" xr:uid="{13710DDB-57FD-41BF-9F56-BB49EF17D1E6}"/>
    <hyperlink ref="C1752" r:id="rId3304" display="https://finance.yahoo.com/quote/AAPL/options/?straddle=false&amp;strike=110&amp;type=all" xr:uid="{E4F7DE63-ADF4-4629-AA8F-0757EDD2E773}"/>
    <hyperlink ref="A1753" r:id="rId3305" display="https://finance.yahoo.com/quote/AAPL271217P00115000/" xr:uid="{E59B93D6-973E-447D-898C-DC8360B69F0E}"/>
    <hyperlink ref="C1753" r:id="rId3306" display="https://finance.yahoo.com/quote/AAPL/options/?straddle=false&amp;strike=115&amp;type=all" xr:uid="{4787652B-6221-46DE-AB94-54509E50CFF9}"/>
    <hyperlink ref="A1754" r:id="rId3307" display="https://finance.yahoo.com/quote/AAPL271217P00120000/" xr:uid="{A40177F6-8CC7-46A3-A2A3-977D17920B15}"/>
    <hyperlink ref="C1754" r:id="rId3308" display="https://finance.yahoo.com/quote/AAPL/options/?straddle=false&amp;strike=120&amp;type=all" xr:uid="{6FD8F7DF-05CA-4702-BC83-5C3FA9C8F9E0}"/>
    <hyperlink ref="A1755" r:id="rId3309" display="https://finance.yahoo.com/quote/AAPL271217P00125000/" xr:uid="{7DC24643-5C5B-4AF9-ABF0-4417C2C62A67}"/>
    <hyperlink ref="C1755" r:id="rId3310" display="https://finance.yahoo.com/quote/AAPL/options/?straddle=false&amp;strike=125&amp;type=all" xr:uid="{8E663585-D342-4961-ACA7-8504916B1D9E}"/>
    <hyperlink ref="A1756" r:id="rId3311" display="https://finance.yahoo.com/quote/AAPL271217P00130000/" xr:uid="{BEF26408-5DC8-4A6A-978F-523F6885F414}"/>
    <hyperlink ref="C1756" r:id="rId3312" display="https://finance.yahoo.com/quote/AAPL/options/?straddle=false&amp;strike=130&amp;type=all" xr:uid="{86B3E53B-8859-445E-A943-2C1AEECDB667}"/>
    <hyperlink ref="A1757" r:id="rId3313" display="https://finance.yahoo.com/quote/AAPL271217P00135000/" xr:uid="{53EC19DB-48BB-4C90-8D38-B42B95693C2B}"/>
    <hyperlink ref="C1757" r:id="rId3314" display="https://finance.yahoo.com/quote/AAPL/options/?straddle=false&amp;strike=135&amp;type=all" xr:uid="{5F389C3C-DED3-4F3F-8322-20785D65B2C3}"/>
    <hyperlink ref="A1758" r:id="rId3315" display="https://finance.yahoo.com/quote/AAPL271217P00140000/" xr:uid="{7A7A7213-C55C-401D-AE5D-00D64ABD51E0}"/>
    <hyperlink ref="C1758" r:id="rId3316" display="https://finance.yahoo.com/quote/AAPL/options/?straddle=false&amp;strike=140&amp;type=all" xr:uid="{3CA42729-A40B-40F9-B775-49A2DCE3D624}"/>
    <hyperlink ref="A1759" r:id="rId3317" display="https://finance.yahoo.com/quote/AAPL271217P00145000/" xr:uid="{E0F88868-CA95-41B9-B0B3-E138E4DC5997}"/>
    <hyperlink ref="C1759" r:id="rId3318" display="https://finance.yahoo.com/quote/AAPL/options/?straddle=false&amp;strike=145&amp;type=all" xr:uid="{760890DD-41AE-40C1-B353-4F019A8E6514}"/>
    <hyperlink ref="A1760" r:id="rId3319" display="https://finance.yahoo.com/quote/AAPL271217P00150000/" xr:uid="{42F1F8FF-DADC-47AA-AD23-4E5A9A0FBF75}"/>
    <hyperlink ref="C1760" r:id="rId3320" display="https://finance.yahoo.com/quote/AAPL/options/?straddle=false&amp;strike=150&amp;type=all" xr:uid="{3DB296AC-CF6D-4F5B-9229-A6D75D28DD7A}"/>
    <hyperlink ref="A1761" r:id="rId3321" display="https://finance.yahoo.com/quote/AAPL271217P00155000/" xr:uid="{FFE7AFB4-8783-4831-9AC7-11B4929CF46F}"/>
    <hyperlink ref="C1761" r:id="rId3322" display="https://finance.yahoo.com/quote/AAPL/options/?straddle=false&amp;strike=155&amp;type=all" xr:uid="{C7C47524-895B-481E-9874-0CC4F8B83EF2}"/>
    <hyperlink ref="A1762" r:id="rId3323" display="https://finance.yahoo.com/quote/AAPL271217P00160000/" xr:uid="{87AF36AC-6799-4077-BA17-DDE8586CA6D9}"/>
    <hyperlink ref="C1762" r:id="rId3324" display="https://finance.yahoo.com/quote/AAPL/options/?straddle=false&amp;strike=160&amp;type=all" xr:uid="{281B1015-59FF-411F-946D-144440F634AA}"/>
    <hyperlink ref="A1763" r:id="rId3325" display="https://finance.yahoo.com/quote/AAPL271217P00165000/" xr:uid="{5B11AEA6-C699-41F2-9416-BFCA067CB2B9}"/>
    <hyperlink ref="C1763" r:id="rId3326" display="https://finance.yahoo.com/quote/AAPL/options/?straddle=false&amp;strike=165&amp;type=all" xr:uid="{33C80FAB-701A-43C7-BA76-E1407516FFE7}"/>
    <hyperlink ref="A1764" r:id="rId3327" display="https://finance.yahoo.com/quote/AAPL271217P00170000/" xr:uid="{0FCAF7D4-71BF-46C8-A74C-3A5CCD823EB8}"/>
    <hyperlink ref="C1764" r:id="rId3328" display="https://finance.yahoo.com/quote/AAPL/options/?straddle=false&amp;strike=170&amp;type=all" xr:uid="{841FACC3-FF34-492D-A52D-FB85A0243925}"/>
    <hyperlink ref="A1765" r:id="rId3329" display="https://finance.yahoo.com/quote/AAPL271217P00175000/" xr:uid="{6AFD8395-1728-450F-9490-FE439C8227F4}"/>
    <hyperlink ref="C1765" r:id="rId3330" display="https://finance.yahoo.com/quote/AAPL/options/?straddle=false&amp;strike=175&amp;type=all" xr:uid="{B0EE5573-D25D-4C85-83D2-1BCD5B3E292D}"/>
    <hyperlink ref="A1766" r:id="rId3331" display="https://finance.yahoo.com/quote/AAPL271217P00180000/" xr:uid="{6DAE5DBF-37DC-4E17-90A5-BDA38990900F}"/>
    <hyperlink ref="C1766" r:id="rId3332" display="https://finance.yahoo.com/quote/AAPL/options/?straddle=false&amp;strike=180&amp;type=all" xr:uid="{823638E7-95F7-47CC-9A33-B9D68CEA2260}"/>
    <hyperlink ref="A1767" r:id="rId3333" display="https://finance.yahoo.com/quote/AAPL271217P00185000/" xr:uid="{A9AB9C75-99A3-4DBE-9634-5E50D44C3C61}"/>
    <hyperlink ref="C1767" r:id="rId3334" display="https://finance.yahoo.com/quote/AAPL/options/?straddle=false&amp;strike=185&amp;type=all" xr:uid="{91891A32-E9EB-4621-93F3-A680F91F6B9C}"/>
    <hyperlink ref="A1768" r:id="rId3335" display="https://finance.yahoo.com/quote/AAPL271217P00190000/" xr:uid="{9392973D-2B1C-4ACC-889B-E3A44D5D95FB}"/>
    <hyperlink ref="C1768" r:id="rId3336" display="https://finance.yahoo.com/quote/AAPL/options/?straddle=false&amp;strike=190&amp;type=all" xr:uid="{F1B5B9E3-D9D1-4873-8478-96F87819E95E}"/>
    <hyperlink ref="A1769" r:id="rId3337" display="https://finance.yahoo.com/quote/AAPL271217P00195000/" xr:uid="{7765C468-102B-4E98-81CC-E6DF498A8D2A}"/>
    <hyperlink ref="C1769" r:id="rId3338" display="https://finance.yahoo.com/quote/AAPL/options/?straddle=false&amp;strike=195&amp;type=all" xr:uid="{D43B6ABB-EC5C-45DB-80A1-EF017D3D29D1}"/>
    <hyperlink ref="A1770" r:id="rId3339" display="https://finance.yahoo.com/quote/AAPL271217P00200000/" xr:uid="{5E7C127C-D0E6-4830-81E1-313A453A8F27}"/>
    <hyperlink ref="C1770" r:id="rId3340" display="https://finance.yahoo.com/quote/AAPL/options/?straddle=false&amp;strike=200&amp;type=all" xr:uid="{C6421496-96BC-40AD-8537-46E8384B0277}"/>
    <hyperlink ref="A1771" r:id="rId3341" display="https://finance.yahoo.com/quote/AAPL271217P00205000/" xr:uid="{60B56530-CF80-41F1-8A0B-C794086AA2B5}"/>
    <hyperlink ref="C1771" r:id="rId3342" display="https://finance.yahoo.com/quote/AAPL/options/?straddle=false&amp;strike=205&amp;type=all" xr:uid="{46BB77F4-B72D-4344-BAE0-075792ED33F8}"/>
    <hyperlink ref="A1772" r:id="rId3343" display="https://finance.yahoo.com/quote/AAPL271217P00210000/" xr:uid="{4C98C73A-3575-45FC-B6A6-ABE768D34EBF}"/>
    <hyperlink ref="C1772" r:id="rId3344" display="https://finance.yahoo.com/quote/AAPL/options/?straddle=false&amp;strike=210&amp;type=all" xr:uid="{607BB02B-2710-4BF6-90B2-2D95C0517103}"/>
    <hyperlink ref="A1773" r:id="rId3345" display="https://finance.yahoo.com/quote/AAPL271217P00215000/" xr:uid="{A555529E-CAD8-4140-841D-825AB77962F6}"/>
    <hyperlink ref="C1773" r:id="rId3346" display="https://finance.yahoo.com/quote/AAPL/options/?straddle=false&amp;strike=215&amp;type=all" xr:uid="{EB5B04BE-FA36-4566-8E2C-D713A0B6E52C}"/>
    <hyperlink ref="A1774" r:id="rId3347" display="https://finance.yahoo.com/quote/AAPL271217P00220000/" xr:uid="{D8C3B7C5-D476-4ECE-89F4-03BC69DD767E}"/>
    <hyperlink ref="C1774" r:id="rId3348" display="https://finance.yahoo.com/quote/AAPL/options/?straddle=false&amp;strike=220&amp;type=all" xr:uid="{80F0C058-A671-4C58-80DE-ECD8CC713984}"/>
    <hyperlink ref="A1775" r:id="rId3349" display="https://finance.yahoo.com/quote/AAPL271217P00225000/" xr:uid="{C87F6D6D-D40A-4106-911E-9D2AC1C9C483}"/>
    <hyperlink ref="C1775" r:id="rId3350" display="https://finance.yahoo.com/quote/AAPL/options/?straddle=false&amp;strike=225&amp;type=all" xr:uid="{1DD137B3-5164-4987-A1E3-419C273861C5}"/>
    <hyperlink ref="A1776" r:id="rId3351" display="https://finance.yahoo.com/quote/AAPL271217P00230000/" xr:uid="{27E833D5-DA23-4560-9095-61812EB04D82}"/>
    <hyperlink ref="C1776" r:id="rId3352" display="https://finance.yahoo.com/quote/AAPL/options/?straddle=false&amp;strike=230&amp;type=all" xr:uid="{B84AA64C-8AB4-4629-BA3A-05601CEA8883}"/>
    <hyperlink ref="A1777" r:id="rId3353" display="https://finance.yahoo.com/quote/AAPL271217P00235000/" xr:uid="{9383756D-F3E5-41D1-9C74-7CF9EEE13A94}"/>
    <hyperlink ref="C1777" r:id="rId3354" display="https://finance.yahoo.com/quote/AAPL/options/?straddle=false&amp;strike=235&amp;type=all" xr:uid="{3A12C48E-12C3-478F-9C0E-988158409056}"/>
    <hyperlink ref="A1778" r:id="rId3355" display="https://finance.yahoo.com/quote/AAPL271217P00240000/" xr:uid="{C3896819-90C4-458F-A1BB-BECECEA67936}"/>
    <hyperlink ref="C1778" r:id="rId3356" display="https://finance.yahoo.com/quote/AAPL/options/?straddle=false&amp;strike=240&amp;type=all" xr:uid="{ADF6F2BF-7661-44AF-A9F6-D0CF3D45F610}"/>
    <hyperlink ref="A1779" r:id="rId3357" display="https://finance.yahoo.com/quote/AAPL271217P00245000/" xr:uid="{8302EC31-88D2-4BB9-B039-7F19D23C1F4E}"/>
    <hyperlink ref="C1779" r:id="rId3358" display="https://finance.yahoo.com/quote/AAPL/options/?straddle=false&amp;strike=245&amp;type=all" xr:uid="{53CAA48A-B1C1-48C6-98B9-698F800B7EBB}"/>
    <hyperlink ref="A1780" r:id="rId3359" display="https://finance.yahoo.com/quote/AAPL271217P00250000/" xr:uid="{2D2E72F0-AF4A-402B-A59B-9E79E6D645FE}"/>
    <hyperlink ref="C1780" r:id="rId3360" display="https://finance.yahoo.com/quote/AAPL/options/?straddle=false&amp;strike=250&amp;type=all" xr:uid="{CD7FEF9D-C223-4136-8994-6C7C8E1F27EA}"/>
    <hyperlink ref="A1781" r:id="rId3361" display="https://finance.yahoo.com/quote/AAPL271217P00255000/" xr:uid="{10407028-D3DC-43F6-AA9B-085E8912F4A3}"/>
    <hyperlink ref="C1781" r:id="rId3362" display="https://finance.yahoo.com/quote/AAPL/options/?straddle=false&amp;strike=255&amp;type=all" xr:uid="{AB599999-CF2A-48BA-91CE-7C0A1EB674F9}"/>
    <hyperlink ref="A1782" r:id="rId3363" display="https://finance.yahoo.com/quote/AAPL271217P00260000/" xr:uid="{AE12AA47-CD9B-4F30-848C-F28CC38476E5}"/>
    <hyperlink ref="C1782" r:id="rId3364" display="https://finance.yahoo.com/quote/AAPL/options/?straddle=false&amp;strike=260&amp;type=all" xr:uid="{693C4537-EF0E-441D-A643-5F11CCAD7FC9}"/>
    <hyperlink ref="A1783" r:id="rId3365" display="https://finance.yahoo.com/quote/AAPL271217P00265000/" xr:uid="{BC880218-FA4E-4D80-8CE2-6180926DCBF9}"/>
    <hyperlink ref="C1783" r:id="rId3366" display="https://finance.yahoo.com/quote/AAPL/options/?straddle=false&amp;strike=265&amp;type=all" xr:uid="{1B1A5DAA-CE9E-4E47-B9A2-6AC00B9A2DF8}"/>
    <hyperlink ref="A1784" r:id="rId3367" display="https://finance.yahoo.com/quote/AAPL271217P00270000/" xr:uid="{2FF749EC-3B70-4E6E-8E75-77D36F1E3016}"/>
    <hyperlink ref="C1784" r:id="rId3368" display="https://finance.yahoo.com/quote/AAPL/options/?straddle=false&amp;strike=270&amp;type=all" xr:uid="{A8F99E19-C345-4DBA-BC51-FFA834274134}"/>
    <hyperlink ref="A1785" r:id="rId3369" display="https://finance.yahoo.com/quote/AAPL271217P00275000/" xr:uid="{3BC4048D-2A4A-42F0-B648-D6171D1B7179}"/>
    <hyperlink ref="C1785" r:id="rId3370" display="https://finance.yahoo.com/quote/AAPL/options/?straddle=false&amp;strike=275&amp;type=all" xr:uid="{61CFB7DE-678E-4BAD-A029-ED4C72D887FE}"/>
    <hyperlink ref="A1786" r:id="rId3371" display="https://finance.yahoo.com/quote/AAPL271217P00280000/" xr:uid="{23E6D5AE-DF31-40A0-8A42-7254EA1D95FC}"/>
    <hyperlink ref="C1786" r:id="rId3372" display="https://finance.yahoo.com/quote/AAPL/options/?straddle=false&amp;strike=280&amp;type=all" xr:uid="{7213FD62-B05A-4391-8192-464BB583C09F}"/>
    <hyperlink ref="A1787" r:id="rId3373" display="https://finance.yahoo.com/quote/AAPL271217P00285000/" xr:uid="{2B0C5645-672F-4C8F-BACF-F8DC362862FA}"/>
    <hyperlink ref="C1787" r:id="rId3374" display="https://finance.yahoo.com/quote/AAPL/options/?straddle=false&amp;strike=285&amp;type=all" xr:uid="{939D824A-577F-404F-AE33-9B25DD3C9889}"/>
    <hyperlink ref="A1788" r:id="rId3375" display="https://finance.yahoo.com/quote/AAPL271217P00290000/" xr:uid="{0E00C5DB-1EB3-4141-8263-30D4B074E705}"/>
    <hyperlink ref="C1788" r:id="rId3376" display="https://finance.yahoo.com/quote/AAPL/options/?straddle=false&amp;strike=290&amp;type=all" xr:uid="{E0B2AB67-6492-4B47-9F99-D5D1EE96D64B}"/>
    <hyperlink ref="A1789" r:id="rId3377" display="https://finance.yahoo.com/quote/AAPL271217P00295000/" xr:uid="{D2E081A0-232B-4F1B-B85A-C90BD55C8189}"/>
    <hyperlink ref="C1789" r:id="rId3378" display="https://finance.yahoo.com/quote/AAPL/options/?straddle=false&amp;strike=295&amp;type=all" xr:uid="{234FE805-E3A5-48F5-AA7C-11160EC3075E}"/>
    <hyperlink ref="A1790" r:id="rId3379" display="https://finance.yahoo.com/quote/AAPL271217P00300000/" xr:uid="{60949B3F-20B3-4830-968B-505CC99C5E42}"/>
    <hyperlink ref="C1790" r:id="rId3380" display="https://finance.yahoo.com/quote/AAPL/options/?straddle=false&amp;strike=300&amp;type=all" xr:uid="{176539AA-576C-47EC-8B8A-D6492B38328E}"/>
    <hyperlink ref="A1791" r:id="rId3381" display="https://finance.yahoo.com/quote/AAPL271217P00305000/" xr:uid="{D69DCF1E-562C-4E7B-B198-CF1130CF4A6E}"/>
    <hyperlink ref="C1791" r:id="rId3382" display="https://finance.yahoo.com/quote/AAPL/options/?straddle=false&amp;strike=305&amp;type=all" xr:uid="{904E7A93-A357-47A5-BCDA-03061C65BEA9}"/>
    <hyperlink ref="A1792" r:id="rId3383" display="https://finance.yahoo.com/quote/AAPL271217P00310000/" xr:uid="{6EA175FD-31AA-4994-B5E0-D3FB8321D286}"/>
    <hyperlink ref="C1792" r:id="rId3384" display="https://finance.yahoo.com/quote/AAPL/options/?straddle=false&amp;strike=310&amp;type=all" xr:uid="{8A277DD9-003C-46F0-BEA2-FCABE598217F}"/>
    <hyperlink ref="A1793" r:id="rId3385" display="https://finance.yahoo.com/quote/AAPL271217P00315000/" xr:uid="{B3D252F2-65F8-449C-9161-AFA4FCC5B841}"/>
    <hyperlink ref="C1793" r:id="rId3386" display="https://finance.yahoo.com/quote/AAPL/options/?straddle=false&amp;strike=315&amp;type=all" xr:uid="{D49815DA-2918-4EB8-99AF-8007D5EEF6C7}"/>
    <hyperlink ref="A1794" r:id="rId3387" display="https://finance.yahoo.com/quote/AAPL271217P00320000/" xr:uid="{991ED7C4-46B7-4E6F-9BF7-0E8C77E7237F}"/>
    <hyperlink ref="C1794" r:id="rId3388" display="https://finance.yahoo.com/quote/AAPL/options/?straddle=false&amp;strike=320&amp;type=all" xr:uid="{6EBA2B71-AD6A-4D2D-A282-F63B91B638C3}"/>
    <hyperlink ref="A1795" r:id="rId3389" display="https://finance.yahoo.com/quote/AAPL271217P00325000/" xr:uid="{22942461-5917-40DB-BD37-E3CCFE0D41F8}"/>
    <hyperlink ref="C1795" r:id="rId3390" display="https://finance.yahoo.com/quote/AAPL/options/?straddle=false&amp;strike=325&amp;type=all" xr:uid="{8DAEAB93-5E30-4419-B6D3-7A5EF88A8B94}"/>
    <hyperlink ref="A1796" r:id="rId3391" display="https://finance.yahoo.com/quote/AAPL271217P00330000/" xr:uid="{4BA78257-CBF2-4B7E-AE71-841C82574063}"/>
    <hyperlink ref="C1796" r:id="rId3392" display="https://finance.yahoo.com/quote/AAPL/options/?straddle=false&amp;strike=330&amp;type=all" xr:uid="{45B4537E-0EA4-4CFD-841D-599BED827389}"/>
    <hyperlink ref="A1797" r:id="rId3393" display="https://finance.yahoo.com/quote/AAPL271217P00350000/" xr:uid="{F7C52A67-5516-452F-8DB5-E526BD5B9419}"/>
    <hyperlink ref="C1797" r:id="rId3394" display="https://finance.yahoo.com/quote/AAPL/options/?straddle=false&amp;strike=350&amp;type=all" xr:uid="{F25D628D-BCD7-4CDB-BB8B-984076683774}"/>
    <hyperlink ref="A1798" r:id="rId3395" display="https://finance.yahoo.com/quote/AAPL271217P00370000/" xr:uid="{AB1641A4-1F53-4B73-BB61-32C09F97EA26}"/>
    <hyperlink ref="C1798" r:id="rId3396" display="https://finance.yahoo.com/quote/AAPL/options/?straddle=false&amp;strike=370&amp;type=all" xr:uid="{1CA64954-8BE5-4700-AB2C-B3BC240E759B}"/>
    <hyperlink ref="A1799" r:id="rId3397" display="https://finance.yahoo.com/quote/AAPL271217P00380000/" xr:uid="{839D7B66-8A2B-4623-B2BD-80147A4418F7}"/>
    <hyperlink ref="C1799" r:id="rId3398" display="https://finance.yahoo.com/quote/AAPL/options/?straddle=false&amp;strike=380&amp;type=all" xr:uid="{6D9B03B5-E57F-4EE4-B73A-A1BE10B42998}"/>
    <hyperlink ref="A1800" r:id="rId3399" display="https://finance.yahoo.com/quote/AAPL271217P00400000/" xr:uid="{B2292D0A-A9A2-40DB-8926-E931BA233D83}"/>
    <hyperlink ref="C1800" r:id="rId3400" display="https://finance.yahoo.com/quote/AAPL/options/?straddle=false&amp;strike=400&amp;type=all" xr:uid="{6D50B4EB-4615-4282-9385-E00C5740DBB7}"/>
    <hyperlink ref="A1801" r:id="rId3401" display="https://finance.yahoo.com/quote/AAPL271217P00435000/" xr:uid="{B7ED5695-B607-4E5B-9137-F8817534B887}"/>
    <hyperlink ref="C1801" r:id="rId3402" display="https://finance.yahoo.com/quote/AAPL/options/?straddle=false&amp;strike=435&amp;type=all" xr:uid="{734EC8AE-AC8A-4322-A478-0074859F9325}"/>
    <hyperlink ref="A1802" r:id="rId3403" display="https://finance.yahoo.com/quote/AAPL271217P00440000/" xr:uid="{3F07C3C5-A8BB-44BE-9471-A8BAD972D327}"/>
    <hyperlink ref="C1802" r:id="rId3404" display="https://finance.yahoo.com/quote/AAPL/options/?straddle=false&amp;strike=440&amp;type=all" xr:uid="{F28A1C94-65CB-4B58-84DC-8106274C33D6}"/>
    <hyperlink ref="A1803" r:id="rId3405" display="https://finance.yahoo.com/quote/AAPL280121C00050000/" xr:uid="{29239203-739D-42EF-B53B-78FB55D6C626}"/>
    <hyperlink ref="C1803" r:id="rId3406" display="https://finance.yahoo.com/quote/AAPL/options/?straddle=false&amp;strike=50&amp;type=all" xr:uid="{77C571BC-03CF-4675-83E0-C7EE9A6F9D2D}"/>
    <hyperlink ref="A1804" r:id="rId3407" display="https://finance.yahoo.com/quote/AAPL280121C00080000/" xr:uid="{9D8AC9FD-B549-4B64-A531-45ED374494A8}"/>
    <hyperlink ref="C1804" r:id="rId3408" display="https://finance.yahoo.com/quote/AAPL/options/?straddle=false&amp;strike=80&amp;type=all" xr:uid="{A331EAF6-B081-4FB0-AC5E-B704DB8F3C24}"/>
    <hyperlink ref="A1805" r:id="rId3409" display="https://finance.yahoo.com/quote/AAPL280121C00110000/" xr:uid="{2B2924D1-2751-49C6-A621-86DEA3EB1DA6}"/>
    <hyperlink ref="C1805" r:id="rId3410" display="https://finance.yahoo.com/quote/AAPL/options/?straddle=false&amp;strike=110&amp;type=all" xr:uid="{D38A9C88-6263-4A6F-842A-3C84BA621E4C}"/>
    <hyperlink ref="A1806" r:id="rId3411" display="https://finance.yahoo.com/quote/AAPL280121C00120000/" xr:uid="{10A8D495-4896-44CE-8EFC-71C0BE05F1C0}"/>
    <hyperlink ref="C1806" r:id="rId3412" display="https://finance.yahoo.com/quote/AAPL/options/?straddle=false&amp;strike=120&amp;type=all" xr:uid="{6B41C790-66B7-4EEC-9FA7-F41C92E54607}"/>
    <hyperlink ref="A1807" r:id="rId3413" display="https://finance.yahoo.com/quote/AAPL280121C00135000/" xr:uid="{599CAA72-FAC4-4059-A94B-B024DF0B1628}"/>
    <hyperlink ref="C1807" r:id="rId3414" display="https://finance.yahoo.com/quote/AAPL/options/?straddle=false&amp;strike=135&amp;type=all" xr:uid="{96BD6281-4EE5-4D23-BAD1-584D43060631}"/>
    <hyperlink ref="A1808" r:id="rId3415" display="https://finance.yahoo.com/quote/AAPL280121C00150000/" xr:uid="{23F99541-093D-4728-B5A7-6954B6BB3FDC}"/>
    <hyperlink ref="C1808" r:id="rId3416" display="https://finance.yahoo.com/quote/AAPL/options/?straddle=false&amp;strike=150&amp;type=all" xr:uid="{BA518499-820B-471A-BEBE-26174A788E5D}"/>
    <hyperlink ref="A1809" r:id="rId3417" display="https://finance.yahoo.com/quote/AAPL280121C00155000/" xr:uid="{1CE06448-0D0F-4F00-93EE-590DC45197BE}"/>
    <hyperlink ref="C1809" r:id="rId3418" display="https://finance.yahoo.com/quote/AAPL/options/?straddle=false&amp;strike=155&amp;type=all" xr:uid="{59BB8729-5F42-4390-9E95-950CBBA36040}"/>
    <hyperlink ref="A1810" r:id="rId3419" display="https://finance.yahoo.com/quote/AAPL280121C00160000/" xr:uid="{8894062B-2A1C-42AC-AC87-00B486CB1D05}"/>
    <hyperlink ref="C1810" r:id="rId3420" display="https://finance.yahoo.com/quote/AAPL/options/?straddle=false&amp;strike=160&amp;type=all" xr:uid="{53C8D015-D995-4233-A9E2-4A19FC2CC4B9}"/>
    <hyperlink ref="A1811" r:id="rId3421" display="https://finance.yahoo.com/quote/AAPL280121C00170000/" xr:uid="{456C8F43-9459-47BA-8AE0-591040F4E791}"/>
    <hyperlink ref="C1811" r:id="rId3422" display="https://finance.yahoo.com/quote/AAPL/options/?straddle=false&amp;strike=170&amp;type=all" xr:uid="{8C75CD61-6906-4F10-83E7-3308CF206DDD}"/>
    <hyperlink ref="A1812" r:id="rId3423" display="https://finance.yahoo.com/quote/AAPL280121C00175000/" xr:uid="{B0857071-39FA-4A10-BFF7-911ED5D20883}"/>
    <hyperlink ref="C1812" r:id="rId3424" display="https://finance.yahoo.com/quote/AAPL/options/?straddle=false&amp;strike=175&amp;type=all" xr:uid="{0014FEB0-63D5-4896-8DA3-E3D10BD5D30A}"/>
    <hyperlink ref="A1813" r:id="rId3425" display="https://finance.yahoo.com/quote/AAPL280121C00180000/" xr:uid="{AF686262-99D9-403F-AC98-CD4664052AF0}"/>
    <hyperlink ref="C1813" r:id="rId3426" display="https://finance.yahoo.com/quote/AAPL/options/?straddle=false&amp;strike=180&amp;type=all" xr:uid="{0084D479-8E6D-41C9-8706-DE4B268259AA}"/>
    <hyperlink ref="A1814" r:id="rId3427" display="https://finance.yahoo.com/quote/AAPL280121C00185000/" xr:uid="{F2EFFE0A-0CD7-4831-9936-B59067133E7D}"/>
    <hyperlink ref="C1814" r:id="rId3428" display="https://finance.yahoo.com/quote/AAPL/options/?straddle=false&amp;strike=185&amp;type=all" xr:uid="{DBC31980-0C51-4EA1-B234-67AB84CBBE77}"/>
    <hyperlink ref="A1815" r:id="rId3429" display="https://finance.yahoo.com/quote/AAPL280121C00190000/" xr:uid="{1655D5E5-E955-4578-B364-0F0C6A815471}"/>
    <hyperlink ref="C1815" r:id="rId3430" display="https://finance.yahoo.com/quote/AAPL/options/?straddle=false&amp;strike=190&amp;type=all" xr:uid="{A402F88B-66B2-4329-ABA1-C85F048F621D}"/>
    <hyperlink ref="A1816" r:id="rId3431" display="https://finance.yahoo.com/quote/AAPL280121C00195000/" xr:uid="{FE0F6540-3710-4ABC-99EC-CE85BEC4E0EE}"/>
    <hyperlink ref="C1816" r:id="rId3432" display="https://finance.yahoo.com/quote/AAPL/options/?straddle=false&amp;strike=195&amp;type=all" xr:uid="{026BB9E5-998B-4A0C-B08A-C3A7053E3F0E}"/>
    <hyperlink ref="A1817" r:id="rId3433" display="https://finance.yahoo.com/quote/AAPL280121C00200000/" xr:uid="{8D0EB757-21E8-45B4-9397-E5CBCD09DA6A}"/>
    <hyperlink ref="C1817" r:id="rId3434" display="https://finance.yahoo.com/quote/AAPL/options/?straddle=false&amp;strike=200&amp;type=all" xr:uid="{E72C0331-65C5-4BD0-9F49-EE89A36567ED}"/>
    <hyperlink ref="A1818" r:id="rId3435" display="https://finance.yahoo.com/quote/AAPL280121C00210000/" xr:uid="{5F8A6A9E-0810-4F47-9DB1-7E3CE34E76BD}"/>
    <hyperlink ref="C1818" r:id="rId3436" display="https://finance.yahoo.com/quote/AAPL/options/?straddle=false&amp;strike=210&amp;type=all" xr:uid="{880BBE52-68F1-4CBA-AE6F-9537A6B1B597}"/>
    <hyperlink ref="A1819" r:id="rId3437" display="https://finance.yahoo.com/quote/AAPL280121C00220000/" xr:uid="{5BA6F320-F8A2-4B9B-BA38-18FD74F54941}"/>
    <hyperlink ref="C1819" r:id="rId3438" display="https://finance.yahoo.com/quote/AAPL/options/?straddle=false&amp;strike=220&amp;type=all" xr:uid="{FB5E73D3-DCF7-4A16-98AB-DD471479D31B}"/>
    <hyperlink ref="A1820" r:id="rId3439" display="https://finance.yahoo.com/quote/AAPL280121C00230000/" xr:uid="{140D0F5A-A69B-4004-8231-CA4DBE38A95A}"/>
    <hyperlink ref="C1820" r:id="rId3440" display="https://finance.yahoo.com/quote/AAPL/options/?straddle=false&amp;strike=230&amp;type=all" xr:uid="{EF94121F-9DB8-4F30-8CF4-E23C52B23F3F}"/>
    <hyperlink ref="A1821" r:id="rId3441" display="https://finance.yahoo.com/quote/AAPL280121C00240000/" xr:uid="{75CD8F0B-DD4B-48ED-BFD9-B44BD01382B2}"/>
    <hyperlink ref="C1821" r:id="rId3442" display="https://finance.yahoo.com/quote/AAPL/options/?straddle=false&amp;strike=240&amp;type=all" xr:uid="{04D05C66-947A-469F-9F5F-D472E01A0CAB}"/>
    <hyperlink ref="A1822" r:id="rId3443" display="https://finance.yahoo.com/quote/AAPL280121C00250000/" xr:uid="{5E6E1AEA-4E0C-4462-8322-CAD250379495}"/>
    <hyperlink ref="C1822" r:id="rId3444" display="https://finance.yahoo.com/quote/AAPL/options/?straddle=false&amp;strike=250&amp;type=all" xr:uid="{540FACBB-71ED-4BDD-9B42-D13DE3B743A9}"/>
    <hyperlink ref="A1823" r:id="rId3445" display="https://finance.yahoo.com/quote/AAPL280121C00260000/" xr:uid="{1BE8825C-902A-4140-BB63-8EE54E633B68}"/>
    <hyperlink ref="C1823" r:id="rId3446" display="https://finance.yahoo.com/quote/AAPL/options/?straddle=false&amp;strike=260&amp;type=all" xr:uid="{62B891F4-79DC-409E-9467-147B9396D337}"/>
    <hyperlink ref="A1824" r:id="rId3447" display="https://finance.yahoo.com/quote/AAPL280121C00270000/" xr:uid="{30AA0B2D-0260-4344-82BD-E0B989FB51B4}"/>
    <hyperlink ref="C1824" r:id="rId3448" display="https://finance.yahoo.com/quote/AAPL/options/?straddle=false&amp;strike=270&amp;type=all" xr:uid="{53EE8662-4069-41C9-8DD2-EB27FC907681}"/>
    <hyperlink ref="A1825" r:id="rId3449" display="https://finance.yahoo.com/quote/AAPL280121C00280000/" xr:uid="{E8263690-866A-4D67-B111-8ADDEB69B20B}"/>
    <hyperlink ref="C1825" r:id="rId3450" display="https://finance.yahoo.com/quote/AAPL/options/?straddle=false&amp;strike=280&amp;type=all" xr:uid="{B3C695DF-6DD6-4AF3-A64F-BC471C072309}"/>
    <hyperlink ref="A1826" r:id="rId3451" display="https://finance.yahoo.com/quote/AAPL280121C00290000/" xr:uid="{8CFF4381-0F13-49AF-99C1-6FA81F7254C9}"/>
    <hyperlink ref="C1826" r:id="rId3452" display="https://finance.yahoo.com/quote/AAPL/options/?straddle=false&amp;strike=290&amp;type=all" xr:uid="{F101AFB2-13F4-490C-BA53-D4C0714EC420}"/>
    <hyperlink ref="A1827" r:id="rId3453" display="https://finance.yahoo.com/quote/AAPL280121C00300000/" xr:uid="{7511A663-A7CD-4675-A559-02C489BB3483}"/>
    <hyperlink ref="C1827" r:id="rId3454" display="https://finance.yahoo.com/quote/AAPL/options/?straddle=false&amp;strike=300&amp;type=all" xr:uid="{3D66602F-CC63-4533-BB86-652D07712778}"/>
    <hyperlink ref="A1828" r:id="rId3455" display="https://finance.yahoo.com/quote/AAPL280121C00310000/" xr:uid="{E7DDB681-437C-45D3-9766-350DE19ED6B2}"/>
    <hyperlink ref="C1828" r:id="rId3456" display="https://finance.yahoo.com/quote/AAPL/options/?straddle=false&amp;strike=310&amp;type=all" xr:uid="{CC126F93-73AB-4409-B364-A1108B77D54A}"/>
    <hyperlink ref="A1829" r:id="rId3457" display="https://finance.yahoo.com/quote/AAPL280121C00320000/" xr:uid="{160AFFA7-6A73-40E0-92C8-290AB190BEC9}"/>
    <hyperlink ref="C1829" r:id="rId3458" display="https://finance.yahoo.com/quote/AAPL/options/?straddle=false&amp;strike=320&amp;type=all" xr:uid="{A3FFBBF8-82FA-429D-BE84-1C14B8230325}"/>
    <hyperlink ref="A1830" r:id="rId3459" display="https://finance.yahoo.com/quote/AAPL280121C00330000/" xr:uid="{EC1450C2-343A-4E80-8FEF-CCB7432BB03E}"/>
    <hyperlink ref="C1830" r:id="rId3460" display="https://finance.yahoo.com/quote/AAPL/options/?straddle=false&amp;strike=330&amp;type=all" xr:uid="{C593F2DA-27C0-4088-A892-D9AE5FF8A541}"/>
    <hyperlink ref="A1831" r:id="rId3461" display="https://finance.yahoo.com/quote/AAPL280121C00340000/" xr:uid="{036FD446-6461-41EE-8D09-7C4AB4FF296B}"/>
    <hyperlink ref="C1831" r:id="rId3462" display="https://finance.yahoo.com/quote/AAPL/options/?straddle=false&amp;strike=340&amp;type=all" xr:uid="{1ADB4C75-C6E4-4671-8247-5DBA968C5288}"/>
    <hyperlink ref="A1832" r:id="rId3463" display="https://finance.yahoo.com/quote/AAPL280121C00350000/" xr:uid="{48A0B0B1-44CB-4A77-ABE2-642FF306493D}"/>
    <hyperlink ref="C1832" r:id="rId3464" display="https://finance.yahoo.com/quote/AAPL/options/?straddle=false&amp;strike=350&amp;type=all" xr:uid="{D30DCE5B-213A-48EC-9E56-34A407A96363}"/>
    <hyperlink ref="A1833" r:id="rId3465" display="https://finance.yahoo.com/quote/AAPL280121C00360000/" xr:uid="{2FB69013-AF61-412E-90E9-9490D398117C}"/>
    <hyperlink ref="C1833" r:id="rId3466" display="https://finance.yahoo.com/quote/AAPL/options/?straddle=false&amp;strike=360&amp;type=all" xr:uid="{E24ECAB1-8116-4049-AFF5-0CAF108248B3}"/>
    <hyperlink ref="A1834" r:id="rId3467" display="https://finance.yahoo.com/quote/AAPL280121C00370000/" xr:uid="{EB4E3D44-AF0F-4719-B363-60643791F425}"/>
    <hyperlink ref="C1834" r:id="rId3468" display="https://finance.yahoo.com/quote/AAPL/options/?straddle=false&amp;strike=370&amp;type=all" xr:uid="{A1314EFC-C99A-4536-9ECF-00069DDE6BFB}"/>
    <hyperlink ref="A1835" r:id="rId3469" display="https://finance.yahoo.com/quote/AAPL280121C00380000/" xr:uid="{49499CB1-EC19-4380-8EE6-179A86F7B6FA}"/>
    <hyperlink ref="C1835" r:id="rId3470" display="https://finance.yahoo.com/quote/AAPL/options/?straddle=false&amp;strike=380&amp;type=all" xr:uid="{B38D2202-883C-49DF-AF3E-5FC2712EE948}"/>
    <hyperlink ref="A1836" r:id="rId3471" display="https://finance.yahoo.com/quote/AAPL280121C00390000/" xr:uid="{84F677B5-6E69-48BA-B3D8-004A31AC6977}"/>
    <hyperlink ref="C1836" r:id="rId3472" display="https://finance.yahoo.com/quote/AAPL/options/?straddle=false&amp;strike=390&amp;type=all" xr:uid="{80425324-4310-40BB-BF50-7476CE46C9DA}"/>
    <hyperlink ref="A1837" r:id="rId3473" display="https://finance.yahoo.com/quote/AAPL280121C00400000/" xr:uid="{BB8F60A5-7239-4563-892C-A8B17799DF2F}"/>
    <hyperlink ref="C1837" r:id="rId3474" display="https://finance.yahoo.com/quote/AAPL/options/?straddle=false&amp;strike=400&amp;type=all" xr:uid="{A5C6A94E-6546-4957-9D78-B145416F7D69}"/>
    <hyperlink ref="A1838" r:id="rId3475" display="https://finance.yahoo.com/quote/AAPL280121C00420000/" xr:uid="{0322E7E3-C898-4D2A-9F29-8B12F8FB99D2}"/>
    <hyperlink ref="C1838" r:id="rId3476" display="https://finance.yahoo.com/quote/AAPL/options/?straddle=false&amp;strike=420&amp;type=all" xr:uid="{03B3A9AB-B3BB-4CD8-AD91-A8A2EC8F97C1}"/>
    <hyperlink ref="A1839" r:id="rId3477" display="https://finance.yahoo.com/quote/AAPL280121C00440000/" xr:uid="{0715AED6-8A8E-4577-91EB-216F690B884F}"/>
    <hyperlink ref="C1839" r:id="rId3478" display="https://finance.yahoo.com/quote/AAPL/options/?straddle=false&amp;strike=440&amp;type=all" xr:uid="{5DAD8850-910E-4226-A193-DC320AF46F1C}"/>
    <hyperlink ref="A1840" r:id="rId3479" display="https://finance.yahoo.com/quote/AAPL280121C00450000/" xr:uid="{10DCE9C9-5455-42E8-AD99-5330294E4005}"/>
    <hyperlink ref="C1840" r:id="rId3480" display="https://finance.yahoo.com/quote/AAPL/options/?straddle=false&amp;strike=450&amp;type=all" xr:uid="{57D0676E-BFC8-48A3-9E52-07EECD9B5615}"/>
    <hyperlink ref="A1841" r:id="rId3481" display="https://finance.yahoo.com/quote/AAPL280121P00060000/" xr:uid="{736874A6-EF0F-4E3B-80B8-BDEB4E8A5295}"/>
    <hyperlink ref="C1841" r:id="rId3482" display="https://finance.yahoo.com/quote/AAPL/options/?straddle=false&amp;strike=60&amp;type=all" xr:uid="{A6F31CB9-11FD-462B-929C-84575845DDF8}"/>
    <hyperlink ref="A1842" r:id="rId3483" display="https://finance.yahoo.com/quote/AAPL280121P00090000/" xr:uid="{EAD3E471-223D-4910-8D2F-1005057048A4}"/>
    <hyperlink ref="C1842" r:id="rId3484" display="https://finance.yahoo.com/quote/AAPL/options/?straddle=false&amp;strike=90&amp;type=all" xr:uid="{D2971D9B-969C-4FCB-BFE4-439D153E328F}"/>
    <hyperlink ref="A1843" r:id="rId3485" display="https://finance.yahoo.com/quote/AAPL280121P00100000/" xr:uid="{69F08A2C-D0E6-4DA2-9921-70F03D3EE7B8}"/>
    <hyperlink ref="C1843" r:id="rId3486" display="https://finance.yahoo.com/quote/AAPL/options/?straddle=false&amp;strike=100&amp;type=all" xr:uid="{2C59EDA4-F082-48D1-B7A3-E1F6790C478A}"/>
    <hyperlink ref="A1844" r:id="rId3487" display="https://finance.yahoo.com/quote/AAPL280121P00110000/" xr:uid="{74335739-A41C-4F26-8090-E986A6F95504}"/>
    <hyperlink ref="C1844" r:id="rId3488" display="https://finance.yahoo.com/quote/AAPL/options/?straddle=false&amp;strike=110&amp;type=all" xr:uid="{C2F06651-B5AC-4CA0-8489-3666F7720229}"/>
    <hyperlink ref="A1845" r:id="rId3489" display="https://finance.yahoo.com/quote/AAPL280121P00120000/" xr:uid="{0DFEDFFC-7463-436C-BD8F-0409FE1B80A2}"/>
    <hyperlink ref="C1845" r:id="rId3490" display="https://finance.yahoo.com/quote/AAPL/options/?straddle=false&amp;strike=120&amp;type=all" xr:uid="{6756DF1C-32B4-468C-B3DF-5AC0A71A7BA7}"/>
    <hyperlink ref="A1846" r:id="rId3491" display="https://finance.yahoo.com/quote/AAPL280121P00130000/" xr:uid="{6422994B-EB3E-46E1-8469-E25B5D303572}"/>
    <hyperlink ref="C1846" r:id="rId3492" display="https://finance.yahoo.com/quote/AAPL/options/?straddle=false&amp;strike=130&amp;type=all" xr:uid="{B6B79675-554E-4798-BF17-BD02F26DD687}"/>
    <hyperlink ref="A1847" r:id="rId3493" display="https://finance.yahoo.com/quote/AAPL280121P00135000/" xr:uid="{60FCC9F3-6DDA-4379-8152-80D4F6C548BD}"/>
    <hyperlink ref="C1847" r:id="rId3494" display="https://finance.yahoo.com/quote/AAPL/options/?straddle=false&amp;strike=135&amp;type=all" xr:uid="{1348AD8B-223C-416C-BC8C-94B352E615D4}"/>
    <hyperlink ref="A1848" r:id="rId3495" display="https://finance.yahoo.com/quote/AAPL280121P00140000/" xr:uid="{55ED0865-8FFE-4F2C-800A-1AD54C8C3534}"/>
    <hyperlink ref="C1848" r:id="rId3496" display="https://finance.yahoo.com/quote/AAPL/options/?straddle=false&amp;strike=140&amp;type=all" xr:uid="{AEB65D30-D310-43F1-A7DD-5438A31A73AB}"/>
    <hyperlink ref="A1849" r:id="rId3497" display="https://finance.yahoo.com/quote/AAPL280121P00145000/" xr:uid="{AF2BA7C4-BC31-4B8E-B9A5-BAE0D252DD78}"/>
    <hyperlink ref="C1849" r:id="rId3498" display="https://finance.yahoo.com/quote/AAPL/options/?straddle=false&amp;strike=145&amp;type=all" xr:uid="{DEA62898-E99D-4C36-BB6D-4570EB42E303}"/>
    <hyperlink ref="A1850" r:id="rId3499" display="https://finance.yahoo.com/quote/AAPL280121P00150000/" xr:uid="{048F835B-74FA-4F6D-9D67-99C7282FD238}"/>
    <hyperlink ref="C1850" r:id="rId3500" display="https://finance.yahoo.com/quote/AAPL/options/?straddle=false&amp;strike=150&amp;type=all" xr:uid="{B1D5499A-2C94-419F-9FA4-68CBBAF037A7}"/>
    <hyperlink ref="A1851" r:id="rId3501" display="https://finance.yahoo.com/quote/AAPL280121P00160000/" xr:uid="{A297DD4E-ABF1-4807-A8E0-B434CBC396EE}"/>
    <hyperlink ref="C1851" r:id="rId3502" display="https://finance.yahoo.com/quote/AAPL/options/?straddle=false&amp;strike=160&amp;type=all" xr:uid="{8956ADA1-9A4D-48D9-AA44-5EFC4436C78E}"/>
    <hyperlink ref="A1852" r:id="rId3503" display="https://finance.yahoo.com/quote/AAPL280121P00170000/" xr:uid="{A173D73D-6080-451C-BB68-0CE33790F88A}"/>
    <hyperlink ref="C1852" r:id="rId3504" display="https://finance.yahoo.com/quote/AAPL/options/?straddle=false&amp;strike=170&amp;type=all" xr:uid="{5BC45DCB-305C-4B7C-8EFE-89E1BFD779AE}"/>
    <hyperlink ref="A1853" r:id="rId3505" display="https://finance.yahoo.com/quote/AAPL280121P00175000/" xr:uid="{072B36B7-7CE9-432B-A9C9-ADC391E98394}"/>
    <hyperlink ref="C1853" r:id="rId3506" display="https://finance.yahoo.com/quote/AAPL/options/?straddle=false&amp;strike=175&amp;type=all" xr:uid="{3C22D256-95DC-4CDD-AEDC-926349A82103}"/>
    <hyperlink ref="A1854" r:id="rId3507" display="https://finance.yahoo.com/quote/AAPL280121P00180000/" xr:uid="{ADDFC9AA-3678-4341-8DDC-D65A69C7F2A5}"/>
    <hyperlink ref="C1854" r:id="rId3508" display="https://finance.yahoo.com/quote/AAPL/options/?straddle=false&amp;strike=180&amp;type=all" xr:uid="{67C40934-B0F1-4090-BFF8-6505BB53B032}"/>
    <hyperlink ref="A1855" r:id="rId3509" display="https://finance.yahoo.com/quote/AAPL280121P00185000/" xr:uid="{98642198-8DC6-4BA0-8F76-E6EC359CFC3D}"/>
    <hyperlink ref="C1855" r:id="rId3510" display="https://finance.yahoo.com/quote/AAPL/options/?straddle=false&amp;strike=185&amp;type=all" xr:uid="{0353E57A-CD53-4891-8C0C-620918D82A72}"/>
    <hyperlink ref="A1856" r:id="rId3511" display="https://finance.yahoo.com/quote/AAPL280121P00190000/" xr:uid="{075F3209-FAC1-4B78-B9D4-B7BA25F28E11}"/>
    <hyperlink ref="C1856" r:id="rId3512" display="https://finance.yahoo.com/quote/AAPL/options/?straddle=false&amp;strike=190&amp;type=all" xr:uid="{270DB7E0-5D32-4CD3-86DF-F098BB1BB932}"/>
    <hyperlink ref="A1857" r:id="rId3513" display="https://finance.yahoo.com/quote/AAPL280121P00195000/" xr:uid="{66DE71CA-98E5-4B4B-9C8E-C7725965950F}"/>
    <hyperlink ref="C1857" r:id="rId3514" display="https://finance.yahoo.com/quote/AAPL/options/?straddle=false&amp;strike=195&amp;type=all" xr:uid="{5DD276E4-AD23-4275-A26E-2DAD15A1F9C8}"/>
    <hyperlink ref="A1858" r:id="rId3515" display="https://finance.yahoo.com/quote/AAPL280121P00200000/" xr:uid="{745D59D5-53DA-4F20-9E81-9BA67697833B}"/>
    <hyperlink ref="C1858" r:id="rId3516" display="https://finance.yahoo.com/quote/AAPL/options/?straddle=false&amp;strike=200&amp;type=all" xr:uid="{0E648566-584E-4534-AC0E-16CE3B32E8E8}"/>
    <hyperlink ref="A1859" r:id="rId3517" display="https://finance.yahoo.com/quote/AAPL280121P00210000/" xr:uid="{4988BEA3-56F3-4462-ADD8-5345D977E6F1}"/>
    <hyperlink ref="C1859" r:id="rId3518" display="https://finance.yahoo.com/quote/AAPL/options/?straddle=false&amp;strike=210&amp;type=all" xr:uid="{F9254911-2590-4C72-8EC2-B444F7FA1918}"/>
    <hyperlink ref="A1860" r:id="rId3519" display="https://finance.yahoo.com/quote/AAPL280121P00220000/" xr:uid="{54058C53-64AC-4688-8998-A9BEBA7AD382}"/>
    <hyperlink ref="C1860" r:id="rId3520" display="https://finance.yahoo.com/quote/AAPL/options/?straddle=false&amp;strike=220&amp;type=all" xr:uid="{73DE4F58-8467-4121-B720-21AF6048D370}"/>
    <hyperlink ref="A1861" r:id="rId3521" display="https://finance.yahoo.com/quote/AAPL280121P00230000/" xr:uid="{443AAFDC-B732-4ACF-A967-3F252CE9C721}"/>
    <hyperlink ref="C1861" r:id="rId3522" display="https://finance.yahoo.com/quote/AAPL/options/?straddle=false&amp;strike=230&amp;type=all" xr:uid="{1DF1D191-FAFC-47EB-A1B8-A59145B010FF}"/>
    <hyperlink ref="A1862" r:id="rId3523" display="https://finance.yahoo.com/quote/AAPL280121P00240000/" xr:uid="{FB0C6BFB-066B-4DAE-9C70-9DABB6B4728A}"/>
    <hyperlink ref="C1862" r:id="rId3524" display="https://finance.yahoo.com/quote/AAPL/options/?straddle=false&amp;strike=240&amp;type=all" xr:uid="{5CF2A913-3CFA-4271-9C5E-E2695510079E}"/>
    <hyperlink ref="A1863" r:id="rId3525" display="https://finance.yahoo.com/quote/AAPL280121P00250000/" xr:uid="{8676931A-A633-4674-9C50-514881C81BBD}"/>
    <hyperlink ref="C1863" r:id="rId3526" display="https://finance.yahoo.com/quote/AAPL/options/?straddle=false&amp;strike=250&amp;type=all" xr:uid="{8212DBFB-39DE-4B59-92A4-6EA08E997D6E}"/>
    <hyperlink ref="A1864" r:id="rId3527" display="https://finance.yahoo.com/quote/AAPL280121P00260000/" xr:uid="{AB423633-85DE-4E76-AE95-F2A70751227B}"/>
    <hyperlink ref="C1864" r:id="rId3528" display="https://finance.yahoo.com/quote/AAPL/options/?straddle=false&amp;strike=260&amp;type=all" xr:uid="{5B0294D7-9845-4537-820A-65EABBB4472D}"/>
    <hyperlink ref="A1865" r:id="rId3529" display="https://finance.yahoo.com/quote/AAPL280121P00270000/" xr:uid="{7F92AE21-4F67-4BA1-83FF-DBD2DC18CE7D}"/>
    <hyperlink ref="C1865" r:id="rId3530" display="https://finance.yahoo.com/quote/AAPL/options/?straddle=false&amp;strike=270&amp;type=all" xr:uid="{FE139B8C-8B5D-4C92-BE25-AE662FCA9936}"/>
    <hyperlink ref="A1866" r:id="rId3531" display="https://finance.yahoo.com/quote/AAPL280121P00280000/" xr:uid="{34AFCB31-2697-404E-A51B-7E3AC4486524}"/>
    <hyperlink ref="C1866" r:id="rId3532" display="https://finance.yahoo.com/quote/AAPL/options/?straddle=false&amp;strike=280&amp;type=all" xr:uid="{C4DE140F-0440-4D7E-A66C-34361D2A552E}"/>
    <hyperlink ref="A1867" r:id="rId3533" display="https://finance.yahoo.com/quote/AAPL280121P00290000/" xr:uid="{B20144F2-38B3-40E4-9690-F0A91FD0654D}"/>
    <hyperlink ref="C1867" r:id="rId3534" display="https://finance.yahoo.com/quote/AAPL/options/?straddle=false&amp;strike=290&amp;type=all" xr:uid="{8D7F1C06-A766-41E3-A7AE-E99E51BB3F9F}"/>
    <hyperlink ref="A1868" r:id="rId3535" display="https://finance.yahoo.com/quote/AAPL280121P00300000/" xr:uid="{CA996C79-FD3E-4972-817F-8C80ECF31D0A}"/>
    <hyperlink ref="C1868" r:id="rId3536" display="https://finance.yahoo.com/quote/AAPL/options/?straddle=false&amp;strike=300&amp;type=all" xr:uid="{78045B4B-4E68-481C-9D8A-53B7D084EB76}"/>
    <hyperlink ref="A1869" r:id="rId3537" display="https://finance.yahoo.com/quote/AAPL280121P00310000/" xr:uid="{217538FE-0962-494A-B1A9-1ABC28DD3892}"/>
    <hyperlink ref="C1869" r:id="rId3538" display="https://finance.yahoo.com/quote/AAPL/options/?straddle=false&amp;strike=310&amp;type=all" xr:uid="{4FF47514-50E7-4BB8-86F2-C13A911CB115}"/>
    <hyperlink ref="A1870" r:id="rId3539" display="https://finance.yahoo.com/quote/AAPL280121P00320000/" xr:uid="{C42A4218-FCF2-4BD7-B521-389131DE7530}"/>
    <hyperlink ref="C1870" r:id="rId3540" display="https://finance.yahoo.com/quote/AAPL/options/?straddle=false&amp;strike=320&amp;type=all" xr:uid="{1C8EA17F-2CD3-4A41-9390-45912EC0999E}"/>
    <hyperlink ref="A1871" r:id="rId3541" display="https://finance.yahoo.com/quote/AAPL280121P00330000/" xr:uid="{39437996-74DD-4060-9DF5-EC7DA59A5178}"/>
    <hyperlink ref="C1871" r:id="rId3542" display="https://finance.yahoo.com/quote/AAPL/options/?straddle=false&amp;strike=330&amp;type=all" xr:uid="{29DDF7FB-437D-4937-B747-5B2A44C8DC76}"/>
    <hyperlink ref="A2" r:id="rId3543" display="https://finance.yahoo.com/quote/AAPL251010C00110000/" xr:uid="{0FFE0350-A448-48D9-B434-38E146A5F416}"/>
    <hyperlink ref="C2" r:id="rId3544" display="https://finance.yahoo.com/quote/AAPL/options/?straddle=false&amp;strike=110&amp;type=all" xr:uid="{B307FE4B-C4C9-445A-AFB6-5D50D066BAEF}"/>
    <hyperlink ref="A3" r:id="rId3545" display="https://finance.yahoo.com/quote/AAPL251010C00120000/" xr:uid="{DE559321-F2C3-4FE2-A928-B4576D090006}"/>
    <hyperlink ref="C3" r:id="rId3546" display="https://finance.yahoo.com/quote/AAPL/options/?straddle=false&amp;strike=120&amp;type=all" xr:uid="{C3FD8DAD-4534-458C-AA79-D6499FAC655A}"/>
    <hyperlink ref="A4" r:id="rId3547" display="https://finance.yahoo.com/quote/AAPL251010C00135000/" xr:uid="{ABFB31DF-AA30-4817-93EF-F5C9A2F36115}"/>
    <hyperlink ref="C4" r:id="rId3548" display="https://finance.yahoo.com/quote/AAPL/options/?straddle=false&amp;strike=135&amp;type=all" xr:uid="{FCFD1AE5-D802-4F61-B362-33DF136FF888}"/>
    <hyperlink ref="A5" r:id="rId3549" display="https://finance.yahoo.com/quote/AAPL251010C00140000/" xr:uid="{9FCB8E2A-8212-4576-B0C6-9EB76F9C55BE}"/>
    <hyperlink ref="C5" r:id="rId3550" display="https://finance.yahoo.com/quote/AAPL/options/?straddle=false&amp;strike=140&amp;type=all" xr:uid="{202B73E6-D192-4408-8295-E14E3881F564}"/>
    <hyperlink ref="A6" r:id="rId3551" display="https://finance.yahoo.com/quote/AAPL251010C00150000/" xr:uid="{16FB88F8-69A9-4574-8675-A0071503DAA9}"/>
    <hyperlink ref="C6" r:id="rId3552" display="https://finance.yahoo.com/quote/AAPL/options/?straddle=false&amp;strike=150&amp;type=all" xr:uid="{C9813BBA-E37B-48BB-ADE1-12429FD39BBD}"/>
    <hyperlink ref="A7" r:id="rId3553" display="https://finance.yahoo.com/quote/AAPL251010C00160000/" xr:uid="{83BF45B8-440D-4C29-9218-729B552D2F4E}"/>
    <hyperlink ref="C7" r:id="rId3554" display="https://finance.yahoo.com/quote/AAPL/options/?straddle=false&amp;strike=160&amp;type=all" xr:uid="{CE646B03-4C38-4138-81F2-772F4A229ED5}"/>
    <hyperlink ref="A8" r:id="rId3555" display="https://finance.yahoo.com/quote/AAPL251010C00165000/" xr:uid="{7B629DEF-1E1E-41DF-87A1-028A8E897510}"/>
    <hyperlink ref="C8" r:id="rId3556" display="https://finance.yahoo.com/quote/AAPL/options/?straddle=false&amp;strike=165&amp;type=all" xr:uid="{D819135E-F142-4536-A137-6F03C77AF688}"/>
    <hyperlink ref="A9" r:id="rId3557" display="https://finance.yahoo.com/quote/AAPL251010C00170000/" xr:uid="{C45814A4-D138-4F7D-B8DF-99741CB6E17A}"/>
    <hyperlink ref="C9" r:id="rId3558" display="https://finance.yahoo.com/quote/AAPL/options/?straddle=false&amp;strike=170&amp;type=all" xr:uid="{4F5BD96E-F73B-4BE4-9B0E-0699D835323D}"/>
    <hyperlink ref="A10" r:id="rId3559" display="https://finance.yahoo.com/quote/AAPL251010C00175000/" xr:uid="{F4A22129-3E5E-4280-9112-216C05CE27EC}"/>
    <hyperlink ref="C10" r:id="rId3560" display="https://finance.yahoo.com/quote/AAPL/options/?straddle=false&amp;strike=175&amp;type=all" xr:uid="{F391B32C-79B3-4ABA-A474-902D5C1C244F}"/>
    <hyperlink ref="A11" r:id="rId3561" display="https://finance.yahoo.com/quote/AAPL251010C00180000/" xr:uid="{127FC95A-9CB3-4025-B62A-9E4CC21766B0}"/>
    <hyperlink ref="C11" r:id="rId3562" display="https://finance.yahoo.com/quote/AAPL/options/?straddle=false&amp;strike=180&amp;type=all" xr:uid="{C8DC76E7-911B-4396-AE95-64A070CD369A}"/>
    <hyperlink ref="A12" r:id="rId3563" display="https://finance.yahoo.com/quote/AAPL251010C00185000/" xr:uid="{BC002649-EFB6-47C9-BEE0-3888E767BFA6}"/>
    <hyperlink ref="C12" r:id="rId3564" display="https://finance.yahoo.com/quote/AAPL/options/?straddle=false&amp;strike=185&amp;type=all" xr:uid="{5AF11648-CB6A-4810-A962-ADD47DBB108C}"/>
    <hyperlink ref="A13" r:id="rId3565" display="https://finance.yahoo.com/quote/AAPL251010C00190000/" xr:uid="{F6B158C2-7E69-40C3-A363-D31317682B31}"/>
    <hyperlink ref="C13" r:id="rId3566" display="https://finance.yahoo.com/quote/AAPL/options/?straddle=false&amp;strike=190&amp;type=all" xr:uid="{D3076B6E-48EE-46A9-BC6A-F34911376E67}"/>
    <hyperlink ref="A14" r:id="rId3567" display="https://finance.yahoo.com/quote/AAPL251010C00195000/" xr:uid="{65EAB013-73B0-4B9A-BE33-6D8D5BE54615}"/>
    <hyperlink ref="C14" r:id="rId3568" display="https://finance.yahoo.com/quote/AAPL/options/?straddle=false&amp;strike=195&amp;type=all" xr:uid="{2D078405-E7EB-4386-8C4B-C3E6AFADBA80}"/>
    <hyperlink ref="A15" r:id="rId3569" display="https://finance.yahoo.com/quote/AAPL251010C00200000/" xr:uid="{A03C330E-653D-473C-A724-4794712BADB4}"/>
    <hyperlink ref="C15" r:id="rId3570" display="https://finance.yahoo.com/quote/AAPL/options/?straddle=false&amp;strike=200&amp;type=all" xr:uid="{C81EB3F4-AA8B-4723-9F29-58E1F95873F8}"/>
    <hyperlink ref="A16" r:id="rId3571" display="https://finance.yahoo.com/quote/AAPL251010C00205000/" xr:uid="{C5D86A99-EDE3-425B-AED9-1319D6780933}"/>
    <hyperlink ref="C16" r:id="rId3572" display="https://finance.yahoo.com/quote/AAPL/options/?straddle=false&amp;strike=205&amp;type=all" xr:uid="{163B7E21-EA9A-4BEE-83B2-BE9B9DFBF76D}"/>
    <hyperlink ref="A17" r:id="rId3573" display="https://finance.yahoo.com/quote/AAPL251010C00210000/" xr:uid="{DC1753F9-2923-424D-AD63-933CC95134C3}"/>
    <hyperlink ref="C17" r:id="rId3574" display="https://finance.yahoo.com/quote/AAPL/options/?straddle=false&amp;strike=210&amp;type=all" xr:uid="{9343DA76-A3BE-4E31-A669-58975730DE95}"/>
    <hyperlink ref="A18" r:id="rId3575" display="https://finance.yahoo.com/quote/AAPL251010C00215000/" xr:uid="{031E7C1C-D897-43C0-A1F6-7913C5E94C5C}"/>
    <hyperlink ref="C18" r:id="rId3576" display="https://finance.yahoo.com/quote/AAPL/options/?straddle=false&amp;strike=215&amp;type=all" xr:uid="{C893B7BA-C058-423B-AB35-608B3F872BA9}"/>
    <hyperlink ref="A19" r:id="rId3577" display="https://finance.yahoo.com/quote/AAPL251010C00217500/" xr:uid="{5194650E-0C48-44D5-92F0-5DAA0C735C98}"/>
    <hyperlink ref="C19" r:id="rId3578" display="https://finance.yahoo.com/quote/AAPL/options/?straddle=false&amp;strike=217.5&amp;type=all" xr:uid="{95996C79-7102-48C1-9532-7B83A33D516F}"/>
    <hyperlink ref="A20" r:id="rId3579" display="https://finance.yahoo.com/quote/AAPL251010C00220000/" xr:uid="{D5D859F7-AF14-4829-8C3F-DE1013C43755}"/>
    <hyperlink ref="C20" r:id="rId3580" display="https://finance.yahoo.com/quote/AAPL/options/?straddle=false&amp;strike=220&amp;type=all" xr:uid="{164B86FA-6D50-4B72-8AB8-93577DED8FD2}"/>
    <hyperlink ref="A21" r:id="rId3581" display="https://finance.yahoo.com/quote/AAPL251010C00222500/" xr:uid="{B0D45D7F-6F53-4253-9098-67348FD3C994}"/>
    <hyperlink ref="C21" r:id="rId3582" display="https://finance.yahoo.com/quote/AAPL/options/?straddle=false&amp;strike=222.5&amp;type=all" xr:uid="{DA271954-B0A1-453E-9A97-4CA3DF0654BD}"/>
    <hyperlink ref="A22" r:id="rId3583" display="https://finance.yahoo.com/quote/AAPL251010C00225000/" xr:uid="{BE6EC704-D41C-43C3-AAD5-243691C04417}"/>
    <hyperlink ref="C22" r:id="rId3584" display="https://finance.yahoo.com/quote/AAPL/options/?straddle=false&amp;strike=225&amp;type=all" xr:uid="{08092738-B004-4622-BD83-1C9EC1E0F1B8}"/>
    <hyperlink ref="A23" r:id="rId3585" display="https://finance.yahoo.com/quote/AAPL251010C00227500/" xr:uid="{90A641A4-F0D7-4717-9BC5-8E2D1514E6AD}"/>
    <hyperlink ref="C23" r:id="rId3586" display="https://finance.yahoo.com/quote/AAPL/options/?straddle=false&amp;strike=227.5&amp;type=all" xr:uid="{D8B620FF-6709-4E22-B3DA-4E62A84D1494}"/>
    <hyperlink ref="A24" r:id="rId3587" display="https://finance.yahoo.com/quote/AAPL251010C00230000/" xr:uid="{5AC32E7C-865B-4606-B58C-65B53D88D7A9}"/>
    <hyperlink ref="C24" r:id="rId3588" display="https://finance.yahoo.com/quote/AAPL/options/?straddle=false&amp;strike=230&amp;type=all" xr:uid="{CD819F10-D56E-4585-815D-55A4925F311D}"/>
    <hyperlink ref="A25" r:id="rId3589" display="https://finance.yahoo.com/quote/AAPL251010C00232500/" xr:uid="{719A4BD3-73D4-4F48-B204-4CB22F1B95E3}"/>
    <hyperlink ref="C25" r:id="rId3590" display="https://finance.yahoo.com/quote/AAPL/options/?straddle=false&amp;strike=232.5&amp;type=all" xr:uid="{8D535D6F-6418-45C7-9AC4-7D645F3F7F51}"/>
    <hyperlink ref="A26" r:id="rId3591" display="https://finance.yahoo.com/quote/AAPL251010C00235000/" xr:uid="{7417642D-9E47-4239-A9AB-4070485D7F8E}"/>
    <hyperlink ref="C26" r:id="rId3592" display="https://finance.yahoo.com/quote/AAPL/options/?straddle=false&amp;strike=235&amp;type=all" xr:uid="{CB35BD99-3D4E-4D2C-8E61-C52460F18F4B}"/>
    <hyperlink ref="A27" r:id="rId3593" display="https://finance.yahoo.com/quote/AAPL251010C00237500/" xr:uid="{AD891E76-3CB5-491B-A948-DE81A95BAD9E}"/>
    <hyperlink ref="C27" r:id="rId3594" display="https://finance.yahoo.com/quote/AAPL/options/?straddle=false&amp;strike=237.5&amp;type=all" xr:uid="{35B005F1-A9DD-4286-8AD6-59210F7668B2}"/>
    <hyperlink ref="A28" r:id="rId3595" display="https://finance.yahoo.com/quote/AAPL251010C00240000/" xr:uid="{B6CA7694-EF09-4907-9CC7-5DFF47B75F39}"/>
    <hyperlink ref="C28" r:id="rId3596" display="https://finance.yahoo.com/quote/AAPL/options/?straddle=false&amp;strike=240&amp;type=all" xr:uid="{B50F01CD-A8A3-4147-8562-5BA01E0E3407}"/>
    <hyperlink ref="A29" r:id="rId3597" display="https://finance.yahoo.com/quote/AAPL251010C00242500/" xr:uid="{B6205C49-3341-4510-A7E8-E96851DA5F0F}"/>
    <hyperlink ref="C29" r:id="rId3598" display="https://finance.yahoo.com/quote/AAPL/options/?straddle=false&amp;strike=242.5&amp;type=all" xr:uid="{D96E2E1D-E2DC-4E9D-8C39-27F7CF38665A}"/>
    <hyperlink ref="A30" r:id="rId3599" display="https://finance.yahoo.com/quote/AAPL251010C00245000/" xr:uid="{CCDF20C5-858F-47E3-9758-51C75D523904}"/>
    <hyperlink ref="C30" r:id="rId3600" display="https://finance.yahoo.com/quote/AAPL/options/?straddle=false&amp;strike=245&amp;type=all" xr:uid="{7B5C247D-1451-4F5D-9C07-C573D70A2006}"/>
    <hyperlink ref="A31" r:id="rId3601" display="https://finance.yahoo.com/quote/AAPL251010C00247500/" xr:uid="{1D1AB8C1-F965-4C92-A07C-E5BCB3F53912}"/>
    <hyperlink ref="C31" r:id="rId3602" display="https://finance.yahoo.com/quote/AAPL/options/?straddle=false&amp;strike=247.5&amp;type=all" xr:uid="{F5739987-6A24-4F96-AB65-9E09F1CDF327}"/>
    <hyperlink ref="A32" r:id="rId3603" display="https://finance.yahoo.com/quote/AAPL251010C00250000/" xr:uid="{0A284CA9-6341-419A-B1C3-CB3E70117400}"/>
    <hyperlink ref="C32" r:id="rId3604" display="https://finance.yahoo.com/quote/AAPL/options/?straddle=false&amp;strike=250&amp;type=all" xr:uid="{625215F2-6245-486D-AA35-B0496A49EC3E}"/>
    <hyperlink ref="A33" r:id="rId3605" display="https://finance.yahoo.com/quote/AAPL251010C00252500/" xr:uid="{3A3CCFE0-A832-4482-98DB-9C1CA75EF8C7}"/>
    <hyperlink ref="C33" r:id="rId3606" display="https://finance.yahoo.com/quote/AAPL/options/?straddle=false&amp;strike=252.5&amp;type=all" xr:uid="{C65A3BCD-FFC8-4D41-8317-6D21CF34AF88}"/>
    <hyperlink ref="A34" r:id="rId3607" display="https://finance.yahoo.com/quote/AAPL251010C00255000/" xr:uid="{63026443-B49B-4C9D-8895-B5F80423A851}"/>
    <hyperlink ref="C34" r:id="rId3608" display="https://finance.yahoo.com/quote/AAPL/options/?straddle=false&amp;strike=255&amp;type=all" xr:uid="{3E6AA8C5-612E-431E-ABE9-B999DF946183}"/>
    <hyperlink ref="A35" r:id="rId3609" display="https://finance.yahoo.com/quote/AAPL251010C00257500/" xr:uid="{AE8EF162-7383-479C-B689-B9E4F61D93DE}"/>
    <hyperlink ref="C35" r:id="rId3610" display="https://finance.yahoo.com/quote/AAPL/options/?straddle=false&amp;strike=257.5&amp;type=all" xr:uid="{8A6D8F5C-5DAF-453A-AFEE-0D2210C7F2AA}"/>
    <hyperlink ref="A36" r:id="rId3611" display="https://finance.yahoo.com/quote/AAPL251010C00260000/" xr:uid="{EDA9A6BC-04F7-49EB-B970-CA1CD1B6D721}"/>
    <hyperlink ref="C36" r:id="rId3612" display="https://finance.yahoo.com/quote/AAPL/options/?straddle=false&amp;strike=260&amp;type=all" xr:uid="{BFEC3E45-74CA-4FAD-BD90-D947D17C97E0}"/>
    <hyperlink ref="A37" r:id="rId3613" display="https://finance.yahoo.com/quote/AAPL251010C00262500/" xr:uid="{9BC45C33-875B-4050-8E59-A7AE9E507795}"/>
    <hyperlink ref="C37" r:id="rId3614" display="https://finance.yahoo.com/quote/AAPL/options/?straddle=false&amp;strike=262.5&amp;type=all" xr:uid="{6B74E7FA-4F3F-4684-8ABB-31B344CF479C}"/>
    <hyperlink ref="A38" r:id="rId3615" display="https://finance.yahoo.com/quote/AAPL251010C00265000/" xr:uid="{78F97A6A-33A4-40AB-A6C5-B4FB67A11CDD}"/>
    <hyperlink ref="C38" r:id="rId3616" display="https://finance.yahoo.com/quote/AAPL/options/?straddle=false&amp;strike=265&amp;type=all" xr:uid="{3CBFE460-592C-4B03-8F65-D5AC3580429B}"/>
    <hyperlink ref="A39" r:id="rId3617" display="https://finance.yahoo.com/quote/AAPL251010C00267500/" xr:uid="{A120611B-9D27-4611-BBA6-F6B5A9D3E10E}"/>
    <hyperlink ref="C39" r:id="rId3618" display="https://finance.yahoo.com/quote/AAPL/options/?straddle=false&amp;strike=267.5&amp;type=all" xr:uid="{9DD1C252-F16D-44E9-B00D-F85F42D13C32}"/>
    <hyperlink ref="A40" r:id="rId3619" display="https://finance.yahoo.com/quote/AAPL251010C00270000/" xr:uid="{0C0838A5-3EE4-4FFE-8FD8-1EE7B52DE557}"/>
    <hyperlink ref="C40" r:id="rId3620" display="https://finance.yahoo.com/quote/AAPL/options/?straddle=false&amp;strike=270&amp;type=all" xr:uid="{ED545C3D-C9DA-4404-888B-F3DD1EDD168B}"/>
    <hyperlink ref="A41" r:id="rId3621" display="https://finance.yahoo.com/quote/AAPL251010C00272500/" xr:uid="{3CE1A742-F6B5-4D52-8A15-EEDEB03DEC44}"/>
    <hyperlink ref="C41" r:id="rId3622" display="https://finance.yahoo.com/quote/AAPL/options/?straddle=false&amp;strike=272.5&amp;type=all" xr:uid="{011C3A91-92EF-45E8-9945-82296FE7C753}"/>
    <hyperlink ref="A42" r:id="rId3623" display="https://finance.yahoo.com/quote/AAPL251010C00275000/" xr:uid="{7AA32BB5-DBD1-4AC0-BE80-1D5EFD131FF3}"/>
    <hyperlink ref="C42" r:id="rId3624" display="https://finance.yahoo.com/quote/AAPL/options/?straddle=false&amp;strike=275&amp;type=all" xr:uid="{B7EFCAE0-24EF-46D1-AA19-AD0F9849EC68}"/>
    <hyperlink ref="A43" r:id="rId3625" display="https://finance.yahoo.com/quote/AAPL251010C00280000/" xr:uid="{31CAF5C3-6647-4B5F-82F3-C30011D0757F}"/>
    <hyperlink ref="C43" r:id="rId3626" display="https://finance.yahoo.com/quote/AAPL/options/?straddle=false&amp;strike=280&amp;type=all" xr:uid="{E7F5E105-6BAD-430E-8898-EEBDB9CA7F48}"/>
    <hyperlink ref="A44" r:id="rId3627" display="https://finance.yahoo.com/quote/AAPL251010C00285000/" xr:uid="{FD8A59CA-9A20-4E0D-8926-1F9010042921}"/>
    <hyperlink ref="C44" r:id="rId3628" display="https://finance.yahoo.com/quote/AAPL/options/?straddle=false&amp;strike=285&amp;type=all" xr:uid="{101F4823-615C-4BE3-9AE0-8142949D9D49}"/>
    <hyperlink ref="A45" r:id="rId3629" display="https://finance.yahoo.com/quote/AAPL251010C00290000/" xr:uid="{775FC5C1-4BD9-48FC-AB52-F33BC2CCD667}"/>
    <hyperlink ref="C45" r:id="rId3630" display="https://finance.yahoo.com/quote/AAPL/options/?straddle=false&amp;strike=290&amp;type=all" xr:uid="{B4D8DD3F-888A-4097-8908-FA99D3643911}"/>
    <hyperlink ref="A46" r:id="rId3631" display="https://finance.yahoo.com/quote/AAPL251010C00295000/" xr:uid="{BFD3D40F-7F02-482C-A58E-1669A973CFCD}"/>
    <hyperlink ref="C46" r:id="rId3632" display="https://finance.yahoo.com/quote/AAPL/options/?straddle=false&amp;strike=295&amp;type=all" xr:uid="{08A2D952-D1F8-4DB1-8CCE-5F84A906F89B}"/>
    <hyperlink ref="A47" r:id="rId3633" display="https://finance.yahoo.com/quote/AAPL251010C00300000/" xr:uid="{FC45D3F4-54AA-4F71-94A5-FF71E0C3FF45}"/>
    <hyperlink ref="C47" r:id="rId3634" display="https://finance.yahoo.com/quote/AAPL/options/?straddle=false&amp;strike=300&amp;type=all" xr:uid="{B0AF6348-150E-4A30-9275-90832C157540}"/>
    <hyperlink ref="A48" r:id="rId3635" display="https://finance.yahoo.com/quote/AAPL251010C00305000/" xr:uid="{FF72D59C-6796-4713-B192-34EFB3EE6211}"/>
    <hyperlink ref="C48" r:id="rId3636" display="https://finance.yahoo.com/quote/AAPL/options/?straddle=false&amp;strike=305&amp;type=all" xr:uid="{6C1A1943-C1EB-4523-A8CD-F64C4597B79E}"/>
    <hyperlink ref="A49" r:id="rId3637" display="https://finance.yahoo.com/quote/AAPL251010C00310000/" xr:uid="{0FB25B44-580A-48E3-8C5C-5CF7AAE24CE3}"/>
    <hyperlink ref="C49" r:id="rId3638" display="https://finance.yahoo.com/quote/AAPL/options/?straddle=false&amp;strike=310&amp;type=all" xr:uid="{4BBF162A-1795-43BB-B456-3BF241E91C99}"/>
    <hyperlink ref="A50" r:id="rId3639" display="https://finance.yahoo.com/quote/AAPL251010C00315000/" xr:uid="{C9B3172F-95FC-4514-B2C8-4D06159192B5}"/>
    <hyperlink ref="C50" r:id="rId3640" display="https://finance.yahoo.com/quote/AAPL/options/?straddle=false&amp;strike=315&amp;type=all" xr:uid="{FFCD03A1-30F8-4AD0-B713-956052898698}"/>
    <hyperlink ref="A51" r:id="rId3641" display="https://finance.yahoo.com/quote/AAPL251010C00320000/" xr:uid="{EDFEF375-17F5-42F3-851A-72E2245267A1}"/>
    <hyperlink ref="C51" r:id="rId3642" display="https://finance.yahoo.com/quote/AAPL/options/?straddle=false&amp;strike=320&amp;type=all" xr:uid="{D4B4D7DD-1FFA-47FB-A84D-742A073945CD}"/>
    <hyperlink ref="A52" r:id="rId3643" display="https://finance.yahoo.com/quote/AAPL251010C00325000/" xr:uid="{ED5DB100-2769-4E41-B44E-3C416E452498}"/>
    <hyperlink ref="C52" r:id="rId3644" display="https://finance.yahoo.com/quote/AAPL/options/?straddle=false&amp;strike=325&amp;type=all" xr:uid="{8886E76E-AC61-4E6D-A05D-162954029AFE}"/>
    <hyperlink ref="A53" r:id="rId3645" display="https://finance.yahoo.com/quote/AAPL251010P00120000/" xr:uid="{31BE5306-6599-407E-AED7-E5ED562112ED}"/>
    <hyperlink ref="C53" r:id="rId3646" display="https://finance.yahoo.com/quote/AAPL/options/?straddle=false&amp;strike=120&amp;type=all" xr:uid="{84C16EAE-09D7-42CD-877A-BDEA99B56757}"/>
    <hyperlink ref="A54" r:id="rId3647" display="https://finance.yahoo.com/quote/AAPL251010P00125000/" xr:uid="{471B5976-E323-4ABF-9EC8-B3194D7A37BB}"/>
    <hyperlink ref="C54" r:id="rId3648" display="https://finance.yahoo.com/quote/AAPL/options/?straddle=false&amp;strike=125&amp;type=all" xr:uid="{3A66F493-5573-40E6-B709-6D8A46DAC1BA}"/>
    <hyperlink ref="A55" r:id="rId3649" display="https://finance.yahoo.com/quote/AAPL251010P00135000/" xr:uid="{F92FF2B6-034F-4262-928B-18D6AFEC3854}"/>
    <hyperlink ref="C55" r:id="rId3650" display="https://finance.yahoo.com/quote/AAPL/options/?straddle=false&amp;strike=135&amp;type=all" xr:uid="{C982ED30-1C2E-47CE-AA16-275D6169FC4F}"/>
    <hyperlink ref="A56" r:id="rId3651" display="https://finance.yahoo.com/quote/AAPL251010P00140000/" xr:uid="{B0426AFB-8D4E-46F8-9532-2CC69E561FBB}"/>
    <hyperlink ref="C56" r:id="rId3652" display="https://finance.yahoo.com/quote/AAPL/options/?straddle=false&amp;strike=140&amp;type=all" xr:uid="{BBD9E089-FCF1-4DC8-9AFF-891D0F3578C7}"/>
    <hyperlink ref="A57" r:id="rId3653" display="https://finance.yahoo.com/quote/AAPL251010P00145000/" xr:uid="{0DB7FFC9-FA7E-49A6-AEDC-B8DD6A43BC13}"/>
    <hyperlink ref="C57" r:id="rId3654" display="https://finance.yahoo.com/quote/AAPL/options/?straddle=false&amp;strike=145&amp;type=all" xr:uid="{FDD74564-409F-4F0A-9504-83CA1C15C157}"/>
    <hyperlink ref="A58" r:id="rId3655" display="https://finance.yahoo.com/quote/AAPL251010P00150000/" xr:uid="{7C7C0B55-2883-4F76-8EF2-08DDFA6F867C}"/>
    <hyperlink ref="C58" r:id="rId3656" display="https://finance.yahoo.com/quote/AAPL/options/?straddle=false&amp;strike=150&amp;type=all" xr:uid="{158E50D6-187B-4BEE-800F-ECCABD28B92E}"/>
    <hyperlink ref="A59" r:id="rId3657" display="https://finance.yahoo.com/quote/AAPL251010P00155000/" xr:uid="{B7E8BD16-4B7C-492C-8653-74020E6F526F}"/>
    <hyperlink ref="C59" r:id="rId3658" display="https://finance.yahoo.com/quote/AAPL/options/?straddle=false&amp;strike=155&amp;type=all" xr:uid="{6FEB08DF-E200-493E-8114-1760B636F5AD}"/>
    <hyperlink ref="A60" r:id="rId3659" display="https://finance.yahoo.com/quote/AAPL251010P00160000/" xr:uid="{A1EEAC74-4E33-45B0-87C8-25691866E5FD}"/>
    <hyperlink ref="C60" r:id="rId3660" display="https://finance.yahoo.com/quote/AAPL/options/?straddle=false&amp;strike=160&amp;type=all" xr:uid="{4909C87F-EB8D-42A2-9F7D-F792F7297ECD}"/>
    <hyperlink ref="A61" r:id="rId3661" display="https://finance.yahoo.com/quote/AAPL251010P00165000/" xr:uid="{B145549F-6AC9-4CD2-8B66-7436E737F7BF}"/>
    <hyperlink ref="C61" r:id="rId3662" display="https://finance.yahoo.com/quote/AAPL/options/?straddle=false&amp;strike=165&amp;type=all" xr:uid="{A9A9CB81-4F78-46F4-9716-0713CD1B1697}"/>
    <hyperlink ref="A62" r:id="rId3663" display="https://finance.yahoo.com/quote/AAPL251010P00170000/" xr:uid="{6FD58ABB-832A-4812-8382-494304421CFD}"/>
    <hyperlink ref="C62" r:id="rId3664" display="https://finance.yahoo.com/quote/AAPL/options/?straddle=false&amp;strike=170&amp;type=all" xr:uid="{AC91BABA-7377-495D-ADE6-E7592E1A20EE}"/>
    <hyperlink ref="A63" r:id="rId3665" display="https://finance.yahoo.com/quote/AAPL251010P00175000/" xr:uid="{C932C6D2-AA53-44AC-9C5A-C00375E67152}"/>
    <hyperlink ref="C63" r:id="rId3666" display="https://finance.yahoo.com/quote/AAPL/options/?straddle=false&amp;strike=175&amp;type=all" xr:uid="{3E28AD00-6E04-4E9F-8CFB-C85FC4B99EA0}"/>
    <hyperlink ref="A64" r:id="rId3667" display="https://finance.yahoo.com/quote/AAPL251010P00180000/" xr:uid="{8515AB9A-381B-4338-8597-1C53AC8E34B8}"/>
    <hyperlink ref="C64" r:id="rId3668" display="https://finance.yahoo.com/quote/AAPL/options/?straddle=false&amp;strike=180&amp;type=all" xr:uid="{75E52EFB-17D1-478E-B364-3D4F95BF820F}"/>
    <hyperlink ref="A65" r:id="rId3669" display="https://finance.yahoo.com/quote/AAPL251010P00185000/" xr:uid="{F3BFEB68-067A-498F-9F79-6FC838D9B9B2}"/>
    <hyperlink ref="C65" r:id="rId3670" display="https://finance.yahoo.com/quote/AAPL/options/?straddle=false&amp;strike=185&amp;type=all" xr:uid="{AD2D091E-8A3E-498E-88F0-00EB6A8E6BB6}"/>
    <hyperlink ref="A66" r:id="rId3671" display="https://finance.yahoo.com/quote/AAPL251010P00190000/" xr:uid="{4573BFCB-7C2B-44BC-B843-DC1F7E4CE1CF}"/>
    <hyperlink ref="C66" r:id="rId3672" display="https://finance.yahoo.com/quote/AAPL/options/?straddle=false&amp;strike=190&amp;type=all" xr:uid="{D06E9A09-362E-430E-BEEE-EA4184462D59}"/>
    <hyperlink ref="A67" r:id="rId3673" display="https://finance.yahoo.com/quote/AAPL251010P00195000/" xr:uid="{6F07748D-45FD-40B5-881E-A1B84D1EFCDB}"/>
    <hyperlink ref="C67" r:id="rId3674" display="https://finance.yahoo.com/quote/AAPL/options/?straddle=false&amp;strike=195&amp;type=all" xr:uid="{DF7D24A4-BB0B-4161-B4BD-48968F0BB125}"/>
    <hyperlink ref="A68" r:id="rId3675" display="https://finance.yahoo.com/quote/AAPL251010P00200000/" xr:uid="{D7537BEF-43F6-4CE9-AEE3-D2CA829306E2}"/>
    <hyperlink ref="C68" r:id="rId3676" display="https://finance.yahoo.com/quote/AAPL/options/?straddle=false&amp;strike=200&amp;type=all" xr:uid="{2B9F9697-8360-4D85-BC54-0F64C736E5B9}"/>
    <hyperlink ref="A69" r:id="rId3677" display="https://finance.yahoo.com/quote/AAPL251010P00205000/" xr:uid="{3689E1A8-4B26-40EA-B24A-F375F42502D3}"/>
    <hyperlink ref="C69" r:id="rId3678" display="https://finance.yahoo.com/quote/AAPL/options/?straddle=false&amp;strike=205&amp;type=all" xr:uid="{132C13D3-2010-4760-BFA2-F6690F453912}"/>
    <hyperlink ref="A70" r:id="rId3679" display="https://finance.yahoo.com/quote/AAPL251010P00210000/" xr:uid="{256D68FA-65F9-40FF-B99A-D4F7896CDEAE}"/>
    <hyperlink ref="C70" r:id="rId3680" display="https://finance.yahoo.com/quote/AAPL/options/?straddle=false&amp;strike=210&amp;type=all" xr:uid="{3037E2FB-1E20-44B4-9C52-EE330FEAFC32}"/>
    <hyperlink ref="A71" r:id="rId3681" display="https://finance.yahoo.com/quote/AAPL251010P00215000/" xr:uid="{27FA7B3E-8F8D-4E7B-A02C-2ABC9BFF8102}"/>
    <hyperlink ref="C71" r:id="rId3682" display="https://finance.yahoo.com/quote/AAPL/options/?straddle=false&amp;strike=215&amp;type=all" xr:uid="{9A57F5FC-0738-463B-AEA7-3F8FFB71A515}"/>
    <hyperlink ref="A72" r:id="rId3683" display="https://finance.yahoo.com/quote/AAPL251010P00217500/" xr:uid="{D28C08DC-A6D2-4418-BA5B-1E1AFC138987}"/>
    <hyperlink ref="C72" r:id="rId3684" display="https://finance.yahoo.com/quote/AAPL/options/?straddle=false&amp;strike=217.5&amp;type=all" xr:uid="{364054F6-9ADC-4A5F-82B8-197A0148C83C}"/>
    <hyperlink ref="A73" r:id="rId3685" display="https://finance.yahoo.com/quote/AAPL251010P00220000/" xr:uid="{324E309A-0E00-4124-9C0A-D4C907177AA8}"/>
    <hyperlink ref="C73" r:id="rId3686" display="https://finance.yahoo.com/quote/AAPL/options/?straddle=false&amp;strike=220&amp;type=all" xr:uid="{4C0E42C0-9EFB-464A-AED6-3AD12A8B5718}"/>
    <hyperlink ref="A74" r:id="rId3687" display="https://finance.yahoo.com/quote/AAPL251010P00222500/" xr:uid="{A66E5D9A-0057-468F-B6BA-1846A4C62CB6}"/>
    <hyperlink ref="C74" r:id="rId3688" display="https://finance.yahoo.com/quote/AAPL/options/?straddle=false&amp;strike=222.5&amp;type=all" xr:uid="{2554BDED-80AC-4156-8257-427271574AA9}"/>
    <hyperlink ref="A75" r:id="rId3689" display="https://finance.yahoo.com/quote/AAPL251010P00225000/" xr:uid="{3118A7D6-EEE6-4C0D-8195-11605095A872}"/>
    <hyperlink ref="C75" r:id="rId3690" display="https://finance.yahoo.com/quote/AAPL/options/?straddle=false&amp;strike=225&amp;type=all" xr:uid="{94BB8948-C71C-4979-9170-1A634C4E4A45}"/>
    <hyperlink ref="A76" r:id="rId3691" display="https://finance.yahoo.com/quote/AAPL251010P00227500/" xr:uid="{B7D33C7F-2914-4E00-A52A-5588B0A8ED1D}"/>
    <hyperlink ref="C76" r:id="rId3692" display="https://finance.yahoo.com/quote/AAPL/options/?straddle=false&amp;strike=227.5&amp;type=all" xr:uid="{E28A1E23-DD87-49F7-9BF9-A650D305AB65}"/>
    <hyperlink ref="A77" r:id="rId3693" display="https://finance.yahoo.com/quote/AAPL251010P00230000/" xr:uid="{D5F8DECA-5494-48AE-BD3F-7FF524439A40}"/>
    <hyperlink ref="C77" r:id="rId3694" display="https://finance.yahoo.com/quote/AAPL/options/?straddle=false&amp;strike=230&amp;type=all" xr:uid="{9087230D-6F61-4E80-9C7D-7442DE91DE03}"/>
    <hyperlink ref="A78" r:id="rId3695" display="https://finance.yahoo.com/quote/AAPL251010P00232500/" xr:uid="{71008C4A-885F-4162-A839-6AEB2996E101}"/>
    <hyperlink ref="C78" r:id="rId3696" display="https://finance.yahoo.com/quote/AAPL/options/?straddle=false&amp;strike=232.5&amp;type=all" xr:uid="{42E4FB39-1425-4CD3-9447-778FE826C536}"/>
    <hyperlink ref="A79" r:id="rId3697" display="https://finance.yahoo.com/quote/AAPL251010P00235000/" xr:uid="{03C2DB78-CE83-4EAA-921D-366F0215458E}"/>
    <hyperlink ref="C79" r:id="rId3698" display="https://finance.yahoo.com/quote/AAPL/options/?straddle=false&amp;strike=235&amp;type=all" xr:uid="{1DA1C177-040A-4A0D-B9D6-C6322D0F6AFE}"/>
    <hyperlink ref="A80" r:id="rId3699" display="https://finance.yahoo.com/quote/AAPL251010P00237500/" xr:uid="{DB81E5DA-70F0-4D42-8A0D-4196FE4EF1CA}"/>
    <hyperlink ref="C80" r:id="rId3700" display="https://finance.yahoo.com/quote/AAPL/options/?straddle=false&amp;strike=237.5&amp;type=all" xr:uid="{8C23DFEF-1C36-47F8-B29B-229E16E68CB7}"/>
    <hyperlink ref="A81" r:id="rId3701" display="https://finance.yahoo.com/quote/AAPL251010P00240000/" xr:uid="{17A05E1B-FECA-4512-B6E5-8FAA5BD2BF71}"/>
    <hyperlink ref="C81" r:id="rId3702" display="https://finance.yahoo.com/quote/AAPL/options/?straddle=false&amp;strike=240&amp;type=all" xr:uid="{BBB12CC3-456D-4CA8-9984-00FD885301BE}"/>
    <hyperlink ref="A82" r:id="rId3703" display="https://finance.yahoo.com/quote/AAPL251010P00242500/" xr:uid="{43BB8455-830D-447A-8490-2498BF1B8963}"/>
    <hyperlink ref="C82" r:id="rId3704" display="https://finance.yahoo.com/quote/AAPL/options/?straddle=false&amp;strike=242.5&amp;type=all" xr:uid="{40B0E7C6-E65E-4281-B20D-4D96104CB6F9}"/>
    <hyperlink ref="A83" r:id="rId3705" display="https://finance.yahoo.com/quote/AAPL251010P00245000/" xr:uid="{8EE80141-F4C7-4C07-B972-75D9CF7B6257}"/>
    <hyperlink ref="C83" r:id="rId3706" display="https://finance.yahoo.com/quote/AAPL/options/?straddle=false&amp;strike=245&amp;type=all" xr:uid="{C87EE4E4-D150-463E-BFDD-F5E5027A3BA7}"/>
    <hyperlink ref="A84" r:id="rId3707" display="https://finance.yahoo.com/quote/AAPL251010P00247500/" xr:uid="{0A7F7D31-2590-4932-8ACB-1B38BC1B8216}"/>
    <hyperlink ref="C84" r:id="rId3708" display="https://finance.yahoo.com/quote/AAPL/options/?straddle=false&amp;strike=247.5&amp;type=all" xr:uid="{DA07A5B6-91A3-420A-988E-43954AC9F6B8}"/>
    <hyperlink ref="A85" r:id="rId3709" display="https://finance.yahoo.com/quote/AAPL251010P00250000/" xr:uid="{FD6D1CC2-5E34-48CE-B7FE-3A53ED9B153D}"/>
    <hyperlink ref="C85" r:id="rId3710" display="https://finance.yahoo.com/quote/AAPL/options/?straddle=false&amp;strike=250&amp;type=all" xr:uid="{8DD3B384-1517-4A43-89F4-645CCC91DFD9}"/>
    <hyperlink ref="A86" r:id="rId3711" display="https://finance.yahoo.com/quote/AAPL251010P00252500/" xr:uid="{281B18F9-32CB-4A7F-A84D-7B2323AC1399}"/>
    <hyperlink ref="C86" r:id="rId3712" display="https://finance.yahoo.com/quote/AAPL/options/?straddle=false&amp;strike=252.5&amp;type=all" xr:uid="{B27B8438-3595-426B-9452-DF824E3EF070}"/>
    <hyperlink ref="A87" r:id="rId3713" display="https://finance.yahoo.com/quote/AAPL251010P00255000/" xr:uid="{022EED35-FEC6-46AA-B9AA-9B6D3F54449F}"/>
    <hyperlink ref="C87" r:id="rId3714" display="https://finance.yahoo.com/quote/AAPL/options/?straddle=false&amp;strike=255&amp;type=all" xr:uid="{1D0D34E5-B828-4DD5-B87E-5F59E1CDA062}"/>
    <hyperlink ref="A88" r:id="rId3715" display="https://finance.yahoo.com/quote/AAPL251010P00257500/" xr:uid="{79E67E20-A531-412D-8EC6-DE5BDEA5DA85}"/>
    <hyperlink ref="C88" r:id="rId3716" display="https://finance.yahoo.com/quote/AAPL/options/?straddle=false&amp;strike=257.5&amp;type=all" xr:uid="{407FF931-F4AA-4911-9302-41C536BFC66F}"/>
    <hyperlink ref="A89" r:id="rId3717" display="https://finance.yahoo.com/quote/AAPL251010P00260000/" xr:uid="{17CE930B-FAAC-4C4F-BD79-C3C0490E364E}"/>
    <hyperlink ref="C89" r:id="rId3718" display="https://finance.yahoo.com/quote/AAPL/options/?straddle=false&amp;strike=260&amp;type=all" xr:uid="{C1A1129C-260F-4D61-9C80-D26D9E1510DD}"/>
    <hyperlink ref="A90" r:id="rId3719" display="https://finance.yahoo.com/quote/AAPL251010P00262500/" xr:uid="{6A973A69-1F70-4739-85A3-A92B488128DC}"/>
    <hyperlink ref="C90" r:id="rId3720" display="https://finance.yahoo.com/quote/AAPL/options/?straddle=false&amp;strike=262.5&amp;type=all" xr:uid="{F43FB96B-9204-48BB-89B3-C519D62C2449}"/>
    <hyperlink ref="A91" r:id="rId3721" display="https://finance.yahoo.com/quote/AAPL251010P00265000/" xr:uid="{11B3B54E-9C10-4C22-9850-69395BED9B98}"/>
    <hyperlink ref="C91" r:id="rId3722" display="https://finance.yahoo.com/quote/AAPL/options/?straddle=false&amp;strike=265&amp;type=all" xr:uid="{9218337A-ABAA-47BC-8AB0-A016598FCEB9}"/>
    <hyperlink ref="A92" r:id="rId3723" display="https://finance.yahoo.com/quote/AAPL251010P00267500/" xr:uid="{AD202614-F170-4DB4-BA9C-F4726A8411B3}"/>
    <hyperlink ref="C92" r:id="rId3724" display="https://finance.yahoo.com/quote/AAPL/options/?straddle=false&amp;strike=267.5&amp;type=all" xr:uid="{A549D488-D057-47E1-B887-0635CF4E6D12}"/>
    <hyperlink ref="A93" r:id="rId3725" display="https://finance.yahoo.com/quote/AAPL251010P00270000/" xr:uid="{1D90A5F2-0BDC-43B5-9818-0E6EB1B22302}"/>
    <hyperlink ref="C93" r:id="rId3726" display="https://finance.yahoo.com/quote/AAPL/options/?straddle=false&amp;strike=270&amp;type=all" xr:uid="{50FC7831-AE85-4B0E-8E4D-6DCC83469EF2}"/>
    <hyperlink ref="A94" r:id="rId3727" display="https://finance.yahoo.com/quote/AAPL251010P00272500/" xr:uid="{722DD665-466C-4F62-8277-45BC00F36BE9}"/>
    <hyperlink ref="C94" r:id="rId3728" display="https://finance.yahoo.com/quote/AAPL/options/?straddle=false&amp;strike=272.5&amp;type=all" xr:uid="{1C70024A-6994-4047-8537-92850E2059F4}"/>
    <hyperlink ref="A95" r:id="rId3729" display="https://finance.yahoo.com/quote/AAPL251010P00275000/" xr:uid="{AEA5AAEA-445B-41F5-8006-0F4293BFE6D6}"/>
    <hyperlink ref="C95" r:id="rId3730" display="https://finance.yahoo.com/quote/AAPL/options/?straddle=false&amp;strike=275&amp;type=all" xr:uid="{D46587E8-CB5D-4E50-A5A5-A9924A7C4D3B}"/>
    <hyperlink ref="A96" r:id="rId3731" display="https://finance.yahoo.com/quote/AAPL251010P00280000/" xr:uid="{77536093-3EB3-4DF0-906F-54AEB9D58DE7}"/>
    <hyperlink ref="C96" r:id="rId3732" display="https://finance.yahoo.com/quote/AAPL/options/?straddle=false&amp;strike=280&amp;type=all" xr:uid="{8155197F-2AFE-4C0A-9DF4-FED6C4AB4280}"/>
    <hyperlink ref="A97" r:id="rId3733" display="https://finance.yahoo.com/quote/AAPL251010P00290000/" xr:uid="{5EE8A77B-412C-4281-B69F-7D698A9F0ECA}"/>
    <hyperlink ref="C97" r:id="rId3734" display="https://finance.yahoo.com/quote/AAPL/options/?straddle=false&amp;strike=290&amp;type=all" xr:uid="{12A64C2A-7502-4EBA-9ECE-A66DFD89ACD2}"/>
    <hyperlink ref="A98" r:id="rId3735" display="https://finance.yahoo.com/quote/AAPL251010P00295000/" xr:uid="{76CD3C09-9C99-4811-974F-5DED6BE06F57}"/>
    <hyperlink ref="C98" r:id="rId3736" display="https://finance.yahoo.com/quote/AAPL/options/?straddle=false&amp;strike=295&amp;type=all" xr:uid="{B93C03B3-9DB0-4993-88A0-5A98399F1A6F}"/>
    <hyperlink ref="A99" r:id="rId3737" display="https://finance.yahoo.com/quote/AAPL251010P00300000/" xr:uid="{104D5891-85D4-4B84-B2CC-7A41EC4350FA}"/>
    <hyperlink ref="C99" r:id="rId3738" display="https://finance.yahoo.com/quote/AAPL/options/?straddle=false&amp;strike=300&amp;type=all" xr:uid="{4142B412-BF92-4941-8E62-D45B069B0803}"/>
    <hyperlink ref="A100" r:id="rId3739" display="https://finance.yahoo.com/quote/AAPL251010P00310000/" xr:uid="{3287079D-F369-40A6-9285-3893C1A43C63}"/>
    <hyperlink ref="C100" r:id="rId3740" display="https://finance.yahoo.com/quote/AAPL/options/?straddle=false&amp;strike=310&amp;type=all" xr:uid="{3AA5A10D-E7BF-48D0-856A-32314318093A}"/>
  </hyperlinks>
  <pageMargins left="0.7" right="0.7" top="0.75" bottom="0.75" header="0.3" footer="0.3"/>
  <drawing r:id="rId374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PG-Rota, Pietro</dc:creator>
  <cp:lastModifiedBy>PG-Rota, Pietro</cp:lastModifiedBy>
  <dcterms:created xsi:type="dcterms:W3CDTF">2025-10-05T13:02:45Z</dcterms:created>
  <dcterms:modified xsi:type="dcterms:W3CDTF">2025-10-05T14:51:38Z</dcterms:modified>
</cp:coreProperties>
</file>